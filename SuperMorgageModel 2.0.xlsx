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esktop\Desktop\Desktop\Fiverr\Projects\Project 2\"/>
    </mc:Choice>
  </mc:AlternateContent>
  <xr:revisionPtr revIDLastSave="0" documentId="13_ncr:1_{47B3A0A3-F8CA-4E15-9502-030B06D1346F}" xr6:coauthVersionLast="47" xr6:coauthVersionMax="47" xr10:uidLastSave="{00000000-0000-0000-0000-000000000000}"/>
  <bookViews>
    <workbookView xWindow="-38510" yWindow="-2590" windowWidth="38620" windowHeight="21100" activeTab="1" xr2:uid="{4DEAEC4B-27DE-40E6-9540-36B6C06CFDA6}"/>
  </bookViews>
  <sheets>
    <sheet name="README" sheetId="12" r:id="rId1"/>
    <sheet name="Input" sheetId="1" r:id="rId2"/>
    <sheet name="Tax Helper" sheetId="2" r:id="rId3"/>
    <sheet name="PersonaA" sheetId="3" r:id="rId4"/>
    <sheet name="PersonaB" sheetId="5" r:id="rId5"/>
    <sheet name="Loan" sheetId="6" r:id="rId6"/>
    <sheet name="Offset" sheetId="4" r:id="rId7"/>
    <sheet name="YearlyParamsA" sheetId="7" r:id="rId8"/>
    <sheet name="YearlyParamsB" sheetId="8" r:id="rId9"/>
    <sheet name="YearlySummary" sheetId="9" r:id="rId10"/>
  </sheets>
  <definedNames>
    <definedName name="_xlnm._FilterDatabase" localSheetId="3" hidden="1">PersonaA!$A$1:$S$76</definedName>
    <definedName name="_xlnm._FilterDatabase" localSheetId="4" hidden="1">PersonaB!$A$1:$S$61</definedName>
    <definedName name="AfterTaxA">Input!$C$5</definedName>
    <definedName name="AfterTaxB">Input!$C$8</definedName>
    <definedName name="BaseRepayment">Input!$C$41</definedName>
    <definedName name="CapIncrement">Input!$C$32</definedName>
    <definedName name="CapIndexYears">Input!$C$33</definedName>
    <definedName name="CarryFwdStartA">Input!$C$25</definedName>
    <definedName name="CarryFwdStartB">Input!$C$26</definedName>
    <definedName name="ConcessCap">Input!$C$23</definedName>
    <definedName name="CurrentAgeA">Input!$C$11</definedName>
    <definedName name="CurrentAgeB">Input!$C$12</definedName>
    <definedName name="Div293Thresh">Input!$C$29</definedName>
    <definedName name="ExtraRepay">Input!$C$44</definedName>
    <definedName name="FreqA">Input!$C$4</definedName>
    <definedName name="FreqB">Input!$C$7</definedName>
    <definedName name="IncA">Input!$C$3</definedName>
    <definedName name="IncB">Input!$C$6</definedName>
    <definedName name="Inflation">Input!$C$13</definedName>
    <definedName name="LoanAmount">Input!$C$37</definedName>
    <definedName name="LoanRate">Input!$C$38</definedName>
    <definedName name="LoanStart">Input!$C$40</definedName>
    <definedName name="LoanTerm">Input!$C$39</definedName>
    <definedName name="MedicareRate">Input!$C$20</definedName>
    <definedName name="MRate" comment="Returns marginal tax rate including Medicare for a given income">_xlfn.LAMBDA(_xlpm.inc, _xlfn.LET( _xlpm.brackets, PersonaB!TaxBracket, _xlpm.rate, _xlfn.XLOOKUP(_xlpm.inc, INDEX(_xlpm.brackets,0,1), INDEX(_xlpm.brackets,0,3),,-1), _xlpm.rate+0.02))</definedName>
    <definedName name="NetInvLoss">Input!$C$30</definedName>
    <definedName name="OffsetStart">Input!$C$43</definedName>
    <definedName name="PersonATaxPayable">Input!$C$9</definedName>
    <definedName name="PersonBTaxPayable">Input!$C$10</definedName>
    <definedName name="PPY">Offset!$V$3</definedName>
    <definedName name="PPY_Loan">Loan!$AY$2</definedName>
    <definedName name="PPYA">PersonaA!$W$3</definedName>
    <definedName name="PPYB">PersonaB!$W$3</definedName>
    <definedName name="ProjYears">Input!$C$15</definedName>
    <definedName name="ProjYearsA">Input!$C$14</definedName>
    <definedName name="ProjYearsB">Input!$C$15</definedName>
    <definedName name="RetirementAgeA">Input!$C$17</definedName>
    <definedName name="RetirementAgeB">Input!$C$17</definedName>
    <definedName name="SGRate">Input!$C$24</definedName>
    <definedName name="SpousalTransfer">Input!$C$50</definedName>
    <definedName name="StartYear">Input!$C$16</definedName>
    <definedName name="StdPayment">Loan!$AY$4</definedName>
    <definedName name="SuperBalStartA">Input!$C$27</definedName>
    <definedName name="SuperBalStartB">Input!$C$28</definedName>
    <definedName name="SuperReturn">Input!$C$31</definedName>
    <definedName name="SuperTaxRate">Input!$C$34</definedName>
    <definedName name="TaxBracket" localSheetId="4">TaxBracketsOrig[]</definedName>
    <definedName name="TaxBracket" localSheetId="8">TaxBracketsOrig[]</definedName>
    <definedName name="TaxBracket">TaxBracketsOrig[]</definedName>
    <definedName name="TaxPayable">_xlfn.LAMBDA(_xlpm.inc,    _xlfn.LET(       _xlpm.brackets, TaxBracketAdj[],       _xlpm.threshold, INDEX(_xlpm.brackets,0,1),       _xlpm.upper, INDEX(_xlpm.brackets,0,2),       _xlpm.rate, INDEX(_xlpm.brackets,0,3),       _xlpm.tier_tax, SUMPRODUCT(          (_xlpm.inc &gt; _xlpm.threshold) * (IF(_xlpm.inc &gt; _xlpm.upper, _xlpm.upper - _xlpm.threshold, _xlpm.inc - _xlpm.threshold)) * _xlpm.rate       ),       _xlpm.medicare, _xlpm.inc * MedicareRate,       _xlpm.tier_tax + _xlpm.medicare    ) )</definedName>
    <definedName name="TotalPeriods_Loan">Loan!$AY$3</definedName>
    <definedName name="TotalPeriodsA">PersonaA!$W$4</definedName>
    <definedName name="TotalPeriodsB" localSheetId="4">PersonaB!$W$4</definedName>
    <definedName name="TotalPeriodsB">PersonaB!$W$4</definedName>
    <definedName name="TotalPeriodsOffset">Offset!$V$4</definedName>
    <definedName name="TP">SUMPRODUCT(     (inc &gt; {0;18200;45000;135000;190000}) *     (IF(inc &gt; {18200;45000;135000;190000;999999999},         {18200;45000;135000;190000;999999999} - {0;18200;45000;135000;190000},         inc - {0;18200;45000;135000;190000})) *     {0;0.15;0.3;0.37;0.45} ) + (inc * 0.02)</definedName>
    <definedName name="TransferDir">Input!$C$51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9" l="1"/>
  <c r="C15" i="9"/>
  <c r="C14" i="9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L134" i="3"/>
  <c r="L122" i="3"/>
  <c r="L110" i="3"/>
  <c r="L98" i="3"/>
  <c r="L86" i="3"/>
  <c r="L74" i="3"/>
  <c r="L62" i="3"/>
  <c r="L50" i="3"/>
  <c r="L38" i="3"/>
  <c r="L26" i="3"/>
  <c r="L14" i="3"/>
  <c r="M3" i="3"/>
  <c r="M2" i="3"/>
  <c r="F128" i="8"/>
  <c r="F127" i="8"/>
  <c r="F126" i="8"/>
  <c r="F125" i="8"/>
  <c r="F124" i="8"/>
  <c r="F123" i="8"/>
  <c r="F122" i="8"/>
  <c r="F121" i="8"/>
  <c r="F120" i="8"/>
  <c r="F119" i="8"/>
  <c r="F118" i="8"/>
  <c r="F117" i="8"/>
  <c r="F116" i="8"/>
  <c r="F115" i="8"/>
  <c r="F114" i="8"/>
  <c r="F113" i="8"/>
  <c r="F112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L170" i="5"/>
  <c r="L158" i="5"/>
  <c r="L146" i="5"/>
  <c r="L134" i="5"/>
  <c r="L122" i="5"/>
  <c r="L110" i="5"/>
  <c r="L98" i="5"/>
  <c r="L86" i="5"/>
  <c r="L74" i="5"/>
  <c r="L62" i="5"/>
  <c r="L50" i="5"/>
  <c r="L38" i="5"/>
  <c r="L26" i="5"/>
  <c r="L14" i="5"/>
  <c r="M3" i="5"/>
  <c r="M2" i="5"/>
  <c r="Y14" i="7"/>
  <c r="X14" i="7"/>
  <c r="W14" i="7"/>
  <c r="V14" i="7"/>
  <c r="U14" i="7"/>
  <c r="T14" i="7"/>
  <c r="S101" i="8"/>
  <c r="R101" i="8"/>
  <c r="Q101" i="8"/>
  <c r="P101" i="8"/>
  <c r="O101" i="8"/>
  <c r="N101" i="8"/>
  <c r="J101" i="8"/>
  <c r="H101" i="8"/>
  <c r="E101" i="8"/>
  <c r="D101" i="8"/>
  <c r="B101" i="8"/>
  <c r="A101" i="8"/>
  <c r="Z14" i="7"/>
  <c r="S14" i="7"/>
  <c r="R14" i="7"/>
  <c r="Q14" i="7"/>
  <c r="O14" i="7"/>
  <c r="P14" i="7"/>
  <c r="N14" i="7"/>
  <c r="J14" i="7"/>
  <c r="H14" i="7"/>
  <c r="E14" i="7"/>
  <c r="D14" i="7"/>
  <c r="B14" i="7"/>
  <c r="A14" i="7"/>
  <c r="C15" i="1"/>
  <c r="D54" i="2" s="1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Z73" i="8" a="1"/>
  <c r="Z73" i="8" s="1"/>
  <c r="Z74" i="8" a="1"/>
  <c r="Z74" i="8" s="1"/>
  <c r="Z75" i="8" a="1"/>
  <c r="Z75" i="8" s="1"/>
  <c r="Z76" i="8" a="1"/>
  <c r="Z76" i="8" s="1"/>
  <c r="Z77" i="8" a="1"/>
  <c r="Z77" i="8" s="1"/>
  <c r="Z78" i="8" a="1"/>
  <c r="Z78" i="8" s="1"/>
  <c r="Z79" i="8" a="1"/>
  <c r="Z79" i="8" s="1"/>
  <c r="Z80" i="8" a="1"/>
  <c r="Z80" i="8" s="1"/>
  <c r="Z81" i="8" a="1"/>
  <c r="Z81" i="8" s="1"/>
  <c r="Z82" i="8" a="1"/>
  <c r="Z82" i="8" s="1"/>
  <c r="Z83" i="8" a="1"/>
  <c r="Z83" i="8" s="1"/>
  <c r="Z84" i="8" a="1"/>
  <c r="Z84" i="8" s="1"/>
  <c r="Z85" i="8" a="1"/>
  <c r="Z85" i="8" s="1"/>
  <c r="Z86" i="8" a="1"/>
  <c r="Z86" i="8" s="1"/>
  <c r="Z87" i="8" a="1"/>
  <c r="Z87" i="8" s="1"/>
  <c r="Z88" i="8" a="1"/>
  <c r="Z88" i="8" s="1"/>
  <c r="Z89" i="8" a="1"/>
  <c r="Z89" i="8" s="1"/>
  <c r="Z90" i="8" a="1"/>
  <c r="Z90" i="8" s="1"/>
  <c r="Z91" i="8" a="1"/>
  <c r="Z91" i="8" s="1"/>
  <c r="Z92" i="8" a="1"/>
  <c r="Z92" i="8" s="1"/>
  <c r="Z93" i="8" a="1"/>
  <c r="Z93" i="8" s="1"/>
  <c r="Z94" i="8" a="1"/>
  <c r="Z94" i="8" s="1"/>
  <c r="Z95" i="8" a="1"/>
  <c r="Z95" i="8" s="1"/>
  <c r="Z96" i="8" a="1"/>
  <c r="Z96" i="8" s="1"/>
  <c r="Z97" i="8" a="1"/>
  <c r="Z97" i="8" s="1"/>
  <c r="Z98" i="8" a="1"/>
  <c r="Z98" i="8" s="1"/>
  <c r="Z99" i="8" a="1"/>
  <c r="Z99" i="8" s="1"/>
  <c r="Z100" i="8" a="1"/>
  <c r="Z100" i="8" s="1"/>
  <c r="C14" i="1"/>
  <c r="C54" i="2" s="1"/>
  <c r="D3" i="1"/>
  <c r="D29" i="1"/>
  <c r="D28" i="1"/>
  <c r="D6" i="1"/>
  <c r="F13" i="1"/>
  <c r="E7" i="2"/>
  <c r="B8" i="2"/>
  <c r="E8" i="2"/>
  <c r="B9" i="2"/>
  <c r="E9" i="2"/>
  <c r="B10" i="2"/>
  <c r="E10" i="2"/>
  <c r="B11" i="2"/>
  <c r="E11" i="2"/>
  <c r="W2" i="9"/>
  <c r="B2" i="9"/>
  <c r="A2" i="9"/>
  <c r="D38" i="2"/>
  <c r="C38" i="2"/>
  <c r="D32" i="2"/>
  <c r="C32" i="2"/>
  <c r="D29" i="2"/>
  <c r="C29" i="2"/>
  <c r="C40" i="1"/>
  <c r="N99" i="7"/>
  <c r="O99" i="7"/>
  <c r="P99" i="7"/>
  <c r="Q99" i="7"/>
  <c r="R99" i="7"/>
  <c r="S99" i="7"/>
  <c r="AC1" i="7"/>
  <c r="V3" i="4"/>
  <c r="W3" i="5"/>
  <c r="A2" i="8"/>
  <c r="Z2" i="8" s="1"/>
  <c r="A2" i="7"/>
  <c r="J2" i="8"/>
  <c r="E2" i="8"/>
  <c r="B2" i="8"/>
  <c r="D2" i="8"/>
  <c r="B2" i="7"/>
  <c r="J2" i="7"/>
  <c r="E2" i="7"/>
  <c r="D2" i="7"/>
  <c r="C3" i="2"/>
  <c r="B19" i="2"/>
  <c r="B18" i="2"/>
  <c r="W3" i="3"/>
  <c r="H3" i="4"/>
  <c r="AY2" i="6"/>
  <c r="C2" i="2"/>
  <c r="B17" i="2"/>
  <c r="B16" i="2"/>
  <c r="G2" i="2" s="1" a="1"/>
  <c r="G2" i="2" s="1"/>
  <c r="AC2" i="8" l="1" a="1"/>
  <c r="AC2" i="8" s="1"/>
  <c r="AB2" i="7" a="1"/>
  <c r="AB2" i="7" s="1"/>
  <c r="F2" i="2" a="1"/>
  <c r="F2" i="2" s="1"/>
  <c r="D30" i="2" a="1"/>
  <c r="D30" i="2" s="1"/>
  <c r="C30" i="2" a="1"/>
  <c r="C30" i="2" s="1"/>
  <c r="W4" i="3"/>
  <c r="A108" i="8"/>
  <c r="G108" i="8" s="1"/>
  <c r="A116" i="8"/>
  <c r="J116" i="8" s="1"/>
  <c r="A124" i="8"/>
  <c r="E124" i="8" s="1"/>
  <c r="V101" i="8"/>
  <c r="A109" i="8"/>
  <c r="E109" i="8" s="1"/>
  <c r="A117" i="8"/>
  <c r="M117" i="8" s="1"/>
  <c r="A125" i="8"/>
  <c r="W125" i="8" s="1"/>
  <c r="A3" i="9"/>
  <c r="A103" i="8"/>
  <c r="X103" i="8" s="1"/>
  <c r="A111" i="8"/>
  <c r="P111" i="8" s="1"/>
  <c r="A119" i="8"/>
  <c r="S119" i="8" s="1"/>
  <c r="A127" i="8"/>
  <c r="E127" i="8" s="1"/>
  <c r="A104" i="8"/>
  <c r="M104" i="8" s="1"/>
  <c r="A112" i="8"/>
  <c r="V112" i="8" s="1"/>
  <c r="A120" i="8"/>
  <c r="S120" i="8" s="1"/>
  <c r="A128" i="8"/>
  <c r="W128" i="8" s="1"/>
  <c r="A110" i="8"/>
  <c r="W110" i="8" s="1"/>
  <c r="A126" i="8"/>
  <c r="X126" i="8" s="1"/>
  <c r="A113" i="8"/>
  <c r="O113" i="8" s="1"/>
  <c r="A114" i="8"/>
  <c r="U114" i="8" s="1"/>
  <c r="A115" i="8"/>
  <c r="M115" i="8" s="1"/>
  <c r="A105" i="8"/>
  <c r="N105" i="8" s="1"/>
  <c r="A121" i="8"/>
  <c r="W121" i="8" s="1"/>
  <c r="A106" i="8"/>
  <c r="A107" i="8"/>
  <c r="D107" i="8" s="1"/>
  <c r="A118" i="8"/>
  <c r="M118" i="8" s="1"/>
  <c r="A122" i="8"/>
  <c r="H122" i="8" s="1"/>
  <c r="A102" i="8"/>
  <c r="U102" i="8" s="1"/>
  <c r="AY3" i="6"/>
  <c r="V4" i="4"/>
  <c r="W4" i="5"/>
  <c r="A123" i="8"/>
  <c r="V123" i="8" s="1"/>
  <c r="A15" i="7"/>
  <c r="A3" i="7"/>
  <c r="Z2" i="7"/>
  <c r="AY4" i="6"/>
  <c r="F19" i="1" s="1"/>
  <c r="A3" i="8"/>
  <c r="AA2" i="8"/>
  <c r="F20" i="1"/>
  <c r="E38" i="2"/>
  <c r="E29" i="2"/>
  <c r="C33" i="2" a="1"/>
  <c r="C33" i="2" s="1"/>
  <c r="D33" i="2" a="1"/>
  <c r="D33" i="2" s="1"/>
  <c r="C10" i="1" s="1"/>
  <c r="C31" i="2" a="1"/>
  <c r="C31" i="2" s="1"/>
  <c r="D31" i="2" a="1"/>
  <c r="D31" i="2" s="1"/>
  <c r="E32" i="2"/>
  <c r="AE2" i="9"/>
  <c r="C44" i="1"/>
  <c r="C2" i="8"/>
  <c r="C2" i="7"/>
  <c r="I2" i="7" s="1"/>
  <c r="C23" i="2" a="1"/>
  <c r="C23" i="2" s="1"/>
  <c r="C22" i="2" a="1"/>
  <c r="C22" i="2" s="1"/>
  <c r="Y109" i="8" l="1"/>
  <c r="Q117" i="8"/>
  <c r="A4" i="9"/>
  <c r="M124" i="8"/>
  <c r="V119" i="8"/>
  <c r="O105" i="8"/>
  <c r="P105" i="8"/>
  <c r="Y105" i="8"/>
  <c r="G117" i="8"/>
  <c r="T114" i="8"/>
  <c r="L101" i="8"/>
  <c r="J127" i="8"/>
  <c r="L114" i="8"/>
  <c r="X117" i="8"/>
  <c r="E102" i="8"/>
  <c r="O102" i="8"/>
  <c r="O114" i="8"/>
  <c r="T105" i="8"/>
  <c r="G127" i="8"/>
  <c r="W114" i="8"/>
  <c r="T127" i="8"/>
  <c r="C101" i="8"/>
  <c r="H127" i="8"/>
  <c r="E105" i="8"/>
  <c r="I127" i="8"/>
  <c r="B171" i="5"/>
  <c r="B179" i="5"/>
  <c r="B172" i="5"/>
  <c r="B180" i="5"/>
  <c r="B165" i="5"/>
  <c r="B173" i="5"/>
  <c r="B181" i="5"/>
  <c r="B166" i="5"/>
  <c r="B174" i="5"/>
  <c r="B167" i="5"/>
  <c r="B175" i="5"/>
  <c r="B177" i="5"/>
  <c r="B168" i="5"/>
  <c r="B176" i="5"/>
  <c r="B169" i="5"/>
  <c r="B170" i="5"/>
  <c r="B178" i="5"/>
  <c r="B102" i="8"/>
  <c r="Y102" i="8"/>
  <c r="J114" i="8"/>
  <c r="M102" i="8"/>
  <c r="U127" i="8"/>
  <c r="C109" i="8"/>
  <c r="V104" i="8"/>
  <c r="W115" i="8"/>
  <c r="B128" i="8"/>
  <c r="G106" i="8"/>
  <c r="Q106" i="8"/>
  <c r="D125" i="8"/>
  <c r="O108" i="8"/>
  <c r="O125" i="8"/>
  <c r="P124" i="8"/>
  <c r="D116" i="8"/>
  <c r="T110" i="8"/>
  <c r="J115" i="8"/>
  <c r="X118" i="8"/>
  <c r="Y107" i="8"/>
  <c r="C115" i="8"/>
  <c r="N119" i="8"/>
  <c r="N108" i="8"/>
  <c r="T104" i="8"/>
  <c r="D109" i="8"/>
  <c r="P114" i="8"/>
  <c r="V109" i="8"/>
  <c r="N115" i="8"/>
  <c r="I101" i="8"/>
  <c r="V102" i="8"/>
  <c r="S127" i="8"/>
  <c r="N127" i="8"/>
  <c r="G109" i="8"/>
  <c r="S114" i="8"/>
  <c r="U101" i="8"/>
  <c r="R115" i="8"/>
  <c r="M101" i="8"/>
  <c r="Y101" i="8"/>
  <c r="X104" i="8"/>
  <c r="P102" i="8"/>
  <c r="Q102" i="8"/>
  <c r="Q127" i="8"/>
  <c r="Y127" i="8"/>
  <c r="P127" i="8"/>
  <c r="W127" i="8"/>
  <c r="I114" i="8"/>
  <c r="T115" i="8"/>
  <c r="N114" i="8"/>
  <c r="U109" i="8"/>
  <c r="N104" i="8"/>
  <c r="E104" i="8"/>
  <c r="W102" i="8"/>
  <c r="T102" i="8"/>
  <c r="D127" i="8"/>
  <c r="O127" i="8"/>
  <c r="R114" i="8"/>
  <c r="D114" i="8"/>
  <c r="Q114" i="8"/>
  <c r="G101" i="8"/>
  <c r="T101" i="8"/>
  <c r="Q109" i="8"/>
  <c r="J102" i="8"/>
  <c r="O104" i="8"/>
  <c r="D102" i="8"/>
  <c r="X102" i="8"/>
  <c r="M127" i="8"/>
  <c r="V127" i="8"/>
  <c r="B109" i="8"/>
  <c r="X109" i="8"/>
  <c r="C102" i="8"/>
  <c r="H102" i="8"/>
  <c r="S102" i="8"/>
  <c r="X127" i="8"/>
  <c r="R127" i="8"/>
  <c r="B114" i="8"/>
  <c r="Y115" i="8"/>
  <c r="M114" i="8"/>
  <c r="J109" i="8"/>
  <c r="G114" i="8"/>
  <c r="J104" i="8"/>
  <c r="X101" i="8"/>
  <c r="U106" i="8"/>
  <c r="V114" i="8"/>
  <c r="W101" i="8"/>
  <c r="N109" i="8"/>
  <c r="R104" i="8"/>
  <c r="R102" i="8"/>
  <c r="L102" i="8"/>
  <c r="C127" i="8"/>
  <c r="L116" i="8"/>
  <c r="Y122" i="8"/>
  <c r="Y118" i="8"/>
  <c r="D122" i="8"/>
  <c r="R126" i="8"/>
  <c r="Q126" i="8"/>
  <c r="M116" i="8"/>
  <c r="U124" i="8"/>
  <c r="W124" i="8"/>
  <c r="D113" i="8"/>
  <c r="B111" i="8"/>
  <c r="I118" i="8"/>
  <c r="G111" i="8"/>
  <c r="W118" i="8"/>
  <c r="V116" i="8"/>
  <c r="T124" i="8"/>
  <c r="U119" i="8"/>
  <c r="I111" i="8"/>
  <c r="I122" i="8"/>
  <c r="Q124" i="8"/>
  <c r="Y119" i="8"/>
  <c r="H113" i="8"/>
  <c r="M126" i="8"/>
  <c r="S126" i="8"/>
  <c r="E122" i="8"/>
  <c r="S124" i="8"/>
  <c r="T119" i="8"/>
  <c r="G118" i="8"/>
  <c r="U126" i="8"/>
  <c r="X122" i="8"/>
  <c r="G122" i="8"/>
  <c r="J122" i="8"/>
  <c r="V122" i="8"/>
  <c r="E116" i="8"/>
  <c r="E106" i="8"/>
  <c r="R116" i="8"/>
  <c r="B124" i="8"/>
  <c r="B122" i="8"/>
  <c r="W119" i="8"/>
  <c r="M119" i="8"/>
  <c r="E128" i="8"/>
  <c r="R118" i="8"/>
  <c r="C126" i="8"/>
  <c r="Y126" i="8"/>
  <c r="T111" i="8"/>
  <c r="S116" i="8"/>
  <c r="P116" i="8"/>
  <c r="Y124" i="8"/>
  <c r="H124" i="8"/>
  <c r="I124" i="8"/>
  <c r="T122" i="8"/>
  <c r="O122" i="8"/>
  <c r="L123" i="8"/>
  <c r="U116" i="8"/>
  <c r="L119" i="8"/>
  <c r="Q119" i="8"/>
  <c r="D128" i="8"/>
  <c r="I119" i="8"/>
  <c r="H118" i="8"/>
  <c r="W111" i="8"/>
  <c r="D119" i="8"/>
  <c r="N124" i="8"/>
  <c r="S122" i="8"/>
  <c r="G116" i="8"/>
  <c r="X124" i="8"/>
  <c r="P126" i="8"/>
  <c r="X111" i="8"/>
  <c r="C124" i="8"/>
  <c r="U122" i="8"/>
  <c r="L122" i="8"/>
  <c r="W122" i="8"/>
  <c r="D124" i="8"/>
  <c r="P123" i="8"/>
  <c r="Q116" i="8"/>
  <c r="V124" i="8"/>
  <c r="O119" i="8"/>
  <c r="X119" i="8"/>
  <c r="X128" i="8"/>
  <c r="O103" i="8"/>
  <c r="Q118" i="8"/>
  <c r="D126" i="8"/>
  <c r="G119" i="8"/>
  <c r="J111" i="8"/>
  <c r="C122" i="8"/>
  <c r="R119" i="8"/>
  <c r="J124" i="8"/>
  <c r="C119" i="8"/>
  <c r="P119" i="8"/>
  <c r="G113" i="8"/>
  <c r="B118" i="8"/>
  <c r="M122" i="8"/>
  <c r="G124" i="8"/>
  <c r="N116" i="8"/>
  <c r="E119" i="8"/>
  <c r="D123" i="8"/>
  <c r="P122" i="8"/>
  <c r="R123" i="8"/>
  <c r="L124" i="8"/>
  <c r="O124" i="8"/>
  <c r="B119" i="8"/>
  <c r="J119" i="8"/>
  <c r="S128" i="8"/>
  <c r="T118" i="8"/>
  <c r="H126" i="8"/>
  <c r="D111" i="8"/>
  <c r="N111" i="8"/>
  <c r="I106" i="8"/>
  <c r="U123" i="8"/>
  <c r="N107" i="8"/>
  <c r="L107" i="8"/>
  <c r="T123" i="8"/>
  <c r="O123" i="8"/>
  <c r="M108" i="8"/>
  <c r="D106" i="8"/>
  <c r="L128" i="8"/>
  <c r="P128" i="8"/>
  <c r="Q128" i="8"/>
  <c r="E103" i="8"/>
  <c r="B110" i="8"/>
  <c r="Q110" i="8"/>
  <c r="L106" i="8"/>
  <c r="E123" i="8"/>
  <c r="N122" i="8"/>
  <c r="B123" i="8"/>
  <c r="E108" i="8"/>
  <c r="S107" i="8"/>
  <c r="W108" i="8"/>
  <c r="M107" i="8"/>
  <c r="M110" i="8"/>
  <c r="H107" i="8"/>
  <c r="V108" i="8"/>
  <c r="J123" i="8"/>
  <c r="X106" i="8"/>
  <c r="C106" i="8"/>
  <c r="Q107" i="8"/>
  <c r="W123" i="8"/>
  <c r="S108" i="8"/>
  <c r="C108" i="8"/>
  <c r="Y108" i="8"/>
  <c r="Q108" i="8"/>
  <c r="H128" i="8"/>
  <c r="U128" i="8"/>
  <c r="J110" i="8"/>
  <c r="D110" i="8"/>
  <c r="S110" i="8"/>
  <c r="B115" i="8"/>
  <c r="J107" i="8"/>
  <c r="I107" i="8"/>
  <c r="R108" i="8"/>
  <c r="J106" i="8"/>
  <c r="M106" i="8"/>
  <c r="J108" i="8"/>
  <c r="U107" i="8"/>
  <c r="Y123" i="8"/>
  <c r="I108" i="8"/>
  <c r="T108" i="8"/>
  <c r="R128" i="8"/>
  <c r="Y128" i="8"/>
  <c r="R110" i="8"/>
  <c r="V110" i="8"/>
  <c r="H110" i="8"/>
  <c r="U110" i="8"/>
  <c r="N123" i="8"/>
  <c r="U115" i="8"/>
  <c r="X110" i="8"/>
  <c r="R106" i="8"/>
  <c r="V106" i="8"/>
  <c r="X123" i="8"/>
  <c r="C107" i="8"/>
  <c r="X107" i="8"/>
  <c r="C123" i="8"/>
  <c r="I123" i="8"/>
  <c r="U108" i="8"/>
  <c r="X108" i="8"/>
  <c r="O128" i="8"/>
  <c r="J128" i="8"/>
  <c r="M128" i="8"/>
  <c r="G110" i="8"/>
  <c r="P110" i="8"/>
  <c r="Y110" i="8"/>
  <c r="L108" i="8"/>
  <c r="H108" i="8"/>
  <c r="N106" i="8"/>
  <c r="O106" i="8"/>
  <c r="G107" i="8"/>
  <c r="G123" i="8"/>
  <c r="S123" i="8"/>
  <c r="P107" i="8"/>
  <c r="B108" i="8"/>
  <c r="C128" i="8"/>
  <c r="N128" i="8"/>
  <c r="V128" i="8"/>
  <c r="M103" i="8"/>
  <c r="O110" i="8"/>
  <c r="I110" i="8"/>
  <c r="E110" i="8"/>
  <c r="Q122" i="8"/>
  <c r="H106" i="8"/>
  <c r="D108" i="8"/>
  <c r="H123" i="8"/>
  <c r="B107" i="8"/>
  <c r="S106" i="8"/>
  <c r="Y106" i="8"/>
  <c r="W106" i="8"/>
  <c r="V107" i="8"/>
  <c r="R107" i="8"/>
  <c r="M123" i="8"/>
  <c r="E107" i="8"/>
  <c r="I128" i="8"/>
  <c r="G128" i="8"/>
  <c r="N110" i="8"/>
  <c r="X125" i="8"/>
  <c r="V125" i="8"/>
  <c r="O120" i="8"/>
  <c r="P125" i="8"/>
  <c r="M125" i="8"/>
  <c r="G115" i="8"/>
  <c r="L115" i="8"/>
  <c r="T117" i="8"/>
  <c r="G125" i="8"/>
  <c r="O116" i="8"/>
  <c r="M109" i="8"/>
  <c r="O117" i="8"/>
  <c r="N117" i="8"/>
  <c r="R125" i="8"/>
  <c r="I105" i="8"/>
  <c r="I112" i="8"/>
  <c r="Q121" i="8"/>
  <c r="C104" i="8"/>
  <c r="G104" i="8"/>
  <c r="N120" i="8"/>
  <c r="W105" i="8"/>
  <c r="U105" i="8"/>
  <c r="J105" i="8"/>
  <c r="R111" i="8"/>
  <c r="N118" i="8"/>
  <c r="S118" i="8"/>
  <c r="I126" i="8"/>
  <c r="E126" i="8"/>
  <c r="M111" i="8"/>
  <c r="L111" i="8"/>
  <c r="B125" i="8"/>
  <c r="E121" i="8"/>
  <c r="R105" i="8"/>
  <c r="E125" i="8"/>
  <c r="E115" i="8"/>
  <c r="W117" i="8"/>
  <c r="C117" i="8"/>
  <c r="S115" i="8"/>
  <c r="I116" i="8"/>
  <c r="W116" i="8"/>
  <c r="H109" i="8"/>
  <c r="V117" i="8"/>
  <c r="Y117" i="8"/>
  <c r="N125" i="8"/>
  <c r="N112" i="8"/>
  <c r="T121" i="8"/>
  <c r="P104" i="8"/>
  <c r="S104" i="8"/>
  <c r="Q120" i="8"/>
  <c r="X105" i="8"/>
  <c r="V105" i="8"/>
  <c r="C118" i="8"/>
  <c r="D118" i="8"/>
  <c r="U118" i="8"/>
  <c r="B126" i="8"/>
  <c r="N126" i="8"/>
  <c r="Q111" i="8"/>
  <c r="S111" i="8"/>
  <c r="C125" i="8"/>
  <c r="L126" i="8"/>
  <c r="O109" i="8"/>
  <c r="I117" i="8"/>
  <c r="H125" i="8"/>
  <c r="H105" i="8"/>
  <c r="O115" i="8"/>
  <c r="P109" i="8"/>
  <c r="Y125" i="8"/>
  <c r="J112" i="8"/>
  <c r="U104" i="8"/>
  <c r="D105" i="8"/>
  <c r="J125" i="8"/>
  <c r="L120" i="8"/>
  <c r="L117" i="8"/>
  <c r="S105" i="8"/>
  <c r="U125" i="8"/>
  <c r="R117" i="8"/>
  <c r="D104" i="8"/>
  <c r="C105" i="8"/>
  <c r="S117" i="8"/>
  <c r="I115" i="8"/>
  <c r="E117" i="8"/>
  <c r="B116" i="8"/>
  <c r="T116" i="8"/>
  <c r="S109" i="8"/>
  <c r="T109" i="8"/>
  <c r="U117" i="8"/>
  <c r="S125" i="8"/>
  <c r="Q105" i="8"/>
  <c r="O111" i="8"/>
  <c r="L112" i="8"/>
  <c r="W104" i="8"/>
  <c r="H104" i="8"/>
  <c r="Y104" i="8"/>
  <c r="U120" i="8"/>
  <c r="M105" i="8"/>
  <c r="G105" i="8"/>
  <c r="L118" i="8"/>
  <c r="E118" i="8"/>
  <c r="G126" i="8"/>
  <c r="O126" i="8"/>
  <c r="T126" i="8"/>
  <c r="H111" i="8"/>
  <c r="Y111" i="8"/>
  <c r="D117" i="8"/>
  <c r="Q125" i="8"/>
  <c r="L125" i="8"/>
  <c r="Y116" i="8"/>
  <c r="P117" i="8"/>
  <c r="I125" i="8"/>
  <c r="B117" i="8"/>
  <c r="J117" i="8"/>
  <c r="C116" i="8"/>
  <c r="V115" i="8"/>
  <c r="D115" i="8"/>
  <c r="X116" i="8"/>
  <c r="Q115" i="8"/>
  <c r="I109" i="8"/>
  <c r="L109" i="8"/>
  <c r="H117" i="8"/>
  <c r="P118" i="8"/>
  <c r="L105" i="8"/>
  <c r="L104" i="8"/>
  <c r="O118" i="8"/>
  <c r="J126" i="8"/>
  <c r="V126" i="8"/>
  <c r="V111" i="8"/>
  <c r="E111" i="8"/>
  <c r="B105" i="8"/>
  <c r="K105" i="8"/>
  <c r="Z105" i="8" a="1"/>
  <c r="Z105" i="8" s="1"/>
  <c r="AA105" i="8"/>
  <c r="AB105" i="8"/>
  <c r="AA120" i="8"/>
  <c r="AB120" i="8"/>
  <c r="K120" i="8"/>
  <c r="Z120" i="8" a="1"/>
  <c r="Z120" i="8" s="1"/>
  <c r="T125" i="8"/>
  <c r="AB125" i="8"/>
  <c r="K125" i="8"/>
  <c r="Z125" i="8" a="1"/>
  <c r="Z125" i="8" s="1"/>
  <c r="AA125" i="8"/>
  <c r="Z115" i="8" a="1"/>
  <c r="Z115" i="8" s="1"/>
  <c r="AA115" i="8"/>
  <c r="AB115" i="8"/>
  <c r="K115" i="8"/>
  <c r="AA112" i="8"/>
  <c r="AB112" i="8"/>
  <c r="K112" i="8"/>
  <c r="Z112" i="8" a="1"/>
  <c r="Z112" i="8" s="1"/>
  <c r="AB117" i="8"/>
  <c r="K117" i="8"/>
  <c r="Z117" i="8" a="1"/>
  <c r="Z117" i="8" s="1"/>
  <c r="AA117" i="8"/>
  <c r="Z102" i="8" a="1"/>
  <c r="Z102" i="8" s="1"/>
  <c r="K102" i="8"/>
  <c r="AA102" i="8"/>
  <c r="AB102" i="8"/>
  <c r="K114" i="8"/>
  <c r="Z114" i="8" a="1"/>
  <c r="Z114" i="8" s="1"/>
  <c r="AA114" i="8"/>
  <c r="AB114" i="8"/>
  <c r="AA104" i="8"/>
  <c r="AB104" i="8"/>
  <c r="K104" i="8"/>
  <c r="Z104" i="8" a="1"/>
  <c r="Z104" i="8" s="1"/>
  <c r="W109" i="8"/>
  <c r="AB109" i="8"/>
  <c r="K109" i="8"/>
  <c r="Z109" i="8" a="1"/>
  <c r="Z109" i="8" s="1"/>
  <c r="AA109" i="8"/>
  <c r="Y114" i="8"/>
  <c r="R122" i="8"/>
  <c r="K122" i="8"/>
  <c r="Z122" i="8" a="1"/>
  <c r="Z122" i="8" s="1"/>
  <c r="AA122" i="8"/>
  <c r="AB122" i="8"/>
  <c r="K127" i="8"/>
  <c r="Z127" i="8" a="1"/>
  <c r="Z127" i="8" s="1"/>
  <c r="AA127" i="8"/>
  <c r="AB127" i="8"/>
  <c r="AB101" i="8"/>
  <c r="K101" i="8"/>
  <c r="Z101" i="8" a="1"/>
  <c r="Z101" i="8" s="1"/>
  <c r="AA101" i="8"/>
  <c r="Z118" i="8" a="1"/>
  <c r="Z118" i="8" s="1"/>
  <c r="K118" i="8"/>
  <c r="AA118" i="8"/>
  <c r="AB118" i="8"/>
  <c r="K113" i="8"/>
  <c r="Z113" i="8" a="1"/>
  <c r="Z113" i="8" s="1"/>
  <c r="AA113" i="8"/>
  <c r="AB113" i="8"/>
  <c r="H119" i="8"/>
  <c r="K119" i="8"/>
  <c r="AA119" i="8"/>
  <c r="AB119" i="8"/>
  <c r="Z119" i="8" a="1"/>
  <c r="Z119" i="8" s="1"/>
  <c r="Z107" i="8" a="1"/>
  <c r="Z107" i="8" s="1"/>
  <c r="AA107" i="8"/>
  <c r="AB107" i="8"/>
  <c r="K107" i="8"/>
  <c r="W126" i="8"/>
  <c r="Z126" i="8" a="1"/>
  <c r="Z126" i="8" s="1"/>
  <c r="AA126" i="8"/>
  <c r="AB126" i="8"/>
  <c r="K126" i="8"/>
  <c r="K111" i="8"/>
  <c r="AA111" i="8"/>
  <c r="AB111" i="8"/>
  <c r="Z111" i="8" a="1"/>
  <c r="Z111" i="8" s="1"/>
  <c r="R124" i="8"/>
  <c r="AA124" i="8"/>
  <c r="Z124" i="8" a="1"/>
  <c r="Z124" i="8" s="1"/>
  <c r="AB124" i="8"/>
  <c r="K124" i="8"/>
  <c r="C114" i="8"/>
  <c r="P115" i="8"/>
  <c r="R109" i="8"/>
  <c r="Q123" i="8"/>
  <c r="Z123" i="8" a="1"/>
  <c r="Z123" i="8" s="1"/>
  <c r="AA123" i="8"/>
  <c r="AB123" i="8"/>
  <c r="K123" i="8"/>
  <c r="K106" i="8"/>
  <c r="Z106" i="8" a="1"/>
  <c r="Z106" i="8" s="1"/>
  <c r="AA106" i="8"/>
  <c r="AB106" i="8"/>
  <c r="Z110" i="8" a="1"/>
  <c r="Z110" i="8" s="1"/>
  <c r="AA110" i="8"/>
  <c r="AB110" i="8"/>
  <c r="K110" i="8"/>
  <c r="K103" i="8"/>
  <c r="AA103" i="8"/>
  <c r="AB103" i="8"/>
  <c r="Z103" i="8" a="1"/>
  <c r="Z103" i="8" s="1"/>
  <c r="H116" i="8"/>
  <c r="AA116" i="8"/>
  <c r="Z116" i="8" a="1"/>
  <c r="Z116" i="8" s="1"/>
  <c r="AB116" i="8"/>
  <c r="K116" i="8"/>
  <c r="K121" i="8"/>
  <c r="AB121" i="8"/>
  <c r="Z121" i="8" a="1"/>
  <c r="Z121" i="8" s="1"/>
  <c r="AA121" i="8"/>
  <c r="T128" i="8"/>
  <c r="AA128" i="8"/>
  <c r="AB128" i="8"/>
  <c r="K128" i="8"/>
  <c r="Z128" i="8" a="1"/>
  <c r="Z128" i="8" s="1"/>
  <c r="P108" i="8"/>
  <c r="AA108" i="8"/>
  <c r="Z108" i="8" a="1"/>
  <c r="Z108" i="8" s="1"/>
  <c r="AB108" i="8"/>
  <c r="K108" i="8"/>
  <c r="U15" i="7"/>
  <c r="K15" i="7"/>
  <c r="V15" i="7"/>
  <c r="W15" i="7"/>
  <c r="Y15" i="7"/>
  <c r="Z15" i="7"/>
  <c r="AA15" i="7"/>
  <c r="X15" i="7"/>
  <c r="K14" i="7"/>
  <c r="AA14" i="7"/>
  <c r="AC160" i="6"/>
  <c r="AC168" i="6"/>
  <c r="AC163" i="6"/>
  <c r="AC171" i="6"/>
  <c r="AC179" i="6"/>
  <c r="AC166" i="6"/>
  <c r="AC161" i="6"/>
  <c r="AC169" i="6"/>
  <c r="AC177" i="6"/>
  <c r="AC164" i="6"/>
  <c r="AC172" i="6"/>
  <c r="AC180" i="6"/>
  <c r="AC167" i="6"/>
  <c r="AC175" i="6"/>
  <c r="AC183" i="6"/>
  <c r="AC165" i="6"/>
  <c r="AC173" i="6"/>
  <c r="AC181" i="6"/>
  <c r="AC162" i="6"/>
  <c r="AC174" i="6"/>
  <c r="AC176" i="6"/>
  <c r="AC178" i="6"/>
  <c r="AC170" i="6"/>
  <c r="AC182" i="6"/>
  <c r="Q160" i="6"/>
  <c r="Q168" i="6"/>
  <c r="Q176" i="6"/>
  <c r="Q166" i="6"/>
  <c r="Q174" i="6"/>
  <c r="Q182" i="6"/>
  <c r="Q164" i="6"/>
  <c r="Q172" i="6"/>
  <c r="Q180" i="6"/>
  <c r="Q167" i="6"/>
  <c r="Q175" i="6"/>
  <c r="Q183" i="6"/>
  <c r="Q165" i="6"/>
  <c r="Q173" i="6"/>
  <c r="Q181" i="6"/>
  <c r="Q162" i="6"/>
  <c r="Q170" i="6"/>
  <c r="Q171" i="6"/>
  <c r="Q178" i="6"/>
  <c r="Q161" i="6"/>
  <c r="Q163" i="6"/>
  <c r="Q177" i="6"/>
  <c r="Q179" i="6"/>
  <c r="Q169" i="6"/>
  <c r="A167" i="6"/>
  <c r="A175" i="6"/>
  <c r="A174" i="6"/>
  <c r="A182" i="6"/>
  <c r="A173" i="6"/>
  <c r="A172" i="6"/>
  <c r="A180" i="6"/>
  <c r="A171" i="6"/>
  <c r="A179" i="6"/>
  <c r="A170" i="6"/>
  <c r="A178" i="6"/>
  <c r="A176" i="6"/>
  <c r="A183" i="6"/>
  <c r="A181" i="6"/>
  <c r="A168" i="6"/>
  <c r="A177" i="6"/>
  <c r="A169" i="6"/>
  <c r="A160" i="6"/>
  <c r="A162" i="6"/>
  <c r="A161" i="6"/>
  <c r="A166" i="6"/>
  <c r="A165" i="6"/>
  <c r="A164" i="6"/>
  <c r="A163" i="6"/>
  <c r="C46" i="1"/>
  <c r="C47" i="1"/>
  <c r="X112" i="8"/>
  <c r="C112" i="8"/>
  <c r="Y112" i="8"/>
  <c r="T112" i="8"/>
  <c r="U112" i="8"/>
  <c r="P112" i="8"/>
  <c r="R112" i="8"/>
  <c r="E112" i="8"/>
  <c r="S112" i="8"/>
  <c r="H112" i="8"/>
  <c r="O112" i="8"/>
  <c r="D112" i="8"/>
  <c r="G112" i="8"/>
  <c r="Q112" i="8"/>
  <c r="M112" i="8"/>
  <c r="W112" i="8"/>
  <c r="B112" i="8"/>
  <c r="X113" i="8"/>
  <c r="L113" i="8"/>
  <c r="N113" i="8"/>
  <c r="Y113" i="8"/>
  <c r="R113" i="8"/>
  <c r="J113" i="8"/>
  <c r="I113" i="8"/>
  <c r="B113" i="8"/>
  <c r="P113" i="8"/>
  <c r="W113" i="8"/>
  <c r="M113" i="8"/>
  <c r="V113" i="8"/>
  <c r="T113" i="8"/>
  <c r="S113" i="8"/>
  <c r="E113" i="8"/>
  <c r="U113" i="8"/>
  <c r="C113" i="8"/>
  <c r="Q113" i="8"/>
  <c r="B103" i="8"/>
  <c r="Q103" i="8"/>
  <c r="I103" i="8"/>
  <c r="G103" i="8"/>
  <c r="Y103" i="8"/>
  <c r="L103" i="8"/>
  <c r="U103" i="8"/>
  <c r="N103" i="8"/>
  <c r="H103" i="8"/>
  <c r="R103" i="8"/>
  <c r="W103" i="8"/>
  <c r="J103" i="8"/>
  <c r="T103" i="8"/>
  <c r="V103" i="8"/>
  <c r="P103" i="8"/>
  <c r="S103" i="8"/>
  <c r="D103" i="8"/>
  <c r="C103" i="8"/>
  <c r="N121" i="8"/>
  <c r="C121" i="8"/>
  <c r="I121" i="8"/>
  <c r="R121" i="8"/>
  <c r="M121" i="8"/>
  <c r="B121" i="8"/>
  <c r="D121" i="8"/>
  <c r="P121" i="8"/>
  <c r="J121" i="8"/>
  <c r="O121" i="8"/>
  <c r="S121" i="8"/>
  <c r="H121" i="8"/>
  <c r="Y121" i="8"/>
  <c r="X121" i="8"/>
  <c r="L121" i="8"/>
  <c r="U121" i="8"/>
  <c r="V121" i="8"/>
  <c r="G121" i="8"/>
  <c r="I120" i="8"/>
  <c r="T120" i="8"/>
  <c r="D120" i="8"/>
  <c r="P120" i="8"/>
  <c r="V120" i="8"/>
  <c r="G120" i="8"/>
  <c r="R120" i="8"/>
  <c r="C120" i="8"/>
  <c r="M120" i="8"/>
  <c r="J120" i="8"/>
  <c r="Y120" i="8"/>
  <c r="X120" i="8"/>
  <c r="B120" i="8"/>
  <c r="W120" i="8"/>
  <c r="H120" i="8"/>
  <c r="E120" i="8"/>
  <c r="N102" i="8"/>
  <c r="G102" i="8"/>
  <c r="I102" i="8"/>
  <c r="P106" i="8"/>
  <c r="T106" i="8"/>
  <c r="B106" i="8"/>
  <c r="H114" i="8"/>
  <c r="E114" i="8"/>
  <c r="X114" i="8"/>
  <c r="U111" i="8"/>
  <c r="C111" i="8"/>
  <c r="I104" i="8"/>
  <c r="Q104" i="8"/>
  <c r="B104" i="8"/>
  <c r="A181" i="5"/>
  <c r="A178" i="5"/>
  <c r="A172" i="5"/>
  <c r="A169" i="5"/>
  <c r="A173" i="5"/>
  <c r="A180" i="5"/>
  <c r="A175" i="5"/>
  <c r="A171" i="5"/>
  <c r="A166" i="5"/>
  <c r="A177" i="5"/>
  <c r="A168" i="5"/>
  <c r="A165" i="5"/>
  <c r="A174" i="5"/>
  <c r="A179" i="5"/>
  <c r="A176" i="5"/>
  <c r="A170" i="5"/>
  <c r="A167" i="5"/>
  <c r="V118" i="8"/>
  <c r="J118" i="8"/>
  <c r="L110" i="8"/>
  <c r="C110" i="8"/>
  <c r="A4" i="7"/>
  <c r="Z3" i="7"/>
  <c r="Z3" i="8" s="1" a="1"/>
  <c r="Z3" i="8" s="1"/>
  <c r="AA3" i="8" s="1"/>
  <c r="D3" i="7"/>
  <c r="A182" i="4"/>
  <c r="A181" i="4"/>
  <c r="A177" i="4"/>
  <c r="A170" i="4"/>
  <c r="A162" i="4"/>
  <c r="A167" i="4"/>
  <c r="A159" i="4"/>
  <c r="A171" i="4"/>
  <c r="A166" i="4"/>
  <c r="A163" i="4"/>
  <c r="A176" i="4"/>
  <c r="A169" i="4"/>
  <c r="A161" i="4"/>
  <c r="A168" i="4"/>
  <c r="A160" i="4"/>
  <c r="A175" i="4"/>
  <c r="A174" i="4"/>
  <c r="A180" i="4"/>
  <c r="A165" i="4"/>
  <c r="A173" i="4"/>
  <c r="A164" i="4"/>
  <c r="A178" i="4"/>
  <c r="A179" i="4"/>
  <c r="A172" i="4"/>
  <c r="W107" i="8"/>
  <c r="T107" i="8"/>
  <c r="O107" i="8"/>
  <c r="H115" i="8"/>
  <c r="X115" i="8"/>
  <c r="L127" i="8"/>
  <c r="B127" i="8"/>
  <c r="AC278" i="6"/>
  <c r="AC275" i="6"/>
  <c r="Q274" i="6"/>
  <c r="A273" i="6"/>
  <c r="AC271" i="6"/>
  <c r="Q268" i="6"/>
  <c r="A265" i="6"/>
  <c r="Q263" i="6"/>
  <c r="AC261" i="6"/>
  <c r="Q254" i="6"/>
  <c r="A251" i="6"/>
  <c r="Q248" i="6"/>
  <c r="AC243" i="6"/>
  <c r="Q241" i="6"/>
  <c r="Q279" i="6"/>
  <c r="AC272" i="6"/>
  <c r="AC268" i="6"/>
  <c r="AC267" i="6"/>
  <c r="Q266" i="6"/>
  <c r="AC264" i="6"/>
  <c r="AC262" i="6"/>
  <c r="AC257" i="6"/>
  <c r="AC254" i="6"/>
  <c r="AC252" i="6"/>
  <c r="AC250" i="6"/>
  <c r="A249" i="6"/>
  <c r="Q247" i="6"/>
  <c r="A245" i="6"/>
  <c r="A241" i="6"/>
  <c r="Q239" i="6"/>
  <c r="Q232" i="6"/>
  <c r="Q229" i="6"/>
  <c r="Q228" i="6"/>
  <c r="A227" i="6"/>
  <c r="Q225" i="6"/>
  <c r="Q222" i="6"/>
  <c r="Q217" i="6"/>
  <c r="AC215" i="6"/>
  <c r="A209" i="6"/>
  <c r="AC207" i="6"/>
  <c r="A278" i="6"/>
  <c r="AC276" i="6"/>
  <c r="A274" i="6"/>
  <c r="AC269" i="6"/>
  <c r="Q267" i="6"/>
  <c r="Q264" i="6"/>
  <c r="A261" i="6"/>
  <c r="Q259" i="6"/>
  <c r="Q257" i="6"/>
  <c r="A256" i="6"/>
  <c r="A254" i="6"/>
  <c r="Q252" i="6"/>
  <c r="Q250" i="6"/>
  <c r="A246" i="6"/>
  <c r="Q242" i="6"/>
  <c r="AC240" i="6"/>
  <c r="A238" i="6"/>
  <c r="Q272" i="6"/>
  <c r="A271" i="6"/>
  <c r="A267" i="6"/>
  <c r="A266" i="6"/>
  <c r="A264" i="6"/>
  <c r="Q262" i="6"/>
  <c r="A259" i="6"/>
  <c r="AC255" i="6"/>
  <c r="AC244" i="6"/>
  <c r="A239" i="6"/>
  <c r="AC237" i="6"/>
  <c r="AC236" i="6"/>
  <c r="A235" i="6"/>
  <c r="AC233" i="6"/>
  <c r="A232" i="6"/>
  <c r="AC224" i="6"/>
  <c r="A222" i="6"/>
  <c r="Q220" i="6"/>
  <c r="A215" i="6"/>
  <c r="AC213" i="6"/>
  <c r="A212" i="6"/>
  <c r="A211" i="6"/>
  <c r="A210" i="6"/>
  <c r="AC208" i="6"/>
  <c r="Q207" i="6"/>
  <c r="Q204" i="6"/>
  <c r="A279" i="6"/>
  <c r="AC277" i="6"/>
  <c r="Q276" i="6"/>
  <c r="Q275" i="6"/>
  <c r="AC273" i="6"/>
  <c r="A272" i="6"/>
  <c r="AC270" i="6"/>
  <c r="Q269" i="6"/>
  <c r="AC265" i="6"/>
  <c r="AC258" i="6"/>
  <c r="A257" i="6"/>
  <c r="Q255" i="6"/>
  <c r="A252" i="6"/>
  <c r="AC248" i="6"/>
  <c r="A247" i="6"/>
  <c r="AC245" i="6"/>
  <c r="Q243" i="6"/>
  <c r="Q240" i="6"/>
  <c r="Q233" i="6"/>
  <c r="AC231" i="6"/>
  <c r="Q230" i="6"/>
  <c r="A229" i="6"/>
  <c r="Q224" i="6"/>
  <c r="A223" i="6"/>
  <c r="AC221" i="6"/>
  <c r="A218" i="6"/>
  <c r="AC216" i="6"/>
  <c r="AC274" i="6"/>
  <c r="Q270" i="6"/>
  <c r="A269" i="6"/>
  <c r="A268" i="6"/>
  <c r="AC266" i="6"/>
  <c r="Q265" i="6"/>
  <c r="AC263" i="6"/>
  <c r="Q260" i="6"/>
  <c r="A255" i="6"/>
  <c r="Q253" i="6"/>
  <c r="AC251" i="6"/>
  <c r="AC249" i="6"/>
  <c r="A248" i="6"/>
  <c r="Q245" i="6"/>
  <c r="Q244" i="6"/>
  <c r="AC241" i="6"/>
  <c r="A240" i="6"/>
  <c r="AC238" i="6"/>
  <c r="A236" i="6"/>
  <c r="A226" i="6"/>
  <c r="AC222" i="6"/>
  <c r="Q221" i="6"/>
  <c r="AC214" i="6"/>
  <c r="AC209" i="6"/>
  <c r="Q208" i="6"/>
  <c r="Q277" i="6"/>
  <c r="A270" i="6"/>
  <c r="A263" i="6"/>
  <c r="AC253" i="6"/>
  <c r="A242" i="6"/>
  <c r="Q235" i="6"/>
  <c r="AC226" i="6"/>
  <c r="Q223" i="6"/>
  <c r="AC220" i="6"/>
  <c r="Q218" i="6"/>
  <c r="Q215" i="6"/>
  <c r="Q209" i="6"/>
  <c r="Q199" i="6"/>
  <c r="A194" i="6"/>
  <c r="AC192" i="6"/>
  <c r="A190" i="6"/>
  <c r="AC188" i="6"/>
  <c r="AC187" i="6"/>
  <c r="AC184" i="6"/>
  <c r="A262" i="6"/>
  <c r="A258" i="6"/>
  <c r="A253" i="6"/>
  <c r="Q237" i="6"/>
  <c r="AC234" i="6"/>
  <c r="Q231" i="6"/>
  <c r="Q226" i="6"/>
  <c r="A220" i="6"/>
  <c r="AC212" i="6"/>
  <c r="AC210" i="6"/>
  <c r="AC205" i="6"/>
  <c r="AC204" i="6"/>
  <c r="AC201" i="6"/>
  <c r="A199" i="6"/>
  <c r="A197" i="6"/>
  <c r="Q195" i="6"/>
  <c r="Q192" i="6"/>
  <c r="Q191" i="6"/>
  <c r="Q186" i="6"/>
  <c r="Q184" i="6"/>
  <c r="A260" i="6"/>
  <c r="Q246" i="6"/>
  <c r="Q236" i="6"/>
  <c r="A233" i="6"/>
  <c r="AC227" i="6"/>
  <c r="A224" i="6"/>
  <c r="A219" i="6"/>
  <c r="A214" i="6"/>
  <c r="A204" i="6"/>
  <c r="AC202" i="6"/>
  <c r="A201" i="6"/>
  <c r="A196" i="6"/>
  <c r="Q278" i="6"/>
  <c r="A275" i="6"/>
  <c r="Q271" i="6"/>
  <c r="AC259" i="6"/>
  <c r="A250" i="6"/>
  <c r="A243" i="6"/>
  <c r="AC235" i="6"/>
  <c r="A230" i="6"/>
  <c r="AC223" i="6"/>
  <c r="A221" i="6"/>
  <c r="AC218" i="6"/>
  <c r="Q216" i="6"/>
  <c r="Q213" i="6"/>
  <c r="Q211" i="6"/>
  <c r="A206" i="6"/>
  <c r="A205" i="6"/>
  <c r="Q202" i="6"/>
  <c r="AC199" i="6"/>
  <c r="Q197" i="6"/>
  <c r="Q194" i="6"/>
  <c r="A189" i="6"/>
  <c r="A188" i="6"/>
  <c r="Q185" i="6"/>
  <c r="Q273" i="6"/>
  <c r="AC256" i="6"/>
  <c r="AC247" i="6"/>
  <c r="Q234" i="6"/>
  <c r="AC228" i="6"/>
  <c r="AC217" i="6"/>
  <c r="Q212" i="6"/>
  <c r="Q203" i="6"/>
  <c r="Q200" i="6"/>
  <c r="A198" i="6"/>
  <c r="A195" i="6"/>
  <c r="AC189" i="6"/>
  <c r="Q187" i="6"/>
  <c r="A184" i="6"/>
  <c r="AC279" i="6"/>
  <c r="Q256" i="6"/>
  <c r="A203" i="6"/>
  <c r="A200" i="6"/>
  <c r="AC197" i="6"/>
  <c r="Q251" i="6"/>
  <c r="A225" i="6"/>
  <c r="AC246" i="6"/>
  <c r="AC239" i="6"/>
  <c r="A234" i="6"/>
  <c r="A228" i="6"/>
  <c r="A217" i="6"/>
  <c r="AC211" i="6"/>
  <c r="A208" i="6"/>
  <c r="Q205" i="6"/>
  <c r="AC194" i="6"/>
  <c r="A192" i="6"/>
  <c r="Q189" i="6"/>
  <c r="A187" i="6"/>
  <c r="Q238" i="6"/>
  <c r="AC232" i="6"/>
  <c r="Q227" i="6"/>
  <c r="A216" i="6"/>
  <c r="A207" i="6"/>
  <c r="A202" i="6"/>
  <c r="AC191" i="6"/>
  <c r="AC186" i="6"/>
  <c r="A277" i="6"/>
  <c r="Q261" i="6"/>
  <c r="AC219" i="6"/>
  <c r="AC206" i="6"/>
  <c r="Q201" i="6"/>
  <c r="AC196" i="6"/>
  <c r="AC193" i="6"/>
  <c r="A186" i="6"/>
  <c r="A244" i="6"/>
  <c r="A237" i="6"/>
  <c r="A231" i="6"/>
  <c r="AC225" i="6"/>
  <c r="Q214" i="6"/>
  <c r="Q210" i="6"/>
  <c r="Q196" i="6"/>
  <c r="A191" i="6"/>
  <c r="Q188" i="6"/>
  <c r="AC185" i="6"/>
  <c r="A276" i="6"/>
  <c r="AC230" i="6"/>
  <c r="Q258" i="6"/>
  <c r="Q249" i="6"/>
  <c r="AC242" i="6"/>
  <c r="AC229" i="6"/>
  <c r="A213" i="6"/>
  <c r="AC203" i="6"/>
  <c r="AC200" i="6"/>
  <c r="Q198" i="6"/>
  <c r="AC195" i="6"/>
  <c r="A193" i="6"/>
  <c r="Q190" i="6"/>
  <c r="A185" i="6"/>
  <c r="AC260" i="6"/>
  <c r="Q219" i="6"/>
  <c r="AC198" i="6"/>
  <c r="Q193" i="6"/>
  <c r="AC190" i="6"/>
  <c r="Q206" i="6"/>
  <c r="D3" i="8"/>
  <c r="A4" i="8"/>
  <c r="A16" i="7"/>
  <c r="D35" i="2"/>
  <c r="C35" i="2"/>
  <c r="C9" i="1"/>
  <c r="C34" i="2"/>
  <c r="D34" i="2"/>
  <c r="E31" i="2"/>
  <c r="E33" i="2"/>
  <c r="E35" i="2" s="1"/>
  <c r="F14" i="1" s="1"/>
  <c r="I2" i="8"/>
  <c r="AB2" i="9"/>
  <c r="AA2" i="9"/>
  <c r="A5" i="9" l="1"/>
  <c r="A5" i="8"/>
  <c r="A6" i="8" s="1"/>
  <c r="A5" i="7"/>
  <c r="D4" i="7"/>
  <c r="V16" i="7"/>
  <c r="W16" i="7"/>
  <c r="X16" i="7"/>
  <c r="Z16" i="7"/>
  <c r="AA16" i="7"/>
  <c r="U16" i="7"/>
  <c r="K16" i="7"/>
  <c r="Y16" i="7"/>
  <c r="AE183" i="6"/>
  <c r="AD183" i="6"/>
  <c r="AD180" i="6"/>
  <c r="AE180" i="6"/>
  <c r="AD177" i="6"/>
  <c r="AE177" i="6"/>
  <c r="AE181" i="6"/>
  <c r="AD181" i="6"/>
  <c r="AE175" i="6"/>
  <c r="AD175" i="6"/>
  <c r="AD172" i="6"/>
  <c r="AE172" i="6"/>
  <c r="AD169" i="6"/>
  <c r="AE169" i="6"/>
  <c r="AE179" i="6"/>
  <c r="AD179" i="6"/>
  <c r="AD178" i="6"/>
  <c r="AE178" i="6"/>
  <c r="AD173" i="6"/>
  <c r="AE173" i="6"/>
  <c r="AE167" i="6"/>
  <c r="AD167" i="6"/>
  <c r="AD164" i="6"/>
  <c r="AE164" i="6"/>
  <c r="AD161" i="6"/>
  <c r="AE161" i="6"/>
  <c r="AD171" i="6"/>
  <c r="AE171" i="6"/>
  <c r="AD182" i="6"/>
  <c r="AE182" i="6"/>
  <c r="AD176" i="6"/>
  <c r="AE176" i="6"/>
  <c r="AD165" i="6"/>
  <c r="AE165" i="6"/>
  <c r="AD166" i="6"/>
  <c r="AE166" i="6"/>
  <c r="AD163" i="6"/>
  <c r="AE163" i="6"/>
  <c r="AE170" i="6"/>
  <c r="AD170" i="6"/>
  <c r="AD174" i="6"/>
  <c r="AE174" i="6"/>
  <c r="AD168" i="6"/>
  <c r="AE168" i="6"/>
  <c r="AE162" i="6"/>
  <c r="AD162" i="6"/>
  <c r="AD160" i="6"/>
  <c r="AE160" i="6"/>
  <c r="R172" i="6"/>
  <c r="S172" i="6"/>
  <c r="S183" i="6"/>
  <c r="R183" i="6"/>
  <c r="R180" i="6"/>
  <c r="S180" i="6"/>
  <c r="S166" i="6"/>
  <c r="R166" i="6"/>
  <c r="S175" i="6"/>
  <c r="R175" i="6"/>
  <c r="R177" i="6"/>
  <c r="S177" i="6"/>
  <c r="R163" i="6"/>
  <c r="S163" i="6"/>
  <c r="S178" i="6"/>
  <c r="R178" i="6"/>
  <c r="S170" i="6"/>
  <c r="R170" i="6"/>
  <c r="S162" i="6"/>
  <c r="R162" i="6"/>
  <c r="R165" i="6"/>
  <c r="S165" i="6"/>
  <c r="R181" i="6"/>
  <c r="S181" i="6"/>
  <c r="R164" i="6"/>
  <c r="S164" i="6"/>
  <c r="R169" i="6"/>
  <c r="S169" i="6"/>
  <c r="R161" i="6"/>
  <c r="S161" i="6"/>
  <c r="R171" i="6"/>
  <c r="S171" i="6"/>
  <c r="S167" i="6"/>
  <c r="R167" i="6"/>
  <c r="S176" i="6"/>
  <c r="R176" i="6"/>
  <c r="S182" i="6"/>
  <c r="R182" i="6"/>
  <c r="S168" i="6"/>
  <c r="R168" i="6"/>
  <c r="R173" i="6"/>
  <c r="S173" i="6"/>
  <c r="R179" i="6"/>
  <c r="S179" i="6"/>
  <c r="S174" i="6"/>
  <c r="R174" i="6"/>
  <c r="S160" i="6"/>
  <c r="R160" i="6"/>
  <c r="B176" i="6"/>
  <c r="C176" i="6"/>
  <c r="B179" i="6"/>
  <c r="C179" i="6"/>
  <c r="B173" i="6"/>
  <c r="C173" i="6"/>
  <c r="B171" i="6"/>
  <c r="C171" i="6"/>
  <c r="C177" i="6"/>
  <c r="B177" i="6"/>
  <c r="B181" i="6"/>
  <c r="C181" i="6"/>
  <c r="B178" i="6"/>
  <c r="C178" i="6"/>
  <c r="C169" i="6"/>
  <c r="B169" i="6"/>
  <c r="B170" i="6"/>
  <c r="C170" i="6"/>
  <c r="C182" i="6"/>
  <c r="B182" i="6"/>
  <c r="B174" i="6"/>
  <c r="C174" i="6"/>
  <c r="B180" i="6"/>
  <c r="C180" i="6"/>
  <c r="B175" i="6"/>
  <c r="C175" i="6"/>
  <c r="B168" i="6"/>
  <c r="C168" i="6"/>
  <c r="B183" i="6"/>
  <c r="C183" i="6"/>
  <c r="B172" i="6"/>
  <c r="C172" i="6"/>
  <c r="B167" i="6"/>
  <c r="C167" i="6"/>
  <c r="B163" i="6"/>
  <c r="C163" i="6"/>
  <c r="C164" i="6"/>
  <c r="B164" i="6"/>
  <c r="B165" i="6"/>
  <c r="C165" i="6"/>
  <c r="B166" i="6"/>
  <c r="C166" i="6"/>
  <c r="B161" i="6"/>
  <c r="C161" i="6"/>
  <c r="C162" i="6"/>
  <c r="B162" i="6"/>
  <c r="B160" i="6"/>
  <c r="C160" i="6"/>
  <c r="B207" i="6"/>
  <c r="C207" i="6"/>
  <c r="AD217" i="6"/>
  <c r="AE217" i="6"/>
  <c r="AD234" i="6"/>
  <c r="AE234" i="6"/>
  <c r="AE274" i="6"/>
  <c r="AD274" i="6"/>
  <c r="AE233" i="6"/>
  <c r="AD233" i="6"/>
  <c r="B265" i="6"/>
  <c r="C265" i="6"/>
  <c r="C173" i="5"/>
  <c r="D173" i="5" s="1"/>
  <c r="E173" i="5"/>
  <c r="F173" i="5" s="1" a="1"/>
  <c r="F173" i="5" s="1"/>
  <c r="G173" i="5" s="1"/>
  <c r="AE230" i="6"/>
  <c r="AD230" i="6"/>
  <c r="S205" i="6"/>
  <c r="R205" i="6"/>
  <c r="R194" i="6"/>
  <c r="S194" i="6"/>
  <c r="S184" i="6"/>
  <c r="R184" i="6"/>
  <c r="AD226" i="6"/>
  <c r="AE226" i="6"/>
  <c r="AD216" i="6"/>
  <c r="AE216" i="6"/>
  <c r="B212" i="6"/>
  <c r="C212" i="6"/>
  <c r="B246" i="6"/>
  <c r="C246" i="6"/>
  <c r="AD257" i="6"/>
  <c r="AE257" i="6"/>
  <c r="B163" i="4"/>
  <c r="C163" i="4"/>
  <c r="D163" i="4" s="1"/>
  <c r="J163" i="4" s="1"/>
  <c r="S188" i="6"/>
  <c r="R188" i="6"/>
  <c r="AE212" i="6"/>
  <c r="AD212" i="6"/>
  <c r="S206" i="6"/>
  <c r="R206" i="6"/>
  <c r="C193" i="6"/>
  <c r="B193" i="6"/>
  <c r="S249" i="6"/>
  <c r="R249" i="6"/>
  <c r="S210" i="6"/>
  <c r="R210" i="6"/>
  <c r="AE196" i="6"/>
  <c r="AD196" i="6"/>
  <c r="B202" i="6"/>
  <c r="C202" i="6"/>
  <c r="C192" i="6"/>
  <c r="B192" i="6"/>
  <c r="AD239" i="6"/>
  <c r="AE239" i="6"/>
  <c r="AD279" i="6"/>
  <c r="AE279" i="6"/>
  <c r="S212" i="6"/>
  <c r="R212" i="6"/>
  <c r="B188" i="6"/>
  <c r="C188" i="6"/>
  <c r="S211" i="6"/>
  <c r="R211" i="6"/>
  <c r="B243" i="6"/>
  <c r="C243" i="6"/>
  <c r="AE202" i="6"/>
  <c r="AD202" i="6"/>
  <c r="S246" i="6"/>
  <c r="R246" i="6"/>
  <c r="C199" i="6"/>
  <c r="B199" i="6"/>
  <c r="R231" i="6"/>
  <c r="S231" i="6"/>
  <c r="AD188" i="6"/>
  <c r="AE188" i="6"/>
  <c r="AD220" i="6"/>
  <c r="AE220" i="6"/>
  <c r="R277" i="6"/>
  <c r="S277" i="6"/>
  <c r="AE238" i="6"/>
  <c r="AD238" i="6"/>
  <c r="R253" i="6"/>
  <c r="S253" i="6"/>
  <c r="R270" i="6"/>
  <c r="S270" i="6"/>
  <c r="S230" i="6"/>
  <c r="R230" i="6"/>
  <c r="B252" i="6"/>
  <c r="C252" i="6"/>
  <c r="AD273" i="6"/>
  <c r="AE273" i="6"/>
  <c r="C210" i="6"/>
  <c r="B210" i="6"/>
  <c r="C232" i="6"/>
  <c r="B232" i="6"/>
  <c r="C259" i="6"/>
  <c r="B259" i="6"/>
  <c r="AD240" i="6"/>
  <c r="AE240" i="6"/>
  <c r="R259" i="6"/>
  <c r="S259" i="6"/>
  <c r="AE207" i="6"/>
  <c r="AD207" i="6"/>
  <c r="R229" i="6"/>
  <c r="S229" i="6"/>
  <c r="AD252" i="6"/>
  <c r="AE252" i="6"/>
  <c r="AE272" i="6"/>
  <c r="AD272" i="6"/>
  <c r="S263" i="6"/>
  <c r="R263" i="6"/>
  <c r="C172" i="4"/>
  <c r="D172" i="4" s="1"/>
  <c r="J172" i="4" s="1"/>
  <c r="B172" i="4"/>
  <c r="C165" i="4"/>
  <c r="D165" i="4" s="1"/>
  <c r="J165" i="4" s="1"/>
  <c r="B165" i="4"/>
  <c r="C174" i="4"/>
  <c r="D174" i="4" s="1"/>
  <c r="J174" i="4" s="1"/>
  <c r="B174" i="4"/>
  <c r="B177" i="4"/>
  <c r="C177" i="4"/>
  <c r="D177" i="4" s="1"/>
  <c r="J177" i="4" s="1"/>
  <c r="C174" i="5"/>
  <c r="D174" i="5" s="1"/>
  <c r="E174" i="5"/>
  <c r="C180" i="5"/>
  <c r="D180" i="5" s="1"/>
  <c r="E180" i="5"/>
  <c r="I180" i="5" s="1"/>
  <c r="E178" i="5"/>
  <c r="F178" i="5" s="1" a="1"/>
  <c r="F178" i="5" s="1"/>
  <c r="G178" i="5" s="1"/>
  <c r="C178" i="5"/>
  <c r="D178" i="5" s="1"/>
  <c r="S258" i="6"/>
  <c r="R258" i="6"/>
  <c r="R213" i="6"/>
  <c r="S213" i="6"/>
  <c r="B255" i="6"/>
  <c r="C255" i="6"/>
  <c r="C209" i="6"/>
  <c r="B209" i="6"/>
  <c r="S193" i="6"/>
  <c r="R193" i="6"/>
  <c r="AD228" i="6"/>
  <c r="AE228" i="6"/>
  <c r="AD192" i="6"/>
  <c r="AE192" i="6"/>
  <c r="S276" i="6"/>
  <c r="R276" i="6"/>
  <c r="S239" i="6"/>
  <c r="R239" i="6"/>
  <c r="C160" i="4"/>
  <c r="D160" i="4" s="1"/>
  <c r="J160" i="4" s="1"/>
  <c r="B160" i="4"/>
  <c r="AE198" i="6"/>
  <c r="AD198" i="6"/>
  <c r="AD200" i="6"/>
  <c r="AE200" i="6"/>
  <c r="B276" i="6"/>
  <c r="C276" i="6"/>
  <c r="C231" i="6"/>
  <c r="B231" i="6"/>
  <c r="AD219" i="6"/>
  <c r="AE219" i="6"/>
  <c r="S227" i="6"/>
  <c r="R227" i="6"/>
  <c r="C208" i="6"/>
  <c r="B208" i="6"/>
  <c r="R251" i="6"/>
  <c r="S251" i="6"/>
  <c r="AD189" i="6"/>
  <c r="AE189" i="6"/>
  <c r="S234" i="6"/>
  <c r="R234" i="6"/>
  <c r="R197" i="6"/>
  <c r="S197" i="6"/>
  <c r="AD218" i="6"/>
  <c r="AE218" i="6"/>
  <c r="S271" i="6"/>
  <c r="R271" i="6"/>
  <c r="C219" i="6"/>
  <c r="B219" i="6"/>
  <c r="R186" i="6"/>
  <c r="S186" i="6"/>
  <c r="AD205" i="6"/>
  <c r="AE205" i="6"/>
  <c r="B253" i="6"/>
  <c r="C253" i="6"/>
  <c r="B194" i="6"/>
  <c r="C194" i="6"/>
  <c r="R235" i="6"/>
  <c r="S235" i="6"/>
  <c r="AE214" i="6"/>
  <c r="AD214" i="6"/>
  <c r="S244" i="6"/>
  <c r="R244" i="6"/>
  <c r="AE263" i="6"/>
  <c r="AD263" i="6"/>
  <c r="B218" i="6"/>
  <c r="C218" i="6"/>
  <c r="S240" i="6"/>
  <c r="R240" i="6"/>
  <c r="AE258" i="6"/>
  <c r="AD258" i="6"/>
  <c r="AD277" i="6"/>
  <c r="AE277" i="6"/>
  <c r="AD213" i="6"/>
  <c r="AE213" i="6"/>
  <c r="AE236" i="6"/>
  <c r="AD236" i="6"/>
  <c r="C266" i="6"/>
  <c r="B266" i="6"/>
  <c r="R250" i="6"/>
  <c r="S250" i="6"/>
  <c r="S267" i="6"/>
  <c r="R267" i="6"/>
  <c r="R217" i="6"/>
  <c r="S217" i="6"/>
  <c r="C241" i="6"/>
  <c r="B241" i="6"/>
  <c r="AD262" i="6"/>
  <c r="AE262" i="6"/>
  <c r="AD243" i="6"/>
  <c r="AE243" i="6"/>
  <c r="AD271" i="6"/>
  <c r="AE271" i="6"/>
  <c r="C173" i="4"/>
  <c r="D173" i="4" s="1"/>
  <c r="J173" i="4" s="1"/>
  <c r="B173" i="4"/>
  <c r="C168" i="4"/>
  <c r="D168" i="4" s="1"/>
  <c r="J168" i="4" s="1"/>
  <c r="B168" i="4"/>
  <c r="B169" i="4"/>
  <c r="C169" i="4"/>
  <c r="D169" i="4" s="1"/>
  <c r="J169" i="4" s="1"/>
  <c r="C166" i="4"/>
  <c r="D166" i="4" s="1"/>
  <c r="J166" i="4" s="1"/>
  <c r="B166" i="4"/>
  <c r="B167" i="4"/>
  <c r="C167" i="4"/>
  <c r="D167" i="4" s="1"/>
  <c r="J167" i="4" s="1"/>
  <c r="C182" i="4"/>
  <c r="D182" i="4" s="1"/>
  <c r="K182" i="4" s="1"/>
  <c r="B182" i="4"/>
  <c r="E165" i="5"/>
  <c r="C165" i="5"/>
  <c r="D165" i="5" s="1"/>
  <c r="C166" i="5"/>
  <c r="D166" i="5" s="1"/>
  <c r="AD195" i="6"/>
  <c r="AE195" i="6"/>
  <c r="AE194" i="6"/>
  <c r="AD194" i="6"/>
  <c r="C250" i="6"/>
  <c r="B250" i="6"/>
  <c r="R223" i="6"/>
  <c r="S223" i="6"/>
  <c r="S255" i="6"/>
  <c r="R255" i="6"/>
  <c r="R262" i="6"/>
  <c r="S262" i="6"/>
  <c r="AE254" i="6"/>
  <c r="AD254" i="6"/>
  <c r="AE206" i="6"/>
  <c r="AD206" i="6"/>
  <c r="C225" i="6"/>
  <c r="B225" i="6"/>
  <c r="R216" i="6"/>
  <c r="S216" i="6"/>
  <c r="AD204" i="6"/>
  <c r="AE204" i="6"/>
  <c r="AE209" i="6"/>
  <c r="AD209" i="6"/>
  <c r="S233" i="6"/>
  <c r="R233" i="6"/>
  <c r="B235" i="6"/>
  <c r="C235" i="6"/>
  <c r="S264" i="6"/>
  <c r="R264" i="6"/>
  <c r="S268" i="6"/>
  <c r="R268" i="6"/>
  <c r="C164" i="4"/>
  <c r="D164" i="4" s="1"/>
  <c r="J164" i="4" s="1"/>
  <c r="B164" i="4"/>
  <c r="R219" i="6"/>
  <c r="S219" i="6"/>
  <c r="AD203" i="6"/>
  <c r="AE203" i="6"/>
  <c r="AE185" i="6"/>
  <c r="AD185" i="6"/>
  <c r="C237" i="6"/>
  <c r="B237" i="6"/>
  <c r="S261" i="6"/>
  <c r="R261" i="6"/>
  <c r="AE232" i="6"/>
  <c r="AD232" i="6"/>
  <c r="AD211" i="6"/>
  <c r="AE211" i="6"/>
  <c r="AD197" i="6"/>
  <c r="AE197" i="6"/>
  <c r="C195" i="6"/>
  <c r="B195" i="6"/>
  <c r="AE247" i="6"/>
  <c r="AD247" i="6"/>
  <c r="AD199" i="6"/>
  <c r="AE199" i="6"/>
  <c r="B221" i="6"/>
  <c r="C221" i="6"/>
  <c r="B275" i="6"/>
  <c r="C275" i="6"/>
  <c r="B224" i="6"/>
  <c r="C224" i="6"/>
  <c r="R191" i="6"/>
  <c r="S191" i="6"/>
  <c r="AD210" i="6"/>
  <c r="AE210" i="6"/>
  <c r="C258" i="6"/>
  <c r="B258" i="6"/>
  <c r="R199" i="6"/>
  <c r="S199" i="6"/>
  <c r="C242" i="6"/>
  <c r="B242" i="6"/>
  <c r="S221" i="6"/>
  <c r="R221" i="6"/>
  <c r="S245" i="6"/>
  <c r="R245" i="6"/>
  <c r="S265" i="6"/>
  <c r="R265" i="6"/>
  <c r="AE221" i="6"/>
  <c r="AD221" i="6"/>
  <c r="S243" i="6"/>
  <c r="R243" i="6"/>
  <c r="AE265" i="6"/>
  <c r="AD265" i="6"/>
  <c r="C279" i="6"/>
  <c r="B279" i="6"/>
  <c r="B215" i="6"/>
  <c r="C215" i="6"/>
  <c r="AE237" i="6"/>
  <c r="AD237" i="6"/>
  <c r="B267" i="6"/>
  <c r="C267" i="6"/>
  <c r="S252" i="6"/>
  <c r="R252" i="6"/>
  <c r="AD269" i="6"/>
  <c r="AE269" i="6"/>
  <c r="S222" i="6"/>
  <c r="R222" i="6"/>
  <c r="C245" i="6"/>
  <c r="B245" i="6"/>
  <c r="AE264" i="6"/>
  <c r="AD264" i="6"/>
  <c r="R248" i="6"/>
  <c r="S248" i="6"/>
  <c r="C273" i="6"/>
  <c r="B273" i="6"/>
  <c r="C178" i="4"/>
  <c r="D178" i="4" s="1"/>
  <c r="J178" i="4" s="1"/>
  <c r="B178" i="4"/>
  <c r="B176" i="4"/>
  <c r="C176" i="4"/>
  <c r="D176" i="4" s="1"/>
  <c r="J176" i="4" s="1"/>
  <c r="C171" i="4"/>
  <c r="D171" i="4" s="1"/>
  <c r="J171" i="4" s="1"/>
  <c r="B171" i="4"/>
  <c r="E167" i="5"/>
  <c r="C167" i="5"/>
  <c r="D167" i="5" s="1"/>
  <c r="AD190" i="6"/>
  <c r="AE190" i="6"/>
  <c r="C260" i="6"/>
  <c r="B260" i="6"/>
  <c r="S242" i="6"/>
  <c r="R242" i="6"/>
  <c r="AD225" i="6"/>
  <c r="AE225" i="6"/>
  <c r="AD259" i="6"/>
  <c r="AE259" i="6"/>
  <c r="S260" i="6"/>
  <c r="R260" i="6"/>
  <c r="AE215" i="6"/>
  <c r="AD215" i="6"/>
  <c r="AE260" i="6"/>
  <c r="AD260" i="6"/>
  <c r="R238" i="6"/>
  <c r="S238" i="6"/>
  <c r="C198" i="6"/>
  <c r="B198" i="6"/>
  <c r="AD256" i="6"/>
  <c r="AE256" i="6"/>
  <c r="S202" i="6"/>
  <c r="R202" i="6"/>
  <c r="AE223" i="6"/>
  <c r="AD223" i="6"/>
  <c r="R278" i="6"/>
  <c r="S278" i="6"/>
  <c r="R192" i="6"/>
  <c r="S192" i="6"/>
  <c r="B262" i="6"/>
  <c r="C262" i="6"/>
  <c r="AE253" i="6"/>
  <c r="AD253" i="6"/>
  <c r="AE222" i="6"/>
  <c r="AD222" i="6"/>
  <c r="B248" i="6"/>
  <c r="C248" i="6"/>
  <c r="AE266" i="6"/>
  <c r="AD266" i="6"/>
  <c r="B223" i="6"/>
  <c r="C223" i="6"/>
  <c r="AD245" i="6"/>
  <c r="AE245" i="6"/>
  <c r="S269" i="6"/>
  <c r="R269" i="6"/>
  <c r="S204" i="6"/>
  <c r="R204" i="6"/>
  <c r="S220" i="6"/>
  <c r="R220" i="6"/>
  <c r="C239" i="6"/>
  <c r="B239" i="6"/>
  <c r="C271" i="6"/>
  <c r="B271" i="6"/>
  <c r="B254" i="6"/>
  <c r="C254" i="6"/>
  <c r="C274" i="6"/>
  <c r="B274" i="6"/>
  <c r="R225" i="6"/>
  <c r="S225" i="6"/>
  <c r="S247" i="6"/>
  <c r="R247" i="6"/>
  <c r="S266" i="6"/>
  <c r="R266" i="6"/>
  <c r="B251" i="6"/>
  <c r="C251" i="6"/>
  <c r="R274" i="6"/>
  <c r="S274" i="6"/>
  <c r="C176" i="5"/>
  <c r="D176" i="5" s="1"/>
  <c r="E176" i="5"/>
  <c r="I176" i="5" s="1"/>
  <c r="C171" i="5"/>
  <c r="D171" i="5" s="1"/>
  <c r="E171" i="5"/>
  <c r="F171" i="5" s="1" a="1"/>
  <c r="F171" i="5" s="1"/>
  <c r="G171" i="5" s="1"/>
  <c r="R214" i="6"/>
  <c r="S214" i="6"/>
  <c r="AE246" i="6"/>
  <c r="AD246" i="6"/>
  <c r="B189" i="6"/>
  <c r="C189" i="6"/>
  <c r="AD201" i="6"/>
  <c r="AE201" i="6"/>
  <c r="S208" i="6"/>
  <c r="R208" i="6"/>
  <c r="AD231" i="6"/>
  <c r="AE231" i="6"/>
  <c r="C211" i="6"/>
  <c r="B211" i="6"/>
  <c r="B261" i="6"/>
  <c r="C261" i="6"/>
  <c r="S232" i="6"/>
  <c r="R232" i="6"/>
  <c r="C180" i="4"/>
  <c r="D180" i="4" s="1"/>
  <c r="J180" i="4" s="1"/>
  <c r="B180" i="4"/>
  <c r="C181" i="5"/>
  <c r="D181" i="5" s="1"/>
  <c r="E181" i="5"/>
  <c r="I181" i="5" s="1"/>
  <c r="E177" i="5"/>
  <c r="I177" i="5" s="1"/>
  <c r="C177" i="5"/>
  <c r="D177" i="5" s="1"/>
  <c r="B244" i="6"/>
  <c r="C244" i="6"/>
  <c r="B217" i="6"/>
  <c r="C217" i="6"/>
  <c r="R209" i="6"/>
  <c r="S209" i="6"/>
  <c r="B185" i="6"/>
  <c r="C185" i="6"/>
  <c r="AE229" i="6"/>
  <c r="AD229" i="6"/>
  <c r="B191" i="6"/>
  <c r="C191" i="6"/>
  <c r="C186" i="6"/>
  <c r="B186" i="6"/>
  <c r="AE186" i="6"/>
  <c r="AD186" i="6"/>
  <c r="B187" i="6"/>
  <c r="C187" i="6"/>
  <c r="C228" i="6"/>
  <c r="B228" i="6"/>
  <c r="C203" i="6"/>
  <c r="B203" i="6"/>
  <c r="S200" i="6"/>
  <c r="R200" i="6"/>
  <c r="R273" i="6"/>
  <c r="S273" i="6"/>
  <c r="C205" i="6"/>
  <c r="B205" i="6"/>
  <c r="B230" i="6"/>
  <c r="C230" i="6"/>
  <c r="C196" i="6"/>
  <c r="B196" i="6"/>
  <c r="B233" i="6"/>
  <c r="C233" i="6"/>
  <c r="R195" i="6"/>
  <c r="S195" i="6"/>
  <c r="B220" i="6"/>
  <c r="C220" i="6"/>
  <c r="AD184" i="6"/>
  <c r="AE184" i="6"/>
  <c r="S215" i="6"/>
  <c r="R215" i="6"/>
  <c r="C263" i="6"/>
  <c r="B263" i="6"/>
  <c r="C226" i="6"/>
  <c r="B226" i="6"/>
  <c r="AD249" i="6"/>
  <c r="AE249" i="6"/>
  <c r="C268" i="6"/>
  <c r="B268" i="6"/>
  <c r="R224" i="6"/>
  <c r="S224" i="6"/>
  <c r="C247" i="6"/>
  <c r="B247" i="6"/>
  <c r="AD270" i="6"/>
  <c r="AE270" i="6"/>
  <c r="R207" i="6"/>
  <c r="S207" i="6"/>
  <c r="B222" i="6"/>
  <c r="C222" i="6"/>
  <c r="AD244" i="6"/>
  <c r="AE244" i="6"/>
  <c r="R272" i="6"/>
  <c r="S272" i="6"/>
  <c r="B256" i="6"/>
  <c r="C256" i="6"/>
  <c r="AD276" i="6"/>
  <c r="AE276" i="6"/>
  <c r="C227" i="6"/>
  <c r="B227" i="6"/>
  <c r="C249" i="6"/>
  <c r="B249" i="6"/>
  <c r="AE267" i="6"/>
  <c r="AD267" i="6"/>
  <c r="S254" i="6"/>
  <c r="R254" i="6"/>
  <c r="AD275" i="6"/>
  <c r="AE275" i="6"/>
  <c r="B175" i="4"/>
  <c r="C175" i="4"/>
  <c r="D175" i="4" s="1"/>
  <c r="J175" i="4" s="1"/>
  <c r="B162" i="4"/>
  <c r="C162" i="4"/>
  <c r="D162" i="4" s="1"/>
  <c r="J162" i="4" s="1"/>
  <c r="C179" i="5"/>
  <c r="D179" i="5" s="1"/>
  <c r="E179" i="5"/>
  <c r="I179" i="5" s="1"/>
  <c r="E175" i="5"/>
  <c r="F175" i="5" s="1" a="1"/>
  <c r="F175" i="5" s="1"/>
  <c r="G175" i="5" s="1"/>
  <c r="C175" i="5"/>
  <c r="D175" i="5" s="1"/>
  <c r="C169" i="5"/>
  <c r="D169" i="5" s="1"/>
  <c r="K170" i="5"/>
  <c r="E169" i="5"/>
  <c r="I169" i="5" s="1"/>
  <c r="S201" i="6"/>
  <c r="R201" i="6"/>
  <c r="B184" i="6"/>
  <c r="C184" i="6"/>
  <c r="B204" i="6"/>
  <c r="C204" i="6"/>
  <c r="B190" i="6"/>
  <c r="C190" i="6"/>
  <c r="C240" i="6"/>
  <c r="B240" i="6"/>
  <c r="S275" i="6"/>
  <c r="R275" i="6"/>
  <c r="S279" i="6"/>
  <c r="R279" i="6"/>
  <c r="B179" i="4"/>
  <c r="C179" i="4"/>
  <c r="D179" i="4" s="1"/>
  <c r="J179" i="4" s="1"/>
  <c r="B181" i="4"/>
  <c r="C181" i="4"/>
  <c r="D181" i="4" s="1"/>
  <c r="J181" i="4" s="1"/>
  <c r="E168" i="5"/>
  <c r="I168" i="5" s="1"/>
  <c r="C168" i="5"/>
  <c r="D168" i="5" s="1"/>
  <c r="S198" i="6"/>
  <c r="R198" i="6"/>
  <c r="C216" i="6"/>
  <c r="B216" i="6"/>
  <c r="S187" i="6"/>
  <c r="R187" i="6"/>
  <c r="B214" i="6"/>
  <c r="C214" i="6"/>
  <c r="S237" i="6"/>
  <c r="R237" i="6"/>
  <c r="AE241" i="6"/>
  <c r="AD241" i="6"/>
  <c r="B257" i="6"/>
  <c r="C257" i="6"/>
  <c r="C264" i="6"/>
  <c r="B264" i="6"/>
  <c r="R241" i="6"/>
  <c r="S241" i="6"/>
  <c r="B161" i="4"/>
  <c r="C161" i="4"/>
  <c r="D161" i="4" s="1"/>
  <c r="J161" i="4" s="1"/>
  <c r="B159" i="4"/>
  <c r="C159" i="4"/>
  <c r="D159" i="4" s="1"/>
  <c r="J159" i="4" s="1"/>
  <c r="B213" i="6"/>
  <c r="C213" i="6"/>
  <c r="C277" i="6"/>
  <c r="B277" i="6"/>
  <c r="C200" i="6"/>
  <c r="B200" i="6"/>
  <c r="AE227" i="6"/>
  <c r="AD227" i="6"/>
  <c r="D4" i="8"/>
  <c r="S190" i="6"/>
  <c r="R190" i="6"/>
  <c r="AD242" i="6"/>
  <c r="AE242" i="6"/>
  <c r="S196" i="6"/>
  <c r="R196" i="6"/>
  <c r="AD193" i="6"/>
  <c r="AE193" i="6"/>
  <c r="AE191" i="6"/>
  <c r="AD191" i="6"/>
  <c r="R189" i="6"/>
  <c r="S189" i="6"/>
  <c r="B234" i="6"/>
  <c r="C234" i="6"/>
  <c r="S256" i="6"/>
  <c r="R256" i="6"/>
  <c r="S203" i="6"/>
  <c r="R203" i="6"/>
  <c r="R185" i="6"/>
  <c r="S185" i="6"/>
  <c r="B206" i="6"/>
  <c r="C206" i="6"/>
  <c r="AE235" i="6"/>
  <c r="AD235" i="6"/>
  <c r="C201" i="6"/>
  <c r="B201" i="6"/>
  <c r="S236" i="6"/>
  <c r="R236" i="6"/>
  <c r="B197" i="6"/>
  <c r="C197" i="6"/>
  <c r="S226" i="6"/>
  <c r="R226" i="6"/>
  <c r="AD187" i="6"/>
  <c r="AE187" i="6"/>
  <c r="R218" i="6"/>
  <c r="S218" i="6"/>
  <c r="C270" i="6"/>
  <c r="B270" i="6"/>
  <c r="C236" i="6"/>
  <c r="B236" i="6"/>
  <c r="AE251" i="6"/>
  <c r="AD251" i="6"/>
  <c r="C269" i="6"/>
  <c r="B269" i="6"/>
  <c r="B229" i="6"/>
  <c r="C229" i="6"/>
  <c r="AE248" i="6"/>
  <c r="AD248" i="6"/>
  <c r="C272" i="6"/>
  <c r="B272" i="6"/>
  <c r="AD208" i="6"/>
  <c r="AE208" i="6"/>
  <c r="AD224" i="6"/>
  <c r="AE224" i="6"/>
  <c r="AE255" i="6"/>
  <c r="AD255" i="6"/>
  <c r="B238" i="6"/>
  <c r="C238" i="6"/>
  <c r="S257" i="6"/>
  <c r="R257" i="6"/>
  <c r="B278" i="6"/>
  <c r="C278" i="6"/>
  <c r="R228" i="6"/>
  <c r="S228" i="6"/>
  <c r="AE250" i="6"/>
  <c r="AD250" i="6"/>
  <c r="AD268" i="6"/>
  <c r="AE268" i="6"/>
  <c r="AE261" i="6"/>
  <c r="AD261" i="6"/>
  <c r="AE278" i="6"/>
  <c r="AD278" i="6"/>
  <c r="B170" i="4"/>
  <c r="C170" i="4"/>
  <c r="D170" i="4" s="1"/>
  <c r="K170" i="4" s="1"/>
  <c r="H171" i="4" s="1"/>
  <c r="E170" i="5"/>
  <c r="F170" i="5" s="1" a="1"/>
  <c r="F170" i="5" s="1"/>
  <c r="G170" i="5" s="1"/>
  <c r="C170" i="5"/>
  <c r="D170" i="5" s="1"/>
  <c r="E166" i="5"/>
  <c r="F166" i="5" s="1" a="1"/>
  <c r="F166" i="5" s="1"/>
  <c r="G166" i="5" s="1"/>
  <c r="E172" i="5"/>
  <c r="I172" i="5" s="1"/>
  <c r="C172" i="5"/>
  <c r="D172" i="5" s="1"/>
  <c r="A17" i="7"/>
  <c r="E34" i="2"/>
  <c r="D5" i="7" l="1"/>
  <c r="A6" i="9"/>
  <c r="D5" i="8"/>
  <c r="D6" i="8" s="1"/>
  <c r="A6" i="7"/>
  <c r="I173" i="5"/>
  <c r="F180" i="5" a="1"/>
  <c r="F180" i="5" s="1"/>
  <c r="G180" i="5" s="1"/>
  <c r="W17" i="7"/>
  <c r="X17" i="7"/>
  <c r="Y17" i="7"/>
  <c r="AA17" i="7"/>
  <c r="U17" i="7"/>
  <c r="K17" i="7"/>
  <c r="V17" i="7"/>
  <c r="Z17" i="7"/>
  <c r="F172" i="5" a="1"/>
  <c r="F172" i="5" s="1"/>
  <c r="G172" i="5" s="1"/>
  <c r="F168" i="5" a="1"/>
  <c r="F168" i="5" s="1"/>
  <c r="G168" i="5" s="1"/>
  <c r="F179" i="5" a="1"/>
  <c r="F179" i="5" s="1"/>
  <c r="G179" i="5" s="1"/>
  <c r="I178" i="5"/>
  <c r="I171" i="5"/>
  <c r="F169" i="5" a="1"/>
  <c r="F169" i="5" s="1"/>
  <c r="G169" i="5" s="1"/>
  <c r="F176" i="5" a="1"/>
  <c r="F176" i="5" s="1"/>
  <c r="G176" i="5" s="1"/>
  <c r="I175" i="5"/>
  <c r="F177" i="5" a="1"/>
  <c r="F177" i="5" s="1"/>
  <c r="G177" i="5" s="1"/>
  <c r="F174" i="5" a="1"/>
  <c r="F174" i="5" s="1"/>
  <c r="G174" i="5" s="1"/>
  <c r="I174" i="5"/>
  <c r="I167" i="5"/>
  <c r="F167" i="5" a="1"/>
  <c r="F167" i="5" s="1"/>
  <c r="G167" i="5" s="1"/>
  <c r="I166" i="5"/>
  <c r="I165" i="5"/>
  <c r="F165" i="5" a="1"/>
  <c r="F165" i="5" s="1"/>
  <c r="G165" i="5" s="1"/>
  <c r="I170" i="5"/>
  <c r="F181" i="5" a="1"/>
  <c r="F181" i="5" s="1"/>
  <c r="G181" i="5" s="1"/>
  <c r="A7" i="8"/>
  <c r="A18" i="7"/>
  <c r="A7" i="9" l="1"/>
  <c r="A7" i="7"/>
  <c r="D6" i="7"/>
  <c r="X18" i="7"/>
  <c r="Y18" i="7"/>
  <c r="Z18" i="7"/>
  <c r="AA18" i="7"/>
  <c r="V18" i="7"/>
  <c r="U18" i="7"/>
  <c r="K18" i="7"/>
  <c r="W18" i="7"/>
  <c r="A8" i="8"/>
  <c r="D7" i="8"/>
  <c r="A19" i="7"/>
  <c r="A8" i="9" l="1"/>
  <c r="D7" i="7"/>
  <c r="A8" i="7"/>
  <c r="Y19" i="7"/>
  <c r="Z19" i="7"/>
  <c r="AA19" i="7"/>
  <c r="U19" i="7"/>
  <c r="K19" i="7"/>
  <c r="V19" i="7"/>
  <c r="W19" i="7"/>
  <c r="X19" i="7"/>
  <c r="D8" i="8"/>
  <c r="A9" i="8"/>
  <c r="A9" i="9" l="1"/>
  <c r="D8" i="7"/>
  <c r="A9" i="7"/>
  <c r="D9" i="8"/>
  <c r="A10" i="8"/>
  <c r="W3" i="9"/>
  <c r="S3" i="7"/>
  <c r="B3" i="9"/>
  <c r="D18" i="1"/>
  <c r="A10" i="9" l="1"/>
  <c r="D9" i="7"/>
  <c r="A10" i="7"/>
  <c r="D10" i="8"/>
  <c r="A11" i="8"/>
  <c r="R3" i="7"/>
  <c r="B3" i="7"/>
  <c r="AB3" i="7" s="1" a="1"/>
  <c r="AB3" i="7" s="1"/>
  <c r="B10" i="9"/>
  <c r="B8" i="9"/>
  <c r="B5" i="9"/>
  <c r="W4" i="9"/>
  <c r="B4" i="9"/>
  <c r="A108" i="3"/>
  <c r="A12" i="3"/>
  <c r="A76" i="3"/>
  <c r="B126" i="3"/>
  <c r="B140" i="3"/>
  <c r="A44" i="3"/>
  <c r="B132" i="3"/>
  <c r="B6" i="9"/>
  <c r="B3" i="8"/>
  <c r="AC3" i="8" s="1" a="1"/>
  <c r="AC3" i="8" s="1"/>
  <c r="R3" i="8"/>
  <c r="S4" i="8" s="1"/>
  <c r="P3" i="8"/>
  <c r="Q4" i="8" s="1"/>
  <c r="R5" i="8" s="1"/>
  <c r="H3" i="8"/>
  <c r="Q3" i="8"/>
  <c r="S3" i="8"/>
  <c r="B7" i="9"/>
  <c r="H4" i="8"/>
  <c r="B9" i="9"/>
  <c r="Q3" i="7"/>
  <c r="P3" i="7"/>
  <c r="H3" i="7"/>
  <c r="B5" i="5"/>
  <c r="B7" i="5"/>
  <c r="B9" i="5"/>
  <c r="B11" i="5"/>
  <c r="B13" i="5"/>
  <c r="B15" i="5"/>
  <c r="B17" i="5"/>
  <c r="B19" i="5"/>
  <c r="B21" i="5"/>
  <c r="B23" i="5"/>
  <c r="B25" i="5"/>
  <c r="B27" i="5"/>
  <c r="B29" i="5"/>
  <c r="B31" i="5"/>
  <c r="B33" i="5"/>
  <c r="B35" i="5"/>
  <c r="B37" i="5"/>
  <c r="B39" i="5"/>
  <c r="B41" i="5"/>
  <c r="B43" i="5"/>
  <c r="B45" i="5"/>
  <c r="B47" i="5"/>
  <c r="B49" i="5"/>
  <c r="B51" i="5"/>
  <c r="B53" i="5"/>
  <c r="B55" i="5"/>
  <c r="B57" i="5"/>
  <c r="B59" i="5"/>
  <c r="B61" i="5"/>
  <c r="B63" i="5"/>
  <c r="B65" i="5"/>
  <c r="A2" i="5"/>
  <c r="B2" i="5"/>
  <c r="A4" i="5"/>
  <c r="B4" i="5"/>
  <c r="A6" i="5"/>
  <c r="A8" i="5"/>
  <c r="A10" i="5"/>
  <c r="A12" i="5"/>
  <c r="A14" i="5"/>
  <c r="A16" i="5"/>
  <c r="A18" i="5"/>
  <c r="A20" i="5"/>
  <c r="A22" i="5"/>
  <c r="A24" i="5"/>
  <c r="A26" i="5"/>
  <c r="A28" i="5"/>
  <c r="A30" i="5"/>
  <c r="A32" i="5"/>
  <c r="A34" i="5"/>
  <c r="A36" i="5"/>
  <c r="A38" i="5"/>
  <c r="A40" i="5"/>
  <c r="A42" i="5"/>
  <c r="A44" i="5"/>
  <c r="A46" i="5"/>
  <c r="A48" i="5"/>
  <c r="A50" i="5"/>
  <c r="A52" i="5"/>
  <c r="A54" i="5"/>
  <c r="A56" i="5"/>
  <c r="A58" i="5"/>
  <c r="A60" i="5"/>
  <c r="A62" i="5"/>
  <c r="A64" i="5"/>
  <c r="A66" i="5"/>
  <c r="B6" i="5"/>
  <c r="B8" i="5"/>
  <c r="B10" i="5"/>
  <c r="B12" i="5"/>
  <c r="B14" i="5"/>
  <c r="B16" i="5"/>
  <c r="B18" i="5"/>
  <c r="B20" i="5"/>
  <c r="B22" i="5"/>
  <c r="B24" i="5"/>
  <c r="B26" i="5"/>
  <c r="B28" i="5"/>
  <c r="B30" i="5"/>
  <c r="B32" i="5"/>
  <c r="B34" i="5"/>
  <c r="B36" i="5"/>
  <c r="B38" i="5"/>
  <c r="B40" i="5"/>
  <c r="B42" i="5"/>
  <c r="B44" i="5"/>
  <c r="B46" i="5"/>
  <c r="B48" i="5"/>
  <c r="B50" i="5"/>
  <c r="B52" i="5"/>
  <c r="B54" i="5"/>
  <c r="B56" i="5"/>
  <c r="B58" i="5"/>
  <c r="B60" i="5"/>
  <c r="B62" i="5"/>
  <c r="B64" i="5"/>
  <c r="B66" i="5"/>
  <c r="B3" i="5"/>
  <c r="A5" i="5"/>
  <c r="A7" i="5"/>
  <c r="A9" i="5"/>
  <c r="A11" i="5"/>
  <c r="A13" i="5"/>
  <c r="A15" i="5"/>
  <c r="A17" i="5"/>
  <c r="A19" i="5"/>
  <c r="A21" i="5"/>
  <c r="A23" i="5"/>
  <c r="A25" i="5"/>
  <c r="A27" i="5"/>
  <c r="A29" i="5"/>
  <c r="A31" i="5"/>
  <c r="A33" i="5"/>
  <c r="A35" i="5"/>
  <c r="A37" i="5"/>
  <c r="A39" i="5"/>
  <c r="A41" i="5"/>
  <c r="A43" i="5"/>
  <c r="A45" i="5"/>
  <c r="A47" i="5"/>
  <c r="A49" i="5"/>
  <c r="A51" i="5"/>
  <c r="A53" i="5"/>
  <c r="A55" i="5"/>
  <c r="A57" i="5"/>
  <c r="A59" i="5"/>
  <c r="A61" i="5"/>
  <c r="A63" i="5"/>
  <c r="A65" i="5"/>
  <c r="A3" i="5"/>
  <c r="B68" i="5"/>
  <c r="B70" i="5"/>
  <c r="B72" i="5"/>
  <c r="B74" i="5"/>
  <c r="B76" i="5"/>
  <c r="B78" i="5"/>
  <c r="B80" i="5"/>
  <c r="B82" i="5"/>
  <c r="B84" i="5"/>
  <c r="B86" i="5"/>
  <c r="B88" i="5"/>
  <c r="B90" i="5"/>
  <c r="B92" i="5"/>
  <c r="B94" i="5"/>
  <c r="B96" i="5"/>
  <c r="B98" i="5"/>
  <c r="B100" i="5"/>
  <c r="B102" i="5"/>
  <c r="B104" i="5"/>
  <c r="B106" i="5"/>
  <c r="B108" i="5"/>
  <c r="B110" i="5"/>
  <c r="B112" i="5"/>
  <c r="B114" i="5"/>
  <c r="B116" i="5"/>
  <c r="B118" i="5"/>
  <c r="B120" i="5"/>
  <c r="B122" i="5"/>
  <c r="B124" i="5"/>
  <c r="B126" i="5"/>
  <c r="B128" i="5"/>
  <c r="B130" i="5"/>
  <c r="B132" i="5"/>
  <c r="B134" i="5"/>
  <c r="B136" i="5"/>
  <c r="B138" i="5"/>
  <c r="B140" i="5"/>
  <c r="B142" i="5"/>
  <c r="B144" i="5"/>
  <c r="B146" i="5"/>
  <c r="B148" i="5"/>
  <c r="B150" i="5"/>
  <c r="B152" i="5"/>
  <c r="B154" i="5"/>
  <c r="B156" i="5"/>
  <c r="B158" i="5"/>
  <c r="B160" i="5"/>
  <c r="B162" i="5"/>
  <c r="B164" i="5"/>
  <c r="A67" i="5"/>
  <c r="A69" i="5"/>
  <c r="A71" i="5"/>
  <c r="A73" i="5"/>
  <c r="A75" i="5"/>
  <c r="A77" i="5"/>
  <c r="A79" i="5"/>
  <c r="A81" i="5"/>
  <c r="A83" i="5"/>
  <c r="A85" i="5"/>
  <c r="A87" i="5"/>
  <c r="A89" i="5"/>
  <c r="A91" i="5"/>
  <c r="A93" i="5"/>
  <c r="A95" i="5"/>
  <c r="A97" i="5"/>
  <c r="A99" i="5"/>
  <c r="A101" i="5"/>
  <c r="A103" i="5"/>
  <c r="A105" i="5"/>
  <c r="A107" i="5"/>
  <c r="A109" i="5"/>
  <c r="A111" i="5"/>
  <c r="A113" i="5"/>
  <c r="A115" i="5"/>
  <c r="A117" i="5"/>
  <c r="A119" i="5"/>
  <c r="A121" i="5"/>
  <c r="A123" i="5"/>
  <c r="A125" i="5"/>
  <c r="A127" i="5"/>
  <c r="A129" i="5"/>
  <c r="A131" i="5"/>
  <c r="A133" i="5"/>
  <c r="A135" i="5"/>
  <c r="A137" i="5"/>
  <c r="A139" i="5"/>
  <c r="A141" i="5"/>
  <c r="A143" i="5"/>
  <c r="A145" i="5"/>
  <c r="A147" i="5"/>
  <c r="A149" i="5"/>
  <c r="A151" i="5"/>
  <c r="A153" i="5"/>
  <c r="A155" i="5"/>
  <c r="A157" i="5"/>
  <c r="A159" i="5"/>
  <c r="A161" i="5"/>
  <c r="A163" i="5"/>
  <c r="B67" i="5"/>
  <c r="B69" i="5"/>
  <c r="B71" i="5"/>
  <c r="B73" i="5"/>
  <c r="B75" i="5"/>
  <c r="B77" i="5"/>
  <c r="B79" i="5"/>
  <c r="B81" i="5"/>
  <c r="B83" i="5"/>
  <c r="B85" i="5"/>
  <c r="B87" i="5"/>
  <c r="B89" i="5"/>
  <c r="B91" i="5"/>
  <c r="B93" i="5"/>
  <c r="B95" i="5"/>
  <c r="B97" i="5"/>
  <c r="B99" i="5"/>
  <c r="B101" i="5"/>
  <c r="B103" i="5"/>
  <c r="B105" i="5"/>
  <c r="B107" i="5"/>
  <c r="B109" i="5"/>
  <c r="B111" i="5"/>
  <c r="B113" i="5"/>
  <c r="B115" i="5"/>
  <c r="B117" i="5"/>
  <c r="B119" i="5"/>
  <c r="B121" i="5"/>
  <c r="B123" i="5"/>
  <c r="B125" i="5"/>
  <c r="B127" i="5"/>
  <c r="B129" i="5"/>
  <c r="B131" i="5"/>
  <c r="B133" i="5"/>
  <c r="B135" i="5"/>
  <c r="B137" i="5"/>
  <c r="B139" i="5"/>
  <c r="B141" i="5"/>
  <c r="B143" i="5"/>
  <c r="B145" i="5"/>
  <c r="B147" i="5"/>
  <c r="B149" i="5"/>
  <c r="B151" i="5"/>
  <c r="B153" i="5"/>
  <c r="B155" i="5"/>
  <c r="B157" i="5"/>
  <c r="B159" i="5"/>
  <c r="B161" i="5"/>
  <c r="B163" i="5"/>
  <c r="A68" i="5"/>
  <c r="A70" i="5"/>
  <c r="A72" i="5"/>
  <c r="A74" i="5"/>
  <c r="A76" i="5"/>
  <c r="A78" i="5"/>
  <c r="A80" i="5"/>
  <c r="A82" i="5"/>
  <c r="A84" i="5"/>
  <c r="A86" i="5"/>
  <c r="A88" i="5"/>
  <c r="A90" i="5"/>
  <c r="A92" i="5"/>
  <c r="A94" i="5"/>
  <c r="A96" i="5"/>
  <c r="A98" i="5"/>
  <c r="A100" i="5"/>
  <c r="A102" i="5"/>
  <c r="A104" i="5"/>
  <c r="A106" i="5"/>
  <c r="A108" i="5"/>
  <c r="A110" i="5"/>
  <c r="A112" i="5"/>
  <c r="A114" i="5"/>
  <c r="A116" i="5"/>
  <c r="A118" i="5"/>
  <c r="A120" i="5"/>
  <c r="A122" i="5"/>
  <c r="A124" i="5"/>
  <c r="A126" i="5"/>
  <c r="A128" i="5"/>
  <c r="A130" i="5"/>
  <c r="A132" i="5"/>
  <c r="A134" i="5"/>
  <c r="A136" i="5"/>
  <c r="A138" i="5"/>
  <c r="A140" i="5"/>
  <c r="A142" i="5"/>
  <c r="A144" i="5"/>
  <c r="A146" i="5"/>
  <c r="A148" i="5"/>
  <c r="A150" i="5"/>
  <c r="A152" i="5"/>
  <c r="A154" i="5"/>
  <c r="A156" i="5"/>
  <c r="A158" i="5"/>
  <c r="A160" i="5"/>
  <c r="A162" i="5"/>
  <c r="A164" i="5"/>
  <c r="H4" i="7"/>
  <c r="B2" i="3"/>
  <c r="A3" i="3"/>
  <c r="B3" i="3"/>
  <c r="A5" i="3"/>
  <c r="A7" i="3"/>
  <c r="A9" i="3"/>
  <c r="A11" i="3"/>
  <c r="A13" i="3"/>
  <c r="A15" i="3"/>
  <c r="A17" i="3"/>
  <c r="A19" i="3"/>
  <c r="A21" i="3"/>
  <c r="A23" i="3"/>
  <c r="A25" i="3"/>
  <c r="A27" i="3"/>
  <c r="A29" i="3"/>
  <c r="A31" i="3"/>
  <c r="A33" i="3"/>
  <c r="A35" i="3"/>
  <c r="A37" i="3"/>
  <c r="A39" i="3"/>
  <c r="A41" i="3"/>
  <c r="A43" i="3"/>
  <c r="A45" i="3"/>
  <c r="A47" i="3"/>
  <c r="A49" i="3"/>
  <c r="A51" i="3"/>
  <c r="A53" i="3"/>
  <c r="A55" i="3"/>
  <c r="A57" i="3"/>
  <c r="A59" i="3"/>
  <c r="A61" i="3"/>
  <c r="A63" i="3"/>
  <c r="A65" i="3"/>
  <c r="A67" i="3"/>
  <c r="A69" i="3"/>
  <c r="A71" i="3"/>
  <c r="A73" i="3"/>
  <c r="A75" i="3"/>
  <c r="A77" i="3"/>
  <c r="A79" i="3"/>
  <c r="A81" i="3"/>
  <c r="A83" i="3"/>
  <c r="A85" i="3"/>
  <c r="A87" i="3"/>
  <c r="A89" i="3"/>
  <c r="A91" i="3"/>
  <c r="A93" i="3"/>
  <c r="A95" i="3"/>
  <c r="A97" i="3"/>
  <c r="A99" i="3"/>
  <c r="A101" i="3"/>
  <c r="A103" i="3"/>
  <c r="A105" i="3"/>
  <c r="A107" i="3"/>
  <c r="A109" i="3"/>
  <c r="A111" i="3"/>
  <c r="A113" i="3"/>
  <c r="A115" i="3"/>
  <c r="A117" i="3"/>
  <c r="A119" i="3"/>
  <c r="A121" i="3"/>
  <c r="A123" i="3"/>
  <c r="A125" i="3"/>
  <c r="A127" i="3"/>
  <c r="B5" i="3"/>
  <c r="B7" i="3"/>
  <c r="B9" i="3"/>
  <c r="B11" i="3"/>
  <c r="B13" i="3"/>
  <c r="B15" i="3"/>
  <c r="B17" i="3"/>
  <c r="B19" i="3"/>
  <c r="B21" i="3"/>
  <c r="B23" i="3"/>
  <c r="B25" i="3"/>
  <c r="B27" i="3"/>
  <c r="B29" i="3"/>
  <c r="B31" i="3"/>
  <c r="B33" i="3"/>
  <c r="B35" i="3"/>
  <c r="B37" i="3"/>
  <c r="B39" i="3"/>
  <c r="B41" i="3"/>
  <c r="B43" i="3"/>
  <c r="B45" i="3"/>
  <c r="B47" i="3"/>
  <c r="B49" i="3"/>
  <c r="B51" i="3"/>
  <c r="B53" i="3"/>
  <c r="B55" i="3"/>
  <c r="B57" i="3"/>
  <c r="B59" i="3"/>
  <c r="B61" i="3"/>
  <c r="B63" i="3"/>
  <c r="B65" i="3"/>
  <c r="B67" i="3"/>
  <c r="B69" i="3"/>
  <c r="B71" i="3"/>
  <c r="B73" i="3"/>
  <c r="B75" i="3"/>
  <c r="B77" i="3"/>
  <c r="B79" i="3"/>
  <c r="B81" i="3"/>
  <c r="B83" i="3"/>
  <c r="B85" i="3"/>
  <c r="B87" i="3"/>
  <c r="B89" i="3"/>
  <c r="B91" i="3"/>
  <c r="B93" i="3"/>
  <c r="B95" i="3"/>
  <c r="B97" i="3"/>
  <c r="B99" i="3"/>
  <c r="B101" i="3"/>
  <c r="B103" i="3"/>
  <c r="B105" i="3"/>
  <c r="B107" i="3"/>
  <c r="B109" i="3"/>
  <c r="B111" i="3"/>
  <c r="B113" i="3"/>
  <c r="B115" i="3"/>
  <c r="B117" i="3"/>
  <c r="B119" i="3"/>
  <c r="B121" i="3"/>
  <c r="B123" i="3"/>
  <c r="B125" i="3"/>
  <c r="B6" i="3"/>
  <c r="B8" i="3"/>
  <c r="B10" i="3"/>
  <c r="B12" i="3"/>
  <c r="B14" i="3"/>
  <c r="B16" i="3"/>
  <c r="B18" i="3"/>
  <c r="B20" i="3"/>
  <c r="B22" i="3"/>
  <c r="B24" i="3"/>
  <c r="B26" i="3"/>
  <c r="B28" i="3"/>
  <c r="B30" i="3"/>
  <c r="B32" i="3"/>
  <c r="B34" i="3"/>
  <c r="B36" i="3"/>
  <c r="B38" i="3"/>
  <c r="B40" i="3"/>
  <c r="B42" i="3"/>
  <c r="B44" i="3"/>
  <c r="B46" i="3"/>
  <c r="B48" i="3"/>
  <c r="B50" i="3"/>
  <c r="B52" i="3"/>
  <c r="B54" i="3"/>
  <c r="B56" i="3"/>
  <c r="B58" i="3"/>
  <c r="B60" i="3"/>
  <c r="B62" i="3"/>
  <c r="B64" i="3"/>
  <c r="B66" i="3"/>
  <c r="B68" i="3"/>
  <c r="B70" i="3"/>
  <c r="B72" i="3"/>
  <c r="B74" i="3"/>
  <c r="B76" i="3"/>
  <c r="B78" i="3"/>
  <c r="B80" i="3"/>
  <c r="B82" i="3"/>
  <c r="B84" i="3"/>
  <c r="B86" i="3"/>
  <c r="B88" i="3"/>
  <c r="B90" i="3"/>
  <c r="B92" i="3"/>
  <c r="B94" i="3"/>
  <c r="B96" i="3"/>
  <c r="B98" i="3"/>
  <c r="B100" i="3"/>
  <c r="B102" i="3"/>
  <c r="B104" i="3"/>
  <c r="B106" i="3"/>
  <c r="B108" i="3"/>
  <c r="B110" i="3"/>
  <c r="B112" i="3"/>
  <c r="B114" i="3"/>
  <c r="B116" i="3"/>
  <c r="B118" i="3"/>
  <c r="B120" i="3"/>
  <c r="B122" i="3"/>
  <c r="B124" i="3"/>
  <c r="A6" i="3"/>
  <c r="A14" i="3"/>
  <c r="A22" i="3"/>
  <c r="A30" i="3"/>
  <c r="A38" i="3"/>
  <c r="E38" i="3" s="1"/>
  <c r="A46" i="3"/>
  <c r="A54" i="3"/>
  <c r="A62" i="3"/>
  <c r="A70" i="3"/>
  <c r="A78" i="3"/>
  <c r="A86" i="3"/>
  <c r="A94" i="3"/>
  <c r="A102" i="3"/>
  <c r="E102" i="3" s="1"/>
  <c r="A110" i="3"/>
  <c r="A118" i="3"/>
  <c r="A131" i="3"/>
  <c r="A133" i="3"/>
  <c r="A135" i="3"/>
  <c r="A137" i="3"/>
  <c r="A139" i="3"/>
  <c r="A141" i="3"/>
  <c r="A143" i="3"/>
  <c r="A145" i="3"/>
  <c r="A8" i="3"/>
  <c r="A16" i="3"/>
  <c r="A24" i="3"/>
  <c r="A32" i="3"/>
  <c r="A40" i="3"/>
  <c r="A48" i="3"/>
  <c r="A56" i="3"/>
  <c r="A64" i="3"/>
  <c r="A72" i="3"/>
  <c r="A80" i="3"/>
  <c r="A88" i="3"/>
  <c r="A96" i="3"/>
  <c r="A104" i="3"/>
  <c r="A112" i="3"/>
  <c r="A120" i="3"/>
  <c r="A129" i="3"/>
  <c r="B131" i="3"/>
  <c r="B133" i="3"/>
  <c r="B135" i="3"/>
  <c r="B137" i="3"/>
  <c r="B139" i="3"/>
  <c r="B141" i="3"/>
  <c r="B143" i="3"/>
  <c r="B145" i="3"/>
  <c r="A2" i="3"/>
  <c r="A128" i="3"/>
  <c r="B129" i="3"/>
  <c r="A10" i="3"/>
  <c r="A18" i="3"/>
  <c r="A26" i="3"/>
  <c r="A34" i="3"/>
  <c r="A42" i="3"/>
  <c r="A50" i="3"/>
  <c r="A58" i="3"/>
  <c r="A66" i="3"/>
  <c r="A74" i="3"/>
  <c r="A82" i="3"/>
  <c r="A90" i="3"/>
  <c r="A98" i="3"/>
  <c r="A106" i="3"/>
  <c r="A114" i="3"/>
  <c r="A122" i="3"/>
  <c r="B128" i="3"/>
  <c r="B127" i="3"/>
  <c r="A20" i="3"/>
  <c r="A52" i="3"/>
  <c r="A84" i="3"/>
  <c r="A116" i="3"/>
  <c r="B134" i="3"/>
  <c r="B142" i="3"/>
  <c r="A136" i="3"/>
  <c r="A144" i="3"/>
  <c r="A28" i="3"/>
  <c r="A60" i="3"/>
  <c r="A92" i="3"/>
  <c r="A124" i="3"/>
  <c r="B136" i="3"/>
  <c r="B144" i="3"/>
  <c r="A4" i="3"/>
  <c r="A130" i="3"/>
  <c r="A138" i="3"/>
  <c r="B4" i="3"/>
  <c r="A36" i="3"/>
  <c r="A68" i="3"/>
  <c r="A100" i="3"/>
  <c r="B130" i="3"/>
  <c r="B138" i="3"/>
  <c r="A126" i="3"/>
  <c r="A132" i="3"/>
  <c r="A140" i="3"/>
  <c r="A134" i="3"/>
  <c r="A142" i="3"/>
  <c r="A4" i="4"/>
  <c r="A5" i="4"/>
  <c r="A12" i="4"/>
  <c r="A20" i="4"/>
  <c r="A3" i="4"/>
  <c r="A10" i="4"/>
  <c r="A18" i="4"/>
  <c r="A9" i="4"/>
  <c r="A17" i="4"/>
  <c r="A6" i="4"/>
  <c r="A14" i="4"/>
  <c r="A8" i="4"/>
  <c r="A21" i="4"/>
  <c r="A24" i="4"/>
  <c r="A32" i="4"/>
  <c r="A40" i="4"/>
  <c r="A48" i="4"/>
  <c r="A56" i="4"/>
  <c r="A64" i="4"/>
  <c r="A72" i="4"/>
  <c r="A80" i="4"/>
  <c r="A23" i="4"/>
  <c r="A31" i="4"/>
  <c r="A39" i="4"/>
  <c r="A47" i="4"/>
  <c r="A55" i="4"/>
  <c r="A63" i="4"/>
  <c r="A71" i="4"/>
  <c r="A79" i="4"/>
  <c r="A87" i="4"/>
  <c r="A95" i="4"/>
  <c r="A22" i="4"/>
  <c r="A30" i="4"/>
  <c r="A38" i="4"/>
  <c r="A46" i="4"/>
  <c r="A54" i="4"/>
  <c r="A62" i="4"/>
  <c r="A70" i="4"/>
  <c r="A78" i="4"/>
  <c r="A29" i="4"/>
  <c r="A37" i="4"/>
  <c r="A45" i="4"/>
  <c r="A53" i="4"/>
  <c r="A61" i="4"/>
  <c r="A69" i="4"/>
  <c r="A77" i="4"/>
  <c r="A85" i="4"/>
  <c r="A93" i="4"/>
  <c r="A7" i="4"/>
  <c r="A16" i="4"/>
  <c r="A28" i="4"/>
  <c r="A36" i="4"/>
  <c r="A44" i="4"/>
  <c r="A52" i="4"/>
  <c r="A60" i="4"/>
  <c r="A68" i="4"/>
  <c r="A76" i="4"/>
  <c r="A84" i="4"/>
  <c r="A92" i="4"/>
  <c r="A11" i="4"/>
  <c r="A25" i="4"/>
  <c r="A33" i="4"/>
  <c r="A41" i="4"/>
  <c r="A49" i="4"/>
  <c r="A57" i="4"/>
  <c r="A65" i="4"/>
  <c r="A73" i="4"/>
  <c r="A81" i="4"/>
  <c r="A89" i="4"/>
  <c r="A13" i="4"/>
  <c r="A34" i="4"/>
  <c r="A66" i="4"/>
  <c r="A94" i="4"/>
  <c r="A98" i="4"/>
  <c r="A106" i="4"/>
  <c r="A114" i="4"/>
  <c r="A122" i="4"/>
  <c r="A130" i="4"/>
  <c r="A138" i="4"/>
  <c r="A146" i="4"/>
  <c r="A154" i="4"/>
  <c r="A43" i="4"/>
  <c r="A75" i="4"/>
  <c r="A91" i="4"/>
  <c r="A97" i="4"/>
  <c r="A105" i="4"/>
  <c r="A113" i="4"/>
  <c r="A121" i="4"/>
  <c r="A129" i="4"/>
  <c r="A137" i="4"/>
  <c r="A145" i="4"/>
  <c r="A153" i="4"/>
  <c r="A26" i="4"/>
  <c r="A58" i="4"/>
  <c r="A90" i="4"/>
  <c r="A96" i="4"/>
  <c r="A104" i="4"/>
  <c r="A112" i="4"/>
  <c r="A120" i="4"/>
  <c r="A128" i="4"/>
  <c r="A136" i="4"/>
  <c r="A144" i="4"/>
  <c r="A152" i="4"/>
  <c r="A15" i="4"/>
  <c r="A19" i="4"/>
  <c r="A35" i="4"/>
  <c r="A67" i="4"/>
  <c r="A88" i="4"/>
  <c r="A103" i="4"/>
  <c r="A111" i="4"/>
  <c r="A119" i="4"/>
  <c r="A127" i="4"/>
  <c r="A135" i="4"/>
  <c r="A143" i="4"/>
  <c r="A151" i="4"/>
  <c r="A50" i="4"/>
  <c r="A82" i="4"/>
  <c r="A86" i="4"/>
  <c r="A102" i="4"/>
  <c r="A110" i="4"/>
  <c r="A118" i="4"/>
  <c r="A126" i="4"/>
  <c r="A134" i="4"/>
  <c r="A142" i="4"/>
  <c r="A150" i="4"/>
  <c r="A158" i="4"/>
  <c r="A27" i="4"/>
  <c r="A59" i="4"/>
  <c r="A101" i="4"/>
  <c r="A109" i="4"/>
  <c r="A117" i="4"/>
  <c r="A125" i="4"/>
  <c r="A133" i="4"/>
  <c r="A141" i="4"/>
  <c r="A149" i="4"/>
  <c r="A157" i="4"/>
  <c r="A51" i="4"/>
  <c r="A83" i="4"/>
  <c r="A99" i="4"/>
  <c r="A107" i="4"/>
  <c r="A115" i="4"/>
  <c r="A123" i="4"/>
  <c r="A131" i="4"/>
  <c r="A139" i="4"/>
  <c r="A147" i="4"/>
  <c r="A155" i="4"/>
  <c r="A116" i="4"/>
  <c r="A108" i="4"/>
  <c r="A100" i="4"/>
  <c r="A74" i="4"/>
  <c r="A42" i="4"/>
  <c r="A148" i="4"/>
  <c r="A156" i="4"/>
  <c r="A124" i="4"/>
  <c r="A132" i="4"/>
  <c r="A140" i="4"/>
  <c r="AC10" i="6"/>
  <c r="Q13" i="6"/>
  <c r="Q14" i="6"/>
  <c r="A15" i="6"/>
  <c r="A16" i="6"/>
  <c r="AC17" i="6"/>
  <c r="Q4" i="6"/>
  <c r="T4" i="6" s="1"/>
  <c r="Q5" i="6"/>
  <c r="Q6" i="6"/>
  <c r="Q7" i="6"/>
  <c r="A4" i="6"/>
  <c r="D4" i="6" s="1"/>
  <c r="A5" i="6"/>
  <c r="A6" i="6"/>
  <c r="A7" i="6"/>
  <c r="Q11" i="6"/>
  <c r="Q20" i="6"/>
  <c r="Q9" i="6"/>
  <c r="AC9" i="6"/>
  <c r="A13" i="6"/>
  <c r="AC21" i="6"/>
  <c r="A23" i="6"/>
  <c r="Q17" i="6"/>
  <c r="AC11" i="6"/>
  <c r="Q19" i="6"/>
  <c r="A22" i="6"/>
  <c r="A12" i="6"/>
  <c r="AC13" i="6"/>
  <c r="AC4" i="6"/>
  <c r="AF4" i="6" s="1"/>
  <c r="Q8" i="6"/>
  <c r="A10" i="6"/>
  <c r="Q23" i="6"/>
  <c r="AC24" i="6"/>
  <c r="A25" i="6"/>
  <c r="AC26" i="6"/>
  <c r="A28" i="6"/>
  <c r="Q33" i="6"/>
  <c r="AC34" i="6"/>
  <c r="A8" i="6"/>
  <c r="Q12" i="6"/>
  <c r="AC15" i="6"/>
  <c r="A21" i="6"/>
  <c r="Q25" i="6"/>
  <c r="AC25" i="6"/>
  <c r="A27" i="6"/>
  <c r="Q32" i="6"/>
  <c r="AC33" i="6"/>
  <c r="A35" i="6"/>
  <c r="AC6" i="6"/>
  <c r="AC8" i="6"/>
  <c r="AC14" i="6"/>
  <c r="A18" i="6"/>
  <c r="Q22" i="6"/>
  <c r="A26" i="6"/>
  <c r="Q29" i="6"/>
  <c r="AC30" i="6"/>
  <c r="A32" i="6"/>
  <c r="AC5" i="6"/>
  <c r="A11" i="6"/>
  <c r="Q15" i="6"/>
  <c r="Q16" i="6"/>
  <c r="A19" i="6"/>
  <c r="AC20" i="6"/>
  <c r="Q21" i="6"/>
  <c r="A24" i="6"/>
  <c r="Q27" i="6"/>
  <c r="A34" i="6"/>
  <c r="Q39" i="6"/>
  <c r="AC40" i="6"/>
  <c r="A42" i="6"/>
  <c r="Q10" i="6"/>
  <c r="A33" i="6"/>
  <c r="Q34" i="6"/>
  <c r="Q36" i="6"/>
  <c r="AC37" i="6"/>
  <c r="A39" i="6"/>
  <c r="A14" i="6"/>
  <c r="AC16" i="6"/>
  <c r="A31" i="6"/>
  <c r="AC31" i="6"/>
  <c r="Q38" i="6"/>
  <c r="AC39" i="6"/>
  <c r="A41" i="6"/>
  <c r="AC18" i="6"/>
  <c r="A29" i="6"/>
  <c r="A30" i="6"/>
  <c r="Q31" i="6"/>
  <c r="Q35" i="6"/>
  <c r="AC36" i="6"/>
  <c r="A38" i="6"/>
  <c r="Q43" i="6"/>
  <c r="AC12" i="6"/>
  <c r="AC22" i="6"/>
  <c r="Q24" i="6"/>
  <c r="Q28" i="6"/>
  <c r="AC35" i="6"/>
  <c r="A37" i="6"/>
  <c r="Q26" i="6"/>
  <c r="Q44" i="6"/>
  <c r="AC44" i="6"/>
  <c r="A46" i="6"/>
  <c r="Q51" i="6"/>
  <c r="AC52" i="6"/>
  <c r="A54" i="6"/>
  <c r="A9" i="6"/>
  <c r="Q18" i="6"/>
  <c r="Q48" i="6"/>
  <c r="AC49" i="6"/>
  <c r="A51" i="6"/>
  <c r="Q30" i="6"/>
  <c r="Q41" i="6"/>
  <c r="Q45" i="6"/>
  <c r="AC46" i="6"/>
  <c r="A48" i="6"/>
  <c r="Q53" i="6"/>
  <c r="AC27" i="6"/>
  <c r="Q37" i="6"/>
  <c r="A43" i="6"/>
  <c r="A45" i="6"/>
  <c r="Q50" i="6"/>
  <c r="AC51" i="6"/>
  <c r="A53" i="6"/>
  <c r="Q58" i="6"/>
  <c r="AC28" i="6"/>
  <c r="AC29" i="6"/>
  <c r="Q40" i="6"/>
  <c r="Q47" i="6"/>
  <c r="AC48" i="6"/>
  <c r="A50" i="6"/>
  <c r="Q55" i="6"/>
  <c r="AC56" i="6"/>
  <c r="A58" i="6"/>
  <c r="AC7" i="6"/>
  <c r="AC19" i="6"/>
  <c r="Q49" i="6"/>
  <c r="AC55" i="6"/>
  <c r="Q56" i="6"/>
  <c r="A59" i="6"/>
  <c r="Q64" i="6"/>
  <c r="AC65" i="6"/>
  <c r="A67" i="6"/>
  <c r="A20" i="6"/>
  <c r="AC32" i="6"/>
  <c r="Q42" i="6"/>
  <c r="AC47" i="6"/>
  <c r="Q52" i="6"/>
  <c r="AC54" i="6"/>
  <c r="Q61" i="6"/>
  <c r="AC62" i="6"/>
  <c r="A64" i="6"/>
  <c r="Q69" i="6"/>
  <c r="AC50" i="6"/>
  <c r="Q54" i="6"/>
  <c r="AC59" i="6"/>
  <c r="A61" i="6"/>
  <c r="Q66" i="6"/>
  <c r="AC38" i="6"/>
  <c r="A40" i="6"/>
  <c r="AC42" i="6"/>
  <c r="A49" i="6"/>
  <c r="Q63" i="6"/>
  <c r="AC64" i="6"/>
  <c r="A66" i="6"/>
  <c r="Q71" i="6"/>
  <c r="A17" i="6"/>
  <c r="AC41" i="6"/>
  <c r="AC43" i="6"/>
  <c r="AC45" i="6"/>
  <c r="A52" i="6"/>
  <c r="AC53" i="6"/>
  <c r="Q60" i="6"/>
  <c r="AC61" i="6"/>
  <c r="A63" i="6"/>
  <c r="Q68" i="6"/>
  <c r="AC69" i="6"/>
  <c r="AC23" i="6"/>
  <c r="Q62" i="6"/>
  <c r="A68" i="6"/>
  <c r="AC72" i="6"/>
  <c r="A74" i="6"/>
  <c r="Q79" i="6"/>
  <c r="AC80" i="6"/>
  <c r="A44" i="6"/>
  <c r="AC60" i="6"/>
  <c r="Q65" i="6"/>
  <c r="Q76" i="6"/>
  <c r="AC77" i="6"/>
  <c r="A79" i="6"/>
  <c r="Q57" i="6"/>
  <c r="AC63" i="6"/>
  <c r="Q73" i="6"/>
  <c r="AC74" i="6"/>
  <c r="A76" i="6"/>
  <c r="A62" i="6"/>
  <c r="AC66" i="6"/>
  <c r="AC67" i="6"/>
  <c r="A69" i="6"/>
  <c r="AC71" i="6"/>
  <c r="A73" i="6"/>
  <c r="Q78" i="6"/>
  <c r="AC79" i="6"/>
  <c r="A81" i="6"/>
  <c r="AC57" i="6"/>
  <c r="A65" i="6"/>
  <c r="Q75" i="6"/>
  <c r="AC76" i="6"/>
  <c r="A78" i="6"/>
  <c r="Q46" i="6"/>
  <c r="A55" i="6"/>
  <c r="AC58" i="6"/>
  <c r="Q72" i="6"/>
  <c r="AC73" i="6"/>
  <c r="A75" i="6"/>
  <c r="Q80" i="6"/>
  <c r="A47" i="6"/>
  <c r="Q59" i="6"/>
  <c r="Q70" i="6"/>
  <c r="Q74" i="6"/>
  <c r="AC75" i="6"/>
  <c r="A77" i="6"/>
  <c r="A80" i="6"/>
  <c r="Q81" i="6"/>
  <c r="Q85" i="6"/>
  <c r="AC86" i="6"/>
  <c r="A88" i="6"/>
  <c r="Q93" i="6"/>
  <c r="AC94" i="6"/>
  <c r="A96" i="6"/>
  <c r="Q101" i="6"/>
  <c r="AC102" i="6"/>
  <c r="A104" i="6"/>
  <c r="Q109" i="6"/>
  <c r="AC110" i="6"/>
  <c r="A112" i="6"/>
  <c r="A36" i="6"/>
  <c r="A60" i="6"/>
  <c r="AC68" i="6"/>
  <c r="AC81" i="6"/>
  <c r="Q82" i="6"/>
  <c r="AC83" i="6"/>
  <c r="A85" i="6"/>
  <c r="Q90" i="6"/>
  <c r="AC91" i="6"/>
  <c r="A93" i="6"/>
  <c r="Q98" i="6"/>
  <c r="AC99" i="6"/>
  <c r="A101" i="6"/>
  <c r="Q106" i="6"/>
  <c r="AC107" i="6"/>
  <c r="A109" i="6"/>
  <c r="Q114" i="6"/>
  <c r="AC78" i="6"/>
  <c r="A82" i="6"/>
  <c r="Q87" i="6"/>
  <c r="AC88" i="6"/>
  <c r="A90" i="6"/>
  <c r="Q95" i="6"/>
  <c r="AC96" i="6"/>
  <c r="A98" i="6"/>
  <c r="Q103" i="6"/>
  <c r="AC104" i="6"/>
  <c r="A106" i="6"/>
  <c r="Q111" i="6"/>
  <c r="AC112" i="6"/>
  <c r="A72" i="6"/>
  <c r="Q84" i="6"/>
  <c r="AC85" i="6"/>
  <c r="A87" i="6"/>
  <c r="Q92" i="6"/>
  <c r="AC93" i="6"/>
  <c r="A95" i="6"/>
  <c r="Q100" i="6"/>
  <c r="AC101" i="6"/>
  <c r="A103" i="6"/>
  <c r="Q108" i="6"/>
  <c r="AC109" i="6"/>
  <c r="A111" i="6"/>
  <c r="A56" i="6"/>
  <c r="A70" i="6"/>
  <c r="Q77" i="6"/>
  <c r="AC82" i="6"/>
  <c r="A84" i="6"/>
  <c r="Q89" i="6"/>
  <c r="AC90" i="6"/>
  <c r="A92" i="6"/>
  <c r="Q97" i="6"/>
  <c r="AC98" i="6"/>
  <c r="A100" i="6"/>
  <c r="Q105" i="6"/>
  <c r="AC106" i="6"/>
  <c r="A108" i="6"/>
  <c r="Q113" i="6"/>
  <c r="AC114" i="6"/>
  <c r="A71" i="6"/>
  <c r="A83" i="6"/>
  <c r="Q88" i="6"/>
  <c r="AC89" i="6"/>
  <c r="A91" i="6"/>
  <c r="Q96" i="6"/>
  <c r="AC97" i="6"/>
  <c r="A99" i="6"/>
  <c r="Q104" i="6"/>
  <c r="AC105" i="6"/>
  <c r="A107" i="6"/>
  <c r="Q112" i="6"/>
  <c r="AC113" i="6"/>
  <c r="A115" i="6"/>
  <c r="AC70" i="6"/>
  <c r="Q83" i="6"/>
  <c r="A86" i="6"/>
  <c r="AC100" i="6"/>
  <c r="Q120" i="6"/>
  <c r="AC121" i="6"/>
  <c r="A123" i="6"/>
  <c r="Q128" i="6"/>
  <c r="AC129" i="6"/>
  <c r="A131" i="6"/>
  <c r="A57" i="6"/>
  <c r="AC95" i="6"/>
  <c r="Q110" i="6"/>
  <c r="A113" i="6"/>
  <c r="Q117" i="6"/>
  <c r="AC118" i="6"/>
  <c r="A120" i="6"/>
  <c r="Q91" i="6"/>
  <c r="A94" i="6"/>
  <c r="AC108" i="6"/>
  <c r="AC115" i="6"/>
  <c r="A117" i="6"/>
  <c r="Q122" i="6"/>
  <c r="AC123" i="6"/>
  <c r="Q86" i="6"/>
  <c r="A89" i="6"/>
  <c r="AC103" i="6"/>
  <c r="Q115" i="6"/>
  <c r="Q119" i="6"/>
  <c r="AC120" i="6"/>
  <c r="A122" i="6"/>
  <c r="Q127" i="6"/>
  <c r="AC128" i="6"/>
  <c r="A130" i="6"/>
  <c r="Q135" i="6"/>
  <c r="AC136" i="6"/>
  <c r="A138" i="6"/>
  <c r="AC84" i="6"/>
  <c r="Q99" i="6"/>
  <c r="A102" i="6"/>
  <c r="Q116" i="6"/>
  <c r="AC117" i="6"/>
  <c r="A119" i="6"/>
  <c r="Q124" i="6"/>
  <c r="AC125" i="6"/>
  <c r="A127" i="6"/>
  <c r="Q94" i="6"/>
  <c r="A97" i="6"/>
  <c r="AC111" i="6"/>
  <c r="A116" i="6"/>
  <c r="Q121" i="6"/>
  <c r="AC122" i="6"/>
  <c r="A124" i="6"/>
  <c r="Q129" i="6"/>
  <c r="AC130" i="6"/>
  <c r="A132" i="6"/>
  <c r="Q137" i="6"/>
  <c r="AC138" i="6"/>
  <c r="A140" i="6"/>
  <c r="AC87" i="6"/>
  <c r="Q102" i="6"/>
  <c r="A105" i="6"/>
  <c r="AC116" i="6"/>
  <c r="A118" i="6"/>
  <c r="Q123" i="6"/>
  <c r="AC124" i="6"/>
  <c r="A126" i="6"/>
  <c r="Q131" i="6"/>
  <c r="AC132" i="6"/>
  <c r="A134" i="6"/>
  <c r="Q139" i="6"/>
  <c r="AC140" i="6"/>
  <c r="A142" i="6"/>
  <c r="Q132" i="6"/>
  <c r="A139" i="6"/>
  <c r="Q141" i="6"/>
  <c r="AC141" i="6"/>
  <c r="Q147" i="6"/>
  <c r="AC148" i="6"/>
  <c r="A150" i="6"/>
  <c r="Q155" i="6"/>
  <c r="AC156" i="6"/>
  <c r="A158" i="6"/>
  <c r="Q126" i="6"/>
  <c r="Q130" i="6"/>
  <c r="AC139" i="6"/>
  <c r="Q140" i="6"/>
  <c r="Q144" i="6"/>
  <c r="AC145" i="6"/>
  <c r="A147" i="6"/>
  <c r="Q152" i="6"/>
  <c r="AC153" i="6"/>
  <c r="A155" i="6"/>
  <c r="A110" i="6"/>
  <c r="A137" i="6"/>
  <c r="AC137" i="6"/>
  <c r="A144" i="6"/>
  <c r="Q149" i="6"/>
  <c r="AC150" i="6"/>
  <c r="A152" i="6"/>
  <c r="Q157" i="6"/>
  <c r="AC158" i="6"/>
  <c r="A121" i="6"/>
  <c r="Q125" i="6"/>
  <c r="AC127" i="6"/>
  <c r="AC131" i="6"/>
  <c r="A136" i="6"/>
  <c r="Q138" i="6"/>
  <c r="Q146" i="6"/>
  <c r="AC147" i="6"/>
  <c r="A149" i="6"/>
  <c r="Q154" i="6"/>
  <c r="AC155" i="6"/>
  <c r="A157" i="6"/>
  <c r="A135" i="6"/>
  <c r="AC135" i="6"/>
  <c r="Q136" i="6"/>
  <c r="Q142" i="6"/>
  <c r="AC142" i="6"/>
  <c r="Q143" i="6"/>
  <c r="AC144" i="6"/>
  <c r="A146" i="6"/>
  <c r="Q151" i="6"/>
  <c r="AC152" i="6"/>
  <c r="A154" i="6"/>
  <c r="Q159" i="6"/>
  <c r="Q67" i="6"/>
  <c r="Q107" i="6"/>
  <c r="A114" i="6"/>
  <c r="Q118" i="6"/>
  <c r="A128" i="6"/>
  <c r="Q133" i="6"/>
  <c r="A141" i="6"/>
  <c r="AC143" i="6"/>
  <c r="A145" i="6"/>
  <c r="Q150" i="6"/>
  <c r="AC151" i="6"/>
  <c r="A153" i="6"/>
  <c r="Q158" i="6"/>
  <c r="AC159" i="6"/>
  <c r="AC133" i="6"/>
  <c r="Q153" i="6"/>
  <c r="A156" i="6"/>
  <c r="Q148" i="6"/>
  <c r="A151" i="6"/>
  <c r="AC92" i="6"/>
  <c r="AC146" i="6"/>
  <c r="AC126" i="6"/>
  <c r="A129" i="6"/>
  <c r="Q156" i="6"/>
  <c r="A159" i="6"/>
  <c r="A133" i="6"/>
  <c r="Q134" i="6"/>
  <c r="AC154" i="6"/>
  <c r="A143" i="6"/>
  <c r="AC157" i="6"/>
  <c r="Q145" i="6"/>
  <c r="AC119" i="6"/>
  <c r="AC149" i="6"/>
  <c r="A125" i="6"/>
  <c r="AC134" i="6"/>
  <c r="A148" i="6"/>
  <c r="E24" i="3" l="1"/>
  <c r="E122" i="3"/>
  <c r="E58" i="3"/>
  <c r="E132" i="3"/>
  <c r="E140" i="3"/>
  <c r="A11" i="9"/>
  <c r="A11" i="7"/>
  <c r="E90" i="3"/>
  <c r="E26" i="3"/>
  <c r="D10" i="7"/>
  <c r="E60" i="3"/>
  <c r="E80" i="3"/>
  <c r="E16" i="3"/>
  <c r="E92" i="3"/>
  <c r="E28" i="3"/>
  <c r="E94" i="3"/>
  <c r="I94" i="3" s="1"/>
  <c r="E30" i="3"/>
  <c r="I30" i="3" s="1"/>
  <c r="E22" i="3"/>
  <c r="I22" i="3" s="1"/>
  <c r="E86" i="3"/>
  <c r="E118" i="3"/>
  <c r="F118" i="3" s="1" a="1"/>
  <c r="F118" i="3" s="1"/>
  <c r="G118" i="3" s="1"/>
  <c r="E54" i="3"/>
  <c r="E138" i="3"/>
  <c r="E106" i="3"/>
  <c r="I106" i="3" s="1"/>
  <c r="E42" i="3"/>
  <c r="I42" i="3" s="1"/>
  <c r="E70" i="3"/>
  <c r="E68" i="3"/>
  <c r="E78" i="3"/>
  <c r="E14" i="3"/>
  <c r="E36" i="3"/>
  <c r="E84" i="3"/>
  <c r="I84" i="3" s="1"/>
  <c r="E129" i="3"/>
  <c r="I129" i="3" s="1"/>
  <c r="E131" i="3"/>
  <c r="E62" i="3"/>
  <c r="F62" i="3" s="1" a="1"/>
  <c r="F62" i="3" s="1"/>
  <c r="G62" i="3" s="1"/>
  <c r="E100" i="3"/>
  <c r="E52" i="3"/>
  <c r="F52" i="3" s="1" a="1"/>
  <c r="F52" i="3" s="1"/>
  <c r="G52" i="3" s="1"/>
  <c r="E20" i="3"/>
  <c r="I20" i="3" s="1"/>
  <c r="C3" i="8"/>
  <c r="AB3" i="9" s="1"/>
  <c r="E126" i="3"/>
  <c r="E116" i="3"/>
  <c r="E139" i="3"/>
  <c r="I139" i="3" s="1"/>
  <c r="E130" i="3"/>
  <c r="E128" i="3"/>
  <c r="F128" i="3" s="1" a="1"/>
  <c r="F128" i="3" s="1"/>
  <c r="G128" i="3" s="1"/>
  <c r="E88" i="3"/>
  <c r="F88" i="3" s="1" a="1"/>
  <c r="F88" i="3" s="1"/>
  <c r="G88" i="3" s="1"/>
  <c r="E137" i="3"/>
  <c r="F137" i="3" s="1" a="1"/>
  <c r="F137" i="3" s="1"/>
  <c r="G137" i="3" s="1"/>
  <c r="E119" i="3"/>
  <c r="E103" i="3"/>
  <c r="F103" i="3" s="1" a="1"/>
  <c r="F103" i="3" s="1"/>
  <c r="G103" i="3" s="1"/>
  <c r="E87" i="3"/>
  <c r="I87" i="3" s="1"/>
  <c r="E71" i="3"/>
  <c r="E55" i="3"/>
  <c r="E39" i="3"/>
  <c r="F39" i="3" s="1" a="1"/>
  <c r="F39" i="3" s="1"/>
  <c r="G39" i="3" s="1"/>
  <c r="E23" i="3"/>
  <c r="I23" i="3" s="1"/>
  <c r="E76" i="3"/>
  <c r="E117" i="3"/>
  <c r="E101" i="3"/>
  <c r="E85" i="3"/>
  <c r="I85" i="3" s="1"/>
  <c r="E69" i="3"/>
  <c r="F69" i="3" s="1" a="1"/>
  <c r="F69" i="3" s="1"/>
  <c r="G69" i="3" s="1"/>
  <c r="E53" i="3"/>
  <c r="E37" i="3"/>
  <c r="E21" i="3"/>
  <c r="F21" i="3" s="1" a="1"/>
  <c r="F21" i="3" s="1"/>
  <c r="G21" i="3" s="1"/>
  <c r="C3" i="7"/>
  <c r="AA3" i="9" s="1"/>
  <c r="E72" i="3"/>
  <c r="E113" i="3"/>
  <c r="E97" i="3"/>
  <c r="E81" i="3"/>
  <c r="E65" i="3"/>
  <c r="I65" i="3" s="1"/>
  <c r="E49" i="3"/>
  <c r="I49" i="3" s="1"/>
  <c r="E120" i="3"/>
  <c r="F120" i="3" s="1" a="1"/>
  <c r="F120" i="3" s="1"/>
  <c r="G120" i="3" s="1"/>
  <c r="E56" i="3"/>
  <c r="E111" i="3"/>
  <c r="E95" i="3"/>
  <c r="I95" i="3" s="1"/>
  <c r="E79" i="3"/>
  <c r="I79" i="3" s="1"/>
  <c r="E63" i="3"/>
  <c r="I63" i="3" s="1"/>
  <c r="E47" i="3"/>
  <c r="I47" i="3" s="1"/>
  <c r="E104" i="3"/>
  <c r="I104" i="3" s="1"/>
  <c r="E40" i="3"/>
  <c r="F40" i="3" s="1" a="1"/>
  <c r="F40" i="3" s="1"/>
  <c r="G40" i="3" s="1"/>
  <c r="E66" i="3"/>
  <c r="E96" i="3"/>
  <c r="F96" i="3" s="1" a="1"/>
  <c r="F96" i="3" s="1"/>
  <c r="G96" i="3" s="1"/>
  <c r="E32" i="3"/>
  <c r="I32" i="3" s="1"/>
  <c r="E121" i="3"/>
  <c r="E105" i="3"/>
  <c r="E89" i="3"/>
  <c r="F89" i="3" s="1" a="1"/>
  <c r="F89" i="3" s="1"/>
  <c r="G89" i="3" s="1"/>
  <c r="E73" i="3"/>
  <c r="F73" i="3" s="1" a="1"/>
  <c r="F73" i="3" s="1"/>
  <c r="G73" i="3" s="1"/>
  <c r="E57" i="3"/>
  <c r="I57" i="3" s="1"/>
  <c r="E41" i="3"/>
  <c r="E25" i="3"/>
  <c r="E9" i="3"/>
  <c r="F9" i="3" s="1" a="1"/>
  <c r="F9" i="3" s="1"/>
  <c r="G9" i="3" s="1"/>
  <c r="H9" i="3"/>
  <c r="J9" i="3"/>
  <c r="E50" i="3"/>
  <c r="I50" i="3" s="1"/>
  <c r="E5" i="3"/>
  <c r="F5" i="3" s="1" a="1"/>
  <c r="F5" i="3" s="1"/>
  <c r="G5" i="3" s="1"/>
  <c r="H5" i="3"/>
  <c r="J5" i="3"/>
  <c r="E8" i="3"/>
  <c r="H8" i="3"/>
  <c r="J8" i="3"/>
  <c r="E133" i="3"/>
  <c r="I133" i="3" s="1"/>
  <c r="E6" i="3"/>
  <c r="F6" i="3" s="1" a="1"/>
  <c r="F6" i="3" s="1"/>
  <c r="G6" i="3" s="1"/>
  <c r="H6" i="3"/>
  <c r="J6" i="3"/>
  <c r="E115" i="3"/>
  <c r="I115" i="3" s="1"/>
  <c r="E99" i="3"/>
  <c r="I99" i="3" s="1"/>
  <c r="E83" i="3"/>
  <c r="I83" i="3" s="1"/>
  <c r="E67" i="3"/>
  <c r="F67" i="3" s="1" a="1"/>
  <c r="F67" i="3" s="1"/>
  <c r="G67" i="3" s="1"/>
  <c r="E51" i="3"/>
  <c r="F51" i="3" s="1" a="1"/>
  <c r="F51" i="3" s="1"/>
  <c r="G51" i="3" s="1"/>
  <c r="E35" i="3"/>
  <c r="F35" i="3" s="1" a="1"/>
  <c r="F35" i="3" s="1"/>
  <c r="G35" i="3" s="1"/>
  <c r="E19" i="3"/>
  <c r="E12" i="3"/>
  <c r="I12" i="3" s="1"/>
  <c r="H12" i="3"/>
  <c r="J12" i="3"/>
  <c r="E7" i="3"/>
  <c r="F7" i="3" s="1" a="1"/>
  <c r="F7" i="3" s="1"/>
  <c r="G7" i="3" s="1"/>
  <c r="H7" i="3"/>
  <c r="J7" i="3"/>
  <c r="E4" i="3"/>
  <c r="H4" i="3"/>
  <c r="J4" i="3"/>
  <c r="E142" i="3"/>
  <c r="E98" i="3"/>
  <c r="I98" i="3" s="1"/>
  <c r="E34" i="3"/>
  <c r="E64" i="3"/>
  <c r="F64" i="3" s="1" a="1"/>
  <c r="F64" i="3" s="1"/>
  <c r="G64" i="3" s="1"/>
  <c r="E33" i="3"/>
  <c r="I33" i="3" s="1"/>
  <c r="E17" i="3"/>
  <c r="F17" i="3" s="1" a="1"/>
  <c r="F17" i="3" s="1"/>
  <c r="G17" i="3" s="1"/>
  <c r="E3" i="3"/>
  <c r="I3" i="3" s="1"/>
  <c r="J3" i="3"/>
  <c r="E108" i="3"/>
  <c r="E134" i="3"/>
  <c r="E144" i="3"/>
  <c r="I144" i="3" s="1"/>
  <c r="E145" i="3"/>
  <c r="E127" i="3"/>
  <c r="E31" i="3"/>
  <c r="I31" i="3" s="1"/>
  <c r="E15" i="3"/>
  <c r="E44" i="3"/>
  <c r="I44" i="3" s="1"/>
  <c r="E114" i="3"/>
  <c r="F114" i="3" s="1" a="1"/>
  <c r="F114" i="3" s="1"/>
  <c r="G114" i="3" s="1"/>
  <c r="E135" i="3"/>
  <c r="F135" i="3" s="1" a="1"/>
  <c r="F135" i="3" s="1"/>
  <c r="G135" i="3" s="1"/>
  <c r="E136" i="3"/>
  <c r="I136" i="3" s="1"/>
  <c r="E82" i="3"/>
  <c r="F82" i="3" s="1" a="1"/>
  <c r="F82" i="3" s="1"/>
  <c r="G82" i="3" s="1"/>
  <c r="E18" i="3"/>
  <c r="E112" i="3"/>
  <c r="F112" i="3" s="1" a="1"/>
  <c r="F112" i="3" s="1"/>
  <c r="G112" i="3" s="1"/>
  <c r="E48" i="3"/>
  <c r="I48" i="3" s="1"/>
  <c r="E143" i="3"/>
  <c r="F143" i="3" s="1" a="1"/>
  <c r="F143" i="3" s="1"/>
  <c r="G143" i="3" s="1"/>
  <c r="E110" i="3"/>
  <c r="E46" i="3"/>
  <c r="I46" i="3" s="1"/>
  <c r="E125" i="3"/>
  <c r="I125" i="3" s="1"/>
  <c r="E109" i="3"/>
  <c r="F109" i="3" s="1" a="1"/>
  <c r="F109" i="3" s="1"/>
  <c r="G109" i="3" s="1"/>
  <c r="E93" i="3"/>
  <c r="I93" i="3" s="1"/>
  <c r="E77" i="3"/>
  <c r="I77" i="3" s="1"/>
  <c r="E61" i="3"/>
  <c r="F61" i="3" s="1" a="1"/>
  <c r="F61" i="3" s="1"/>
  <c r="G61" i="3" s="1"/>
  <c r="E45" i="3"/>
  <c r="F45" i="3" s="1" a="1"/>
  <c r="F45" i="3" s="1"/>
  <c r="G45" i="3" s="1"/>
  <c r="E29" i="3"/>
  <c r="E13" i="3"/>
  <c r="I13" i="3" s="1"/>
  <c r="H13" i="3"/>
  <c r="J13" i="3"/>
  <c r="E124" i="3"/>
  <c r="F124" i="3" s="1" a="1"/>
  <c r="F124" i="3" s="1"/>
  <c r="G124" i="3" s="1"/>
  <c r="E74" i="3"/>
  <c r="F74" i="3" s="1" a="1"/>
  <c r="F74" i="3" s="1"/>
  <c r="G74" i="3" s="1"/>
  <c r="E10" i="3"/>
  <c r="H10" i="3"/>
  <c r="J10" i="3"/>
  <c r="E141" i="3"/>
  <c r="F141" i="3" s="1" a="1"/>
  <c r="F141" i="3" s="1"/>
  <c r="G141" i="3" s="1"/>
  <c r="E123" i="3"/>
  <c r="F123" i="3" s="1" a="1"/>
  <c r="F123" i="3" s="1"/>
  <c r="G123" i="3" s="1"/>
  <c r="E107" i="3"/>
  <c r="E91" i="3"/>
  <c r="F91" i="3" s="1" a="1"/>
  <c r="F91" i="3" s="1"/>
  <c r="G91" i="3" s="1"/>
  <c r="E75" i="3"/>
  <c r="I75" i="3" s="1"/>
  <c r="E59" i="3"/>
  <c r="E43" i="3"/>
  <c r="F43" i="3" s="1" a="1"/>
  <c r="F43" i="3" s="1"/>
  <c r="G43" i="3" s="1"/>
  <c r="E27" i="3"/>
  <c r="F27" i="3" s="1" a="1"/>
  <c r="F27" i="3" s="1"/>
  <c r="G27" i="3" s="1"/>
  <c r="E11" i="3"/>
  <c r="F11" i="3" s="1" a="1"/>
  <c r="F11" i="3" s="1"/>
  <c r="G11" i="3" s="1"/>
  <c r="H11" i="3"/>
  <c r="J11" i="3"/>
  <c r="D11" i="8"/>
  <c r="A12" i="8"/>
  <c r="B11" i="9"/>
  <c r="H5" i="8"/>
  <c r="R4" i="8"/>
  <c r="S5" i="8" s="1"/>
  <c r="Q4" i="7"/>
  <c r="R5" i="7" s="1"/>
  <c r="H5" i="7"/>
  <c r="E4" i="5"/>
  <c r="I4" i="5" s="1"/>
  <c r="B4" i="8"/>
  <c r="S6" i="8"/>
  <c r="R4" i="7"/>
  <c r="S5" i="7" s="1"/>
  <c r="S4" i="7"/>
  <c r="K26" i="5"/>
  <c r="H7" i="8"/>
  <c r="B4" i="7"/>
  <c r="AB4" i="7" s="1" a="1"/>
  <c r="AB4" i="7" s="1"/>
  <c r="H6" i="8"/>
  <c r="W5" i="9"/>
  <c r="AE3" i="9"/>
  <c r="K50" i="5"/>
  <c r="C118" i="5"/>
  <c r="D118" i="5" s="1"/>
  <c r="C116" i="5"/>
  <c r="D116" i="5" s="1"/>
  <c r="C12" i="3"/>
  <c r="D12" i="3" s="1"/>
  <c r="C162" i="5"/>
  <c r="D162" i="5" s="1"/>
  <c r="C146" i="5"/>
  <c r="D146" i="5" s="1"/>
  <c r="C130" i="5"/>
  <c r="D130" i="5" s="1"/>
  <c r="C114" i="5"/>
  <c r="D114" i="5" s="1"/>
  <c r="C98" i="5"/>
  <c r="D98" i="5" s="1"/>
  <c r="C82" i="5"/>
  <c r="D82" i="5" s="1"/>
  <c r="C108" i="3"/>
  <c r="D108" i="3" s="1"/>
  <c r="C134" i="5"/>
  <c r="D134" i="5" s="1"/>
  <c r="C86" i="5"/>
  <c r="D86" i="5" s="1"/>
  <c r="C132" i="5"/>
  <c r="D132" i="5" s="1"/>
  <c r="C84" i="5"/>
  <c r="D84" i="5" s="1"/>
  <c r="C160" i="5"/>
  <c r="D160" i="5" s="1"/>
  <c r="C144" i="5"/>
  <c r="D144" i="5" s="1"/>
  <c r="C128" i="5"/>
  <c r="D128" i="5" s="1"/>
  <c r="C112" i="5"/>
  <c r="D112" i="5" s="1"/>
  <c r="C96" i="5"/>
  <c r="D96" i="5" s="1"/>
  <c r="C80" i="5"/>
  <c r="D80" i="5" s="1"/>
  <c r="C44" i="3"/>
  <c r="D44" i="3" s="1"/>
  <c r="C150" i="5"/>
  <c r="D150" i="5" s="1"/>
  <c r="C70" i="5"/>
  <c r="D70" i="5" s="1"/>
  <c r="C148" i="5"/>
  <c r="D148" i="5" s="1"/>
  <c r="C68" i="5"/>
  <c r="D68" i="5" s="1"/>
  <c r="C142" i="5"/>
  <c r="D142" i="5" s="1"/>
  <c r="C110" i="5"/>
  <c r="D110" i="5" s="1"/>
  <c r="C156" i="5"/>
  <c r="D156" i="5" s="1"/>
  <c r="C140" i="5"/>
  <c r="D140" i="5" s="1"/>
  <c r="C124" i="5"/>
  <c r="D124" i="5" s="1"/>
  <c r="C108" i="5"/>
  <c r="D108" i="5" s="1"/>
  <c r="C92" i="5"/>
  <c r="D92" i="5" s="1"/>
  <c r="C76" i="5"/>
  <c r="D76" i="5" s="1"/>
  <c r="C102" i="5"/>
  <c r="D102" i="5" s="1"/>
  <c r="C94" i="5"/>
  <c r="D94" i="5" s="1"/>
  <c r="C154" i="5"/>
  <c r="D154" i="5" s="1"/>
  <c r="C138" i="5"/>
  <c r="D138" i="5" s="1"/>
  <c r="C122" i="5"/>
  <c r="D122" i="5" s="1"/>
  <c r="C106" i="5"/>
  <c r="D106" i="5" s="1"/>
  <c r="C90" i="5"/>
  <c r="D90" i="5" s="1"/>
  <c r="C74" i="5"/>
  <c r="D74" i="5" s="1"/>
  <c r="C164" i="5"/>
  <c r="D164" i="5" s="1"/>
  <c r="C100" i="5"/>
  <c r="D100" i="5" s="1"/>
  <c r="C158" i="5"/>
  <c r="D158" i="5" s="1"/>
  <c r="C126" i="5"/>
  <c r="D126" i="5" s="1"/>
  <c r="C78" i="5"/>
  <c r="D78" i="5" s="1"/>
  <c r="C152" i="5"/>
  <c r="D152" i="5" s="1"/>
  <c r="C136" i="5"/>
  <c r="D136" i="5" s="1"/>
  <c r="C120" i="5"/>
  <c r="D120" i="5" s="1"/>
  <c r="C104" i="5"/>
  <c r="D104" i="5" s="1"/>
  <c r="C88" i="5"/>
  <c r="D88" i="5" s="1"/>
  <c r="C72" i="5"/>
  <c r="D72" i="5" s="1"/>
  <c r="C76" i="3"/>
  <c r="D76" i="3" s="1"/>
  <c r="C148" i="6"/>
  <c r="B148" i="6"/>
  <c r="AE134" i="6"/>
  <c r="AD134" i="6"/>
  <c r="B125" i="6"/>
  <c r="C125" i="6"/>
  <c r="AE149" i="6"/>
  <c r="AD149" i="6"/>
  <c r="AE119" i="6"/>
  <c r="AD119" i="6"/>
  <c r="S145" i="6"/>
  <c r="R145" i="6"/>
  <c r="AE157" i="6"/>
  <c r="AD157" i="6"/>
  <c r="C143" i="6"/>
  <c r="B143" i="6"/>
  <c r="AE154" i="6"/>
  <c r="AD154" i="6"/>
  <c r="R134" i="6"/>
  <c r="S134" i="6"/>
  <c r="B133" i="6"/>
  <c r="C133" i="6"/>
  <c r="C159" i="6"/>
  <c r="B159" i="6"/>
  <c r="S156" i="6"/>
  <c r="R156" i="6"/>
  <c r="C129" i="6"/>
  <c r="B129" i="6"/>
  <c r="AE126" i="6"/>
  <c r="AD126" i="6"/>
  <c r="AE146" i="6"/>
  <c r="AD146" i="6"/>
  <c r="AE92" i="6"/>
  <c r="AD92" i="6"/>
  <c r="C151" i="6"/>
  <c r="B151" i="6"/>
  <c r="S148" i="6"/>
  <c r="R148" i="6"/>
  <c r="C156" i="6"/>
  <c r="B156" i="6"/>
  <c r="S153" i="6"/>
  <c r="R153" i="6"/>
  <c r="AD133" i="6"/>
  <c r="AE133" i="6"/>
  <c r="AD159" i="6"/>
  <c r="AE159" i="6"/>
  <c r="R158" i="6"/>
  <c r="S158" i="6"/>
  <c r="B153" i="6"/>
  <c r="C153" i="6"/>
  <c r="AD151" i="6"/>
  <c r="AE151" i="6"/>
  <c r="R150" i="6"/>
  <c r="S150" i="6"/>
  <c r="B145" i="6"/>
  <c r="C145" i="6"/>
  <c r="AD143" i="6"/>
  <c r="AE143" i="6"/>
  <c r="B141" i="6"/>
  <c r="C141" i="6"/>
  <c r="S133" i="6"/>
  <c r="R133" i="6"/>
  <c r="C128" i="6"/>
  <c r="B128" i="6"/>
  <c r="S118" i="6"/>
  <c r="R118" i="6"/>
  <c r="B114" i="6"/>
  <c r="C114" i="6"/>
  <c r="S107" i="6"/>
  <c r="R107" i="6"/>
  <c r="R67" i="6"/>
  <c r="S67" i="6"/>
  <c r="S159" i="6"/>
  <c r="R159" i="6"/>
  <c r="B154" i="6"/>
  <c r="C154" i="6"/>
  <c r="AD152" i="6"/>
  <c r="AE152" i="6"/>
  <c r="R151" i="6"/>
  <c r="S151" i="6"/>
  <c r="B146" i="6"/>
  <c r="C146" i="6"/>
  <c r="AE144" i="6"/>
  <c r="AD144" i="6"/>
  <c r="R143" i="6"/>
  <c r="S143" i="6"/>
  <c r="AE142" i="6"/>
  <c r="AD142" i="6"/>
  <c r="R142" i="6"/>
  <c r="S142" i="6"/>
  <c r="S136" i="6"/>
  <c r="R136" i="6"/>
  <c r="AD135" i="6"/>
  <c r="AE135" i="6"/>
  <c r="B135" i="6"/>
  <c r="C135" i="6"/>
  <c r="B157" i="6"/>
  <c r="C157" i="6"/>
  <c r="AD155" i="6"/>
  <c r="AE155" i="6"/>
  <c r="R154" i="6"/>
  <c r="S154" i="6"/>
  <c r="B149" i="6"/>
  <c r="C149" i="6"/>
  <c r="AD147" i="6"/>
  <c r="AE147" i="6"/>
  <c r="R146" i="6"/>
  <c r="S146" i="6"/>
  <c r="R138" i="6"/>
  <c r="S138" i="6"/>
  <c r="C136" i="6"/>
  <c r="B136" i="6"/>
  <c r="AD131" i="6"/>
  <c r="AE131" i="6"/>
  <c r="AE127" i="6"/>
  <c r="AD127" i="6"/>
  <c r="S125" i="6"/>
  <c r="R125" i="6"/>
  <c r="C121" i="6"/>
  <c r="B121" i="6"/>
  <c r="AD158" i="6"/>
  <c r="AE158" i="6"/>
  <c r="R157" i="6"/>
  <c r="S157" i="6"/>
  <c r="B152" i="6"/>
  <c r="C152" i="6"/>
  <c r="AD150" i="6"/>
  <c r="AE150" i="6"/>
  <c r="R149" i="6"/>
  <c r="S149" i="6"/>
  <c r="B144" i="6"/>
  <c r="C144" i="6"/>
  <c r="AD137" i="6"/>
  <c r="AE137" i="6"/>
  <c r="B137" i="6"/>
  <c r="C137" i="6"/>
  <c r="C110" i="6"/>
  <c r="B110" i="6"/>
  <c r="B155" i="6"/>
  <c r="C155" i="6"/>
  <c r="AD153" i="6"/>
  <c r="AE153" i="6"/>
  <c r="R152" i="6"/>
  <c r="S152" i="6"/>
  <c r="B147" i="6"/>
  <c r="C147" i="6"/>
  <c r="AD145" i="6"/>
  <c r="AE145" i="6"/>
  <c r="R144" i="6"/>
  <c r="S144" i="6"/>
  <c r="R140" i="6"/>
  <c r="S140" i="6"/>
  <c r="AD139" i="6"/>
  <c r="AE139" i="6"/>
  <c r="R130" i="6"/>
  <c r="S130" i="6"/>
  <c r="S126" i="6"/>
  <c r="R126" i="6"/>
  <c r="B158" i="6"/>
  <c r="C158" i="6"/>
  <c r="AD156" i="6"/>
  <c r="AE156" i="6"/>
  <c r="R155" i="6"/>
  <c r="S155" i="6"/>
  <c r="B150" i="6"/>
  <c r="C150" i="6"/>
  <c r="AD148" i="6"/>
  <c r="AE148" i="6"/>
  <c r="R147" i="6"/>
  <c r="S147" i="6"/>
  <c r="AD141" i="6"/>
  <c r="AE141" i="6"/>
  <c r="S141" i="6"/>
  <c r="R141" i="6"/>
  <c r="B139" i="6"/>
  <c r="C139" i="6"/>
  <c r="R132" i="6"/>
  <c r="S132" i="6"/>
  <c r="B142" i="6"/>
  <c r="C142" i="6"/>
  <c r="AD140" i="6"/>
  <c r="AE140" i="6"/>
  <c r="R139" i="6"/>
  <c r="S139" i="6"/>
  <c r="B134" i="6"/>
  <c r="C134" i="6"/>
  <c r="AE132" i="6"/>
  <c r="AD132" i="6"/>
  <c r="R131" i="6"/>
  <c r="S131" i="6"/>
  <c r="B126" i="6"/>
  <c r="C126" i="6"/>
  <c r="AD124" i="6"/>
  <c r="AE124" i="6"/>
  <c r="R123" i="6"/>
  <c r="S123" i="6"/>
  <c r="B118" i="6"/>
  <c r="C118" i="6"/>
  <c r="AD116" i="6"/>
  <c r="AE116" i="6"/>
  <c r="C105" i="6"/>
  <c r="B105" i="6"/>
  <c r="S102" i="6"/>
  <c r="R102" i="6"/>
  <c r="AE87" i="6"/>
  <c r="AD87" i="6"/>
  <c r="C140" i="6"/>
  <c r="B140" i="6"/>
  <c r="AE138" i="6"/>
  <c r="AD138" i="6"/>
  <c r="S137" i="6"/>
  <c r="R137" i="6"/>
  <c r="C132" i="6"/>
  <c r="B132" i="6"/>
  <c r="AE130" i="6"/>
  <c r="AD130" i="6"/>
  <c r="S129" i="6"/>
  <c r="R129" i="6"/>
  <c r="C124" i="6"/>
  <c r="B124" i="6"/>
  <c r="AE122" i="6"/>
  <c r="AD122" i="6"/>
  <c r="S121" i="6"/>
  <c r="R121" i="6"/>
  <c r="C116" i="6"/>
  <c r="B116" i="6"/>
  <c r="AE111" i="6"/>
  <c r="AD111" i="6"/>
  <c r="C97" i="6"/>
  <c r="B97" i="6"/>
  <c r="S94" i="6"/>
  <c r="R94" i="6"/>
  <c r="B127" i="6"/>
  <c r="C127" i="6"/>
  <c r="AD125" i="6"/>
  <c r="AE125" i="6"/>
  <c r="R124" i="6"/>
  <c r="S124" i="6"/>
  <c r="B119" i="6"/>
  <c r="C119" i="6"/>
  <c r="AD117" i="6"/>
  <c r="AE117" i="6"/>
  <c r="R116" i="6"/>
  <c r="S116" i="6"/>
  <c r="C102" i="6"/>
  <c r="B102" i="6"/>
  <c r="S99" i="6"/>
  <c r="R99" i="6"/>
  <c r="AE84" i="6"/>
  <c r="AD84" i="6"/>
  <c r="C138" i="6"/>
  <c r="B138" i="6"/>
  <c r="AE136" i="6"/>
  <c r="AD136" i="6"/>
  <c r="S135" i="6"/>
  <c r="R135" i="6"/>
  <c r="B130" i="6"/>
  <c r="C130" i="6"/>
  <c r="AD128" i="6"/>
  <c r="AE128" i="6"/>
  <c r="R127" i="6"/>
  <c r="S127" i="6"/>
  <c r="B122" i="6"/>
  <c r="C122" i="6"/>
  <c r="AD120" i="6"/>
  <c r="AE120" i="6"/>
  <c r="R119" i="6"/>
  <c r="S119" i="6"/>
  <c r="S115" i="6"/>
  <c r="R115" i="6"/>
  <c r="AE103" i="6"/>
  <c r="AD103" i="6"/>
  <c r="C89" i="6"/>
  <c r="B89" i="6"/>
  <c r="S86" i="6"/>
  <c r="R86" i="6"/>
  <c r="AD123" i="6"/>
  <c r="AE123" i="6"/>
  <c r="R122" i="6"/>
  <c r="S122" i="6"/>
  <c r="B117" i="6"/>
  <c r="C117" i="6"/>
  <c r="AD115" i="6"/>
  <c r="AE115" i="6"/>
  <c r="AE108" i="6"/>
  <c r="AD108" i="6"/>
  <c r="C94" i="6"/>
  <c r="B94" i="6"/>
  <c r="S91" i="6"/>
  <c r="R91" i="6"/>
  <c r="B120" i="6"/>
  <c r="C120" i="6"/>
  <c r="AD118" i="6"/>
  <c r="AE118" i="6"/>
  <c r="R117" i="6"/>
  <c r="S117" i="6"/>
  <c r="C113" i="6"/>
  <c r="B113" i="6"/>
  <c r="S110" i="6"/>
  <c r="R110" i="6"/>
  <c r="AE95" i="6"/>
  <c r="AD95" i="6"/>
  <c r="B57" i="6"/>
  <c r="C57" i="6"/>
  <c r="B131" i="6"/>
  <c r="C131" i="6"/>
  <c r="AE129" i="6"/>
  <c r="AD129" i="6"/>
  <c r="R128" i="6"/>
  <c r="S128" i="6"/>
  <c r="B123" i="6"/>
  <c r="C123" i="6"/>
  <c r="AD121" i="6"/>
  <c r="AE121" i="6"/>
  <c r="R120" i="6"/>
  <c r="S120" i="6"/>
  <c r="AE100" i="6"/>
  <c r="AD100" i="6"/>
  <c r="C86" i="6"/>
  <c r="B86" i="6"/>
  <c r="S83" i="6"/>
  <c r="R83" i="6"/>
  <c r="AE70" i="6"/>
  <c r="AD70" i="6"/>
  <c r="B115" i="6"/>
  <c r="C115" i="6"/>
  <c r="AD113" i="6"/>
  <c r="AE113" i="6"/>
  <c r="R112" i="6"/>
  <c r="S112" i="6"/>
  <c r="B107" i="6"/>
  <c r="C107" i="6"/>
  <c r="AD105" i="6"/>
  <c r="AE105" i="6"/>
  <c r="R104" i="6"/>
  <c r="S104" i="6"/>
  <c r="B99" i="6"/>
  <c r="C99" i="6"/>
  <c r="AD97" i="6"/>
  <c r="AE97" i="6"/>
  <c r="R96" i="6"/>
  <c r="S96" i="6"/>
  <c r="B91" i="6"/>
  <c r="C91" i="6"/>
  <c r="AD89" i="6"/>
  <c r="AE89" i="6"/>
  <c r="R88" i="6"/>
  <c r="S88" i="6"/>
  <c r="B83" i="6"/>
  <c r="C83" i="6"/>
  <c r="C71" i="6"/>
  <c r="B71" i="6"/>
  <c r="AD114" i="6"/>
  <c r="AE114" i="6"/>
  <c r="S113" i="6"/>
  <c r="R113" i="6"/>
  <c r="B108" i="6"/>
  <c r="C108" i="6"/>
  <c r="AE106" i="6"/>
  <c r="AD106" i="6"/>
  <c r="R105" i="6"/>
  <c r="S105" i="6"/>
  <c r="B100" i="6"/>
  <c r="C100" i="6"/>
  <c r="AD98" i="6"/>
  <c r="AE98" i="6"/>
  <c r="R97" i="6"/>
  <c r="S97" i="6"/>
  <c r="C92" i="6"/>
  <c r="B92" i="6"/>
  <c r="AD90" i="6"/>
  <c r="AE90" i="6"/>
  <c r="S89" i="6"/>
  <c r="R89" i="6"/>
  <c r="B84" i="6"/>
  <c r="C84" i="6"/>
  <c r="AD82" i="6"/>
  <c r="AE82" i="6"/>
  <c r="S77" i="6"/>
  <c r="R77" i="6"/>
  <c r="B70" i="6"/>
  <c r="C70" i="6"/>
  <c r="B56" i="6"/>
  <c r="C56" i="6"/>
  <c r="B111" i="6"/>
  <c r="C111" i="6"/>
  <c r="AD109" i="6"/>
  <c r="AE109" i="6"/>
  <c r="R108" i="6"/>
  <c r="S108" i="6"/>
  <c r="B103" i="6"/>
  <c r="C103" i="6"/>
  <c r="AD101" i="6"/>
  <c r="AE101" i="6"/>
  <c r="R100" i="6"/>
  <c r="S100" i="6"/>
  <c r="B95" i="6"/>
  <c r="C95" i="6"/>
  <c r="AD93" i="6"/>
  <c r="AE93" i="6"/>
  <c r="R92" i="6"/>
  <c r="S92" i="6"/>
  <c r="B87" i="6"/>
  <c r="C87" i="6"/>
  <c r="AD85" i="6"/>
  <c r="AE85" i="6"/>
  <c r="R84" i="6"/>
  <c r="S84" i="6"/>
  <c r="C72" i="6"/>
  <c r="B72" i="6"/>
  <c r="AD112" i="6"/>
  <c r="AE112" i="6"/>
  <c r="R111" i="6"/>
  <c r="S111" i="6"/>
  <c r="B106" i="6"/>
  <c r="C106" i="6"/>
  <c r="AD104" i="6"/>
  <c r="AE104" i="6"/>
  <c r="R103" i="6"/>
  <c r="S103" i="6"/>
  <c r="B98" i="6"/>
  <c r="C98" i="6"/>
  <c r="AD96" i="6"/>
  <c r="AE96" i="6"/>
  <c r="R95" i="6"/>
  <c r="S95" i="6"/>
  <c r="B90" i="6"/>
  <c r="C90" i="6"/>
  <c r="AD88" i="6"/>
  <c r="AE88" i="6"/>
  <c r="R87" i="6"/>
  <c r="S87" i="6"/>
  <c r="B82" i="6"/>
  <c r="C82" i="6"/>
  <c r="AE78" i="6"/>
  <c r="AD78" i="6"/>
  <c r="S114" i="6"/>
  <c r="R114" i="6"/>
  <c r="B109" i="6"/>
  <c r="C109" i="6"/>
  <c r="AD107" i="6"/>
  <c r="AE107" i="6"/>
  <c r="R106" i="6"/>
  <c r="S106" i="6"/>
  <c r="B101" i="6"/>
  <c r="C101" i="6"/>
  <c r="AD99" i="6"/>
  <c r="AE99" i="6"/>
  <c r="R98" i="6"/>
  <c r="S98" i="6"/>
  <c r="B93" i="6"/>
  <c r="C93" i="6"/>
  <c r="AD91" i="6"/>
  <c r="AE91" i="6"/>
  <c r="R90" i="6"/>
  <c r="S90" i="6"/>
  <c r="B85" i="6"/>
  <c r="C85" i="6"/>
  <c r="AD83" i="6"/>
  <c r="AE83" i="6"/>
  <c r="R82" i="6"/>
  <c r="S82" i="6"/>
  <c r="AE81" i="6"/>
  <c r="AD81" i="6"/>
  <c r="AD68" i="6"/>
  <c r="AE68" i="6"/>
  <c r="C60" i="6"/>
  <c r="B60" i="6"/>
  <c r="B36" i="6"/>
  <c r="C36" i="6"/>
  <c r="B112" i="6"/>
  <c r="C112" i="6"/>
  <c r="AD110" i="6"/>
  <c r="AE110" i="6"/>
  <c r="R109" i="6"/>
  <c r="S109" i="6"/>
  <c r="B104" i="6"/>
  <c r="C104" i="6"/>
  <c r="AD102" i="6"/>
  <c r="AE102" i="6"/>
  <c r="R101" i="6"/>
  <c r="S101" i="6"/>
  <c r="B96" i="6"/>
  <c r="C96" i="6"/>
  <c r="AD94" i="6"/>
  <c r="AE94" i="6"/>
  <c r="R93" i="6"/>
  <c r="S93" i="6"/>
  <c r="B88" i="6"/>
  <c r="C88" i="6"/>
  <c r="AD86" i="6"/>
  <c r="AE86" i="6"/>
  <c r="R85" i="6"/>
  <c r="S85" i="6"/>
  <c r="R81" i="6"/>
  <c r="S81" i="6"/>
  <c r="C80" i="6"/>
  <c r="B80" i="6"/>
  <c r="B77" i="6"/>
  <c r="C77" i="6"/>
  <c r="AD75" i="6"/>
  <c r="AE75" i="6"/>
  <c r="R74" i="6"/>
  <c r="S74" i="6"/>
  <c r="S70" i="6"/>
  <c r="R70" i="6"/>
  <c r="R59" i="6"/>
  <c r="S59" i="6"/>
  <c r="C47" i="6"/>
  <c r="B47" i="6"/>
  <c r="S80" i="6"/>
  <c r="R80" i="6"/>
  <c r="C75" i="6"/>
  <c r="B75" i="6"/>
  <c r="AE73" i="6"/>
  <c r="AD73" i="6"/>
  <c r="S72" i="6"/>
  <c r="R72" i="6"/>
  <c r="AE58" i="6"/>
  <c r="AD58" i="6"/>
  <c r="B55" i="6"/>
  <c r="C55" i="6"/>
  <c r="R46" i="6"/>
  <c r="S46" i="6"/>
  <c r="B78" i="6"/>
  <c r="C78" i="6"/>
  <c r="AD76" i="6"/>
  <c r="AE76" i="6"/>
  <c r="R75" i="6"/>
  <c r="S75" i="6"/>
  <c r="C65" i="6"/>
  <c r="B65" i="6"/>
  <c r="AE57" i="6"/>
  <c r="AD57" i="6"/>
  <c r="B81" i="6"/>
  <c r="C81" i="6"/>
  <c r="AD79" i="6"/>
  <c r="AE79" i="6"/>
  <c r="R78" i="6"/>
  <c r="S78" i="6"/>
  <c r="B73" i="6"/>
  <c r="C73" i="6"/>
  <c r="AD71" i="6"/>
  <c r="AE71" i="6"/>
  <c r="B69" i="6"/>
  <c r="C69" i="6"/>
  <c r="AD67" i="6"/>
  <c r="AE67" i="6"/>
  <c r="AD66" i="6"/>
  <c r="AE66" i="6"/>
  <c r="B62" i="6"/>
  <c r="C62" i="6"/>
  <c r="B76" i="6"/>
  <c r="C76" i="6"/>
  <c r="AD74" i="6"/>
  <c r="AE74" i="6"/>
  <c r="R73" i="6"/>
  <c r="S73" i="6"/>
  <c r="AE63" i="6"/>
  <c r="AD63" i="6"/>
  <c r="S57" i="6"/>
  <c r="R57" i="6"/>
  <c r="B79" i="6"/>
  <c r="C79" i="6"/>
  <c r="AD77" i="6"/>
  <c r="AE77" i="6"/>
  <c r="R76" i="6"/>
  <c r="S76" i="6"/>
  <c r="R65" i="6"/>
  <c r="S65" i="6"/>
  <c r="AD60" i="6"/>
  <c r="AE60" i="6"/>
  <c r="B44" i="6"/>
  <c r="C44" i="6"/>
  <c r="AD80" i="6"/>
  <c r="AE80" i="6"/>
  <c r="R79" i="6"/>
  <c r="S79" i="6"/>
  <c r="B74" i="6"/>
  <c r="C74" i="6"/>
  <c r="AD72" i="6"/>
  <c r="AE72" i="6"/>
  <c r="B68" i="6"/>
  <c r="C68" i="6"/>
  <c r="S62" i="6"/>
  <c r="R62" i="6"/>
  <c r="AD23" i="6"/>
  <c r="AE23" i="6"/>
  <c r="AD69" i="6"/>
  <c r="AE69" i="6"/>
  <c r="R68" i="6"/>
  <c r="S68" i="6"/>
  <c r="B63" i="6"/>
  <c r="C63" i="6"/>
  <c r="AE61" i="6"/>
  <c r="AD61" i="6"/>
  <c r="R60" i="6"/>
  <c r="S60" i="6"/>
  <c r="AD53" i="6"/>
  <c r="AE53" i="6"/>
  <c r="C52" i="6"/>
  <c r="B52" i="6"/>
  <c r="AD45" i="6"/>
  <c r="AE45" i="6"/>
  <c r="AD43" i="6"/>
  <c r="AE43" i="6"/>
  <c r="AE41" i="6"/>
  <c r="AD41" i="6"/>
  <c r="C17" i="6"/>
  <c r="B17" i="6"/>
  <c r="R71" i="6"/>
  <c r="S71" i="6"/>
  <c r="B66" i="6"/>
  <c r="C66" i="6"/>
  <c r="AD64" i="6"/>
  <c r="AE64" i="6"/>
  <c r="R63" i="6"/>
  <c r="S63" i="6"/>
  <c r="B49" i="6"/>
  <c r="C49" i="6"/>
  <c r="AD42" i="6"/>
  <c r="AE42" i="6"/>
  <c r="C40" i="6"/>
  <c r="B40" i="6"/>
  <c r="AE38" i="6"/>
  <c r="AD38" i="6"/>
  <c r="R66" i="6"/>
  <c r="S66" i="6"/>
  <c r="B61" i="6"/>
  <c r="C61" i="6"/>
  <c r="AD59" i="6"/>
  <c r="AE59" i="6"/>
  <c r="R54" i="6"/>
  <c r="S54" i="6"/>
  <c r="AE50" i="6"/>
  <c r="AD50" i="6"/>
  <c r="S69" i="6"/>
  <c r="R69" i="6"/>
  <c r="B64" i="6"/>
  <c r="C64" i="6"/>
  <c r="AD62" i="6"/>
  <c r="AE62" i="6"/>
  <c r="R61" i="6"/>
  <c r="S61" i="6"/>
  <c r="AD54" i="6"/>
  <c r="AE54" i="6"/>
  <c r="R52" i="6"/>
  <c r="S52" i="6"/>
  <c r="AD47" i="6"/>
  <c r="AE47" i="6"/>
  <c r="R42" i="6"/>
  <c r="S42" i="6"/>
  <c r="AE32" i="6"/>
  <c r="AD32" i="6"/>
  <c r="C20" i="6"/>
  <c r="B20" i="6"/>
  <c r="B67" i="6"/>
  <c r="C67" i="6"/>
  <c r="AD65" i="6"/>
  <c r="AE65" i="6"/>
  <c r="R64" i="6"/>
  <c r="S64" i="6"/>
  <c r="B59" i="6"/>
  <c r="C59" i="6"/>
  <c r="S56" i="6"/>
  <c r="R56" i="6"/>
  <c r="AD55" i="6"/>
  <c r="AE55" i="6"/>
  <c r="S49" i="6"/>
  <c r="R49" i="6"/>
  <c r="AE19" i="6"/>
  <c r="AD19" i="6"/>
  <c r="AE7" i="6"/>
  <c r="AD7" i="6"/>
  <c r="C58" i="6"/>
  <c r="B58" i="6"/>
  <c r="AE56" i="6"/>
  <c r="AD56" i="6"/>
  <c r="R55" i="6"/>
  <c r="S55" i="6"/>
  <c r="B50" i="6"/>
  <c r="C50" i="6"/>
  <c r="AD48" i="6"/>
  <c r="AE48" i="6"/>
  <c r="R47" i="6"/>
  <c r="S47" i="6"/>
  <c r="S40" i="6"/>
  <c r="R40" i="6"/>
  <c r="AD29" i="6"/>
  <c r="AE29" i="6"/>
  <c r="AD28" i="6"/>
  <c r="AE28" i="6"/>
  <c r="R58" i="6"/>
  <c r="S58" i="6"/>
  <c r="B53" i="6"/>
  <c r="C53" i="6"/>
  <c r="AD51" i="6"/>
  <c r="AE51" i="6"/>
  <c r="R50" i="6"/>
  <c r="S50" i="6"/>
  <c r="B45" i="6"/>
  <c r="C45" i="6"/>
  <c r="B43" i="6"/>
  <c r="C43" i="6"/>
  <c r="S37" i="6"/>
  <c r="R37" i="6"/>
  <c r="AE27" i="6"/>
  <c r="AD27" i="6"/>
  <c r="R53" i="6"/>
  <c r="S53" i="6"/>
  <c r="B48" i="6"/>
  <c r="C48" i="6"/>
  <c r="AD46" i="6"/>
  <c r="AE46" i="6"/>
  <c r="R45" i="6"/>
  <c r="S45" i="6"/>
  <c r="R41" i="6"/>
  <c r="S41" i="6"/>
  <c r="S30" i="6"/>
  <c r="R30" i="6"/>
  <c r="B51" i="6"/>
  <c r="C51" i="6"/>
  <c r="AD49" i="6"/>
  <c r="AE49" i="6"/>
  <c r="R48" i="6"/>
  <c r="S48" i="6"/>
  <c r="S18" i="6"/>
  <c r="R18" i="6"/>
  <c r="B9" i="6"/>
  <c r="C9" i="6"/>
  <c r="B54" i="6"/>
  <c r="C54" i="6"/>
  <c r="AD52" i="6"/>
  <c r="AE52" i="6"/>
  <c r="R51" i="6"/>
  <c r="S51" i="6"/>
  <c r="B46" i="6"/>
  <c r="C46" i="6"/>
  <c r="AD44" i="6"/>
  <c r="AE44" i="6"/>
  <c r="S44" i="6"/>
  <c r="R44" i="6"/>
  <c r="S26" i="6"/>
  <c r="R26" i="6"/>
  <c r="B37" i="6"/>
  <c r="C37" i="6"/>
  <c r="AD35" i="6"/>
  <c r="AE35" i="6"/>
  <c r="R28" i="6"/>
  <c r="S28" i="6"/>
  <c r="R24" i="6"/>
  <c r="S24" i="6"/>
  <c r="AE22" i="6"/>
  <c r="AD22" i="6"/>
  <c r="AD12" i="6"/>
  <c r="AE12" i="6"/>
  <c r="R43" i="6"/>
  <c r="S43" i="6"/>
  <c r="B38" i="6"/>
  <c r="C38" i="6"/>
  <c r="AD36" i="6"/>
  <c r="AE36" i="6"/>
  <c r="S35" i="6"/>
  <c r="R35" i="6"/>
  <c r="S31" i="6"/>
  <c r="R31" i="6"/>
  <c r="B30" i="6"/>
  <c r="C30" i="6"/>
  <c r="B29" i="6"/>
  <c r="C29" i="6"/>
  <c r="AD18" i="6"/>
  <c r="AE18" i="6"/>
  <c r="B41" i="6"/>
  <c r="C41" i="6"/>
  <c r="AD39" i="6"/>
  <c r="AE39" i="6"/>
  <c r="R38" i="6"/>
  <c r="S38" i="6"/>
  <c r="AE31" i="6"/>
  <c r="AD31" i="6"/>
  <c r="B31" i="6"/>
  <c r="C31" i="6"/>
  <c r="AE16" i="6"/>
  <c r="AD16" i="6"/>
  <c r="C14" i="6"/>
  <c r="B14" i="6"/>
  <c r="C39" i="6"/>
  <c r="B39" i="6"/>
  <c r="AE37" i="6"/>
  <c r="AD37" i="6"/>
  <c r="S36" i="6"/>
  <c r="R36" i="6"/>
  <c r="S34" i="6"/>
  <c r="R34" i="6"/>
  <c r="C33" i="6"/>
  <c r="B33" i="6"/>
  <c r="S10" i="6"/>
  <c r="R10" i="6"/>
  <c r="B42" i="6"/>
  <c r="C42" i="6"/>
  <c r="AD40" i="6"/>
  <c r="AE40" i="6"/>
  <c r="R39" i="6"/>
  <c r="S39" i="6"/>
  <c r="C34" i="6"/>
  <c r="B34" i="6"/>
  <c r="R27" i="6"/>
  <c r="S27" i="6"/>
  <c r="B24" i="6"/>
  <c r="C24" i="6"/>
  <c r="S21" i="6"/>
  <c r="R21" i="6"/>
  <c r="AD20" i="6"/>
  <c r="AE20" i="6"/>
  <c r="C19" i="6"/>
  <c r="B19" i="6"/>
  <c r="R16" i="6"/>
  <c r="S16" i="6"/>
  <c r="R15" i="6"/>
  <c r="S15" i="6"/>
  <c r="B11" i="6"/>
  <c r="C11" i="6"/>
  <c r="AE5" i="6"/>
  <c r="AD5" i="6"/>
  <c r="C32" i="6"/>
  <c r="B32" i="6"/>
  <c r="AD30" i="6"/>
  <c r="AE30" i="6"/>
  <c r="S29" i="6"/>
  <c r="R29" i="6"/>
  <c r="B26" i="6"/>
  <c r="C26" i="6"/>
  <c r="R22" i="6"/>
  <c r="S22" i="6"/>
  <c r="B18" i="6"/>
  <c r="C18" i="6"/>
  <c r="AD14" i="6"/>
  <c r="AE14" i="6"/>
  <c r="AD8" i="6"/>
  <c r="AE8" i="6"/>
  <c r="AE6" i="6"/>
  <c r="AD6" i="6"/>
  <c r="B35" i="6"/>
  <c r="C35" i="6"/>
  <c r="AD33" i="6"/>
  <c r="AE33" i="6"/>
  <c r="R32" i="6"/>
  <c r="S32" i="6"/>
  <c r="B27" i="6"/>
  <c r="C27" i="6"/>
  <c r="AD25" i="6"/>
  <c r="AE25" i="6"/>
  <c r="S25" i="6"/>
  <c r="R25" i="6"/>
  <c r="C21" i="6"/>
  <c r="B21" i="6"/>
  <c r="AE15" i="6"/>
  <c r="AD15" i="6"/>
  <c r="S12" i="6"/>
  <c r="R12" i="6"/>
  <c r="B8" i="6"/>
  <c r="C8" i="6"/>
  <c r="AD34" i="6"/>
  <c r="AE34" i="6"/>
  <c r="R33" i="6"/>
  <c r="S33" i="6"/>
  <c r="C28" i="6"/>
  <c r="B28" i="6"/>
  <c r="AD26" i="6"/>
  <c r="AE26" i="6"/>
  <c r="B25" i="6"/>
  <c r="C25" i="6"/>
  <c r="AD24" i="6"/>
  <c r="AE24" i="6"/>
  <c r="R23" i="6"/>
  <c r="S23" i="6"/>
  <c r="C10" i="6"/>
  <c r="B10" i="6"/>
  <c r="S8" i="6"/>
  <c r="R8" i="6"/>
  <c r="AE4" i="6"/>
  <c r="AM4" i="6"/>
  <c r="AG4" i="6"/>
  <c r="AD4" i="6"/>
  <c r="AD13" i="6"/>
  <c r="AE13" i="6"/>
  <c r="B12" i="6"/>
  <c r="C12" i="6"/>
  <c r="B22" i="6"/>
  <c r="C22" i="6"/>
  <c r="R19" i="6"/>
  <c r="S19" i="6"/>
  <c r="AD11" i="6"/>
  <c r="AE11" i="6"/>
  <c r="S17" i="6"/>
  <c r="R17" i="6"/>
  <c r="B23" i="6"/>
  <c r="C23" i="6"/>
  <c r="AD21" i="6"/>
  <c r="AE21" i="6"/>
  <c r="B13" i="6"/>
  <c r="C13" i="6"/>
  <c r="AD9" i="6"/>
  <c r="AE9" i="6"/>
  <c r="S9" i="6"/>
  <c r="R9" i="6"/>
  <c r="R20" i="6"/>
  <c r="S20" i="6"/>
  <c r="R11" i="6"/>
  <c r="S11" i="6"/>
  <c r="B7" i="6"/>
  <c r="C7" i="6"/>
  <c r="B6" i="6"/>
  <c r="C6" i="6"/>
  <c r="B5" i="6"/>
  <c r="C5" i="6"/>
  <c r="O4" i="6"/>
  <c r="B4" i="6"/>
  <c r="C4" i="6"/>
  <c r="R7" i="6"/>
  <c r="S7" i="6"/>
  <c r="R6" i="6"/>
  <c r="S6" i="6"/>
  <c r="R5" i="6"/>
  <c r="S5" i="6"/>
  <c r="R4" i="6"/>
  <c r="AA4" i="6"/>
  <c r="S4" i="6"/>
  <c r="AE17" i="6"/>
  <c r="AD17" i="6"/>
  <c r="C16" i="6"/>
  <c r="B16" i="6"/>
  <c r="B15" i="6"/>
  <c r="C15" i="6"/>
  <c r="S14" i="6"/>
  <c r="R14" i="6"/>
  <c r="R13" i="6"/>
  <c r="S13" i="6"/>
  <c r="AE10" i="6"/>
  <c r="AD10" i="6"/>
  <c r="C140" i="4"/>
  <c r="D140" i="4" s="1"/>
  <c r="B140" i="4"/>
  <c r="C132" i="4"/>
  <c r="D132" i="4" s="1"/>
  <c r="B132" i="4"/>
  <c r="C124" i="4"/>
  <c r="D124" i="4" s="1"/>
  <c r="J124" i="4" s="1"/>
  <c r="B124" i="4"/>
  <c r="C156" i="4"/>
  <c r="D156" i="4" s="1"/>
  <c r="J156" i="4" s="1"/>
  <c r="B156" i="4"/>
  <c r="C148" i="4"/>
  <c r="D148" i="4" s="1"/>
  <c r="B148" i="4"/>
  <c r="C42" i="4"/>
  <c r="D42" i="4" s="1"/>
  <c r="J42" i="4" s="1"/>
  <c r="B42" i="4"/>
  <c r="C74" i="4"/>
  <c r="D74" i="4" s="1"/>
  <c r="K74" i="4" s="1"/>
  <c r="H75" i="4" s="1"/>
  <c r="B74" i="4"/>
  <c r="C100" i="4"/>
  <c r="D100" i="4" s="1"/>
  <c r="B100" i="4"/>
  <c r="C108" i="4"/>
  <c r="D108" i="4" s="1"/>
  <c r="B108" i="4"/>
  <c r="C116" i="4"/>
  <c r="D116" i="4" s="1"/>
  <c r="J116" i="4" s="1"/>
  <c r="B116" i="4"/>
  <c r="B155" i="4"/>
  <c r="C155" i="4"/>
  <c r="D155" i="4" s="1"/>
  <c r="J155" i="4" s="1"/>
  <c r="B147" i="4"/>
  <c r="C147" i="4"/>
  <c r="D147" i="4" s="1"/>
  <c r="J147" i="4" s="1"/>
  <c r="B139" i="4"/>
  <c r="C139" i="4"/>
  <c r="D139" i="4" s="1"/>
  <c r="B131" i="4"/>
  <c r="C131" i="4"/>
  <c r="D131" i="4" s="1"/>
  <c r="B123" i="4"/>
  <c r="C123" i="4"/>
  <c r="D123" i="4" s="1"/>
  <c r="J123" i="4" s="1"/>
  <c r="B115" i="4"/>
  <c r="C115" i="4"/>
  <c r="D115" i="4" s="1"/>
  <c r="B107" i="4"/>
  <c r="C107" i="4"/>
  <c r="D107" i="4" s="1"/>
  <c r="J107" i="4" s="1"/>
  <c r="B99" i="4"/>
  <c r="C99" i="4"/>
  <c r="D99" i="4" s="1"/>
  <c r="C83" i="4"/>
  <c r="D83" i="4" s="1"/>
  <c r="B83" i="4"/>
  <c r="C51" i="4"/>
  <c r="D51" i="4" s="1"/>
  <c r="B51" i="4"/>
  <c r="B157" i="4"/>
  <c r="C157" i="4"/>
  <c r="D157" i="4" s="1"/>
  <c r="J157" i="4" s="1"/>
  <c r="C149" i="4"/>
  <c r="D149" i="4" s="1"/>
  <c r="J149" i="4" s="1"/>
  <c r="B149" i="4"/>
  <c r="C141" i="4"/>
  <c r="D141" i="4" s="1"/>
  <c r="J141" i="4" s="1"/>
  <c r="B141" i="4"/>
  <c r="C133" i="4"/>
  <c r="D133" i="4" s="1"/>
  <c r="B133" i="4"/>
  <c r="C125" i="4"/>
  <c r="D125" i="4" s="1"/>
  <c r="B125" i="4"/>
  <c r="C117" i="4"/>
  <c r="D117" i="4" s="1"/>
  <c r="J117" i="4" s="1"/>
  <c r="B117" i="4"/>
  <c r="C109" i="4"/>
  <c r="D109" i="4" s="1"/>
  <c r="B109" i="4"/>
  <c r="C101" i="4"/>
  <c r="D101" i="4" s="1"/>
  <c r="J101" i="4" s="1"/>
  <c r="B101" i="4"/>
  <c r="C59" i="4"/>
  <c r="D59" i="4" s="1"/>
  <c r="B59" i="4"/>
  <c r="C27" i="4"/>
  <c r="D27" i="4" s="1"/>
  <c r="B27" i="4"/>
  <c r="B158" i="4"/>
  <c r="C158" i="4"/>
  <c r="D158" i="4" s="1"/>
  <c r="B150" i="4"/>
  <c r="C150" i="4"/>
  <c r="D150" i="4" s="1"/>
  <c r="B142" i="4"/>
  <c r="C142" i="4"/>
  <c r="D142" i="4" s="1"/>
  <c r="B134" i="4"/>
  <c r="C134" i="4"/>
  <c r="D134" i="4" s="1"/>
  <c r="K134" i="4" s="1"/>
  <c r="H135" i="4" s="1"/>
  <c r="B126" i="4"/>
  <c r="C126" i="4"/>
  <c r="D126" i="4" s="1"/>
  <c r="B118" i="4"/>
  <c r="C118" i="4"/>
  <c r="D118" i="4" s="1"/>
  <c r="J118" i="4" s="1"/>
  <c r="B110" i="4"/>
  <c r="C110" i="4"/>
  <c r="D110" i="4" s="1"/>
  <c r="B102" i="4"/>
  <c r="C102" i="4"/>
  <c r="D102" i="4" s="1"/>
  <c r="J102" i="4" s="1"/>
  <c r="B86" i="4"/>
  <c r="C86" i="4"/>
  <c r="D86" i="4" s="1"/>
  <c r="C82" i="4"/>
  <c r="D82" i="4" s="1"/>
  <c r="J82" i="4" s="1"/>
  <c r="B82" i="4"/>
  <c r="C50" i="4"/>
  <c r="D50" i="4" s="1"/>
  <c r="K50" i="4" s="1"/>
  <c r="H51" i="4" s="1"/>
  <c r="B50" i="4"/>
  <c r="B151" i="4"/>
  <c r="C151" i="4"/>
  <c r="D151" i="4" s="1"/>
  <c r="J151" i="4" s="1"/>
  <c r="B143" i="4"/>
  <c r="C143" i="4"/>
  <c r="D143" i="4" s="1"/>
  <c r="J143" i="4" s="1"/>
  <c r="B135" i="4"/>
  <c r="C135" i="4"/>
  <c r="D135" i="4" s="1"/>
  <c r="J135" i="4" s="1"/>
  <c r="B127" i="4"/>
  <c r="C127" i="4"/>
  <c r="D127" i="4" s="1"/>
  <c r="J127" i="4" s="1"/>
  <c r="B119" i="4"/>
  <c r="C119" i="4"/>
  <c r="D119" i="4" s="1"/>
  <c r="J119" i="4" s="1"/>
  <c r="B111" i="4"/>
  <c r="C111" i="4"/>
  <c r="D111" i="4" s="1"/>
  <c r="J111" i="4" s="1"/>
  <c r="B103" i="4"/>
  <c r="C103" i="4"/>
  <c r="D103" i="4" s="1"/>
  <c r="J103" i="4" s="1"/>
  <c r="B88" i="4"/>
  <c r="C88" i="4"/>
  <c r="D88" i="4" s="1"/>
  <c r="J88" i="4" s="1"/>
  <c r="C67" i="4"/>
  <c r="D67" i="4" s="1"/>
  <c r="B67" i="4"/>
  <c r="C35" i="4"/>
  <c r="D35" i="4" s="1"/>
  <c r="J35" i="4" s="1"/>
  <c r="B35" i="4"/>
  <c r="B19" i="4"/>
  <c r="C19" i="4"/>
  <c r="D19" i="4" s="1"/>
  <c r="J19" i="4" s="1"/>
  <c r="B15" i="4"/>
  <c r="C15" i="4"/>
  <c r="D15" i="4" s="1"/>
  <c r="J15" i="4" s="1"/>
  <c r="B152" i="4"/>
  <c r="C152" i="4"/>
  <c r="D152" i="4" s="1"/>
  <c r="J152" i="4" s="1"/>
  <c r="B144" i="4"/>
  <c r="C144" i="4"/>
  <c r="D144" i="4" s="1"/>
  <c r="J144" i="4" s="1"/>
  <c r="B136" i="4"/>
  <c r="C136" i="4"/>
  <c r="D136" i="4" s="1"/>
  <c r="B128" i="4"/>
  <c r="C128" i="4"/>
  <c r="D128" i="4" s="1"/>
  <c r="J128" i="4" s="1"/>
  <c r="B120" i="4"/>
  <c r="C120" i="4"/>
  <c r="D120" i="4" s="1"/>
  <c r="B112" i="4"/>
  <c r="C112" i="4"/>
  <c r="D112" i="4" s="1"/>
  <c r="J112" i="4" s="1"/>
  <c r="B104" i="4"/>
  <c r="C104" i="4"/>
  <c r="D104" i="4" s="1"/>
  <c r="J104" i="4" s="1"/>
  <c r="B96" i="4"/>
  <c r="C96" i="4"/>
  <c r="D96" i="4" s="1"/>
  <c r="B90" i="4"/>
  <c r="C90" i="4"/>
  <c r="D90" i="4" s="1"/>
  <c r="C58" i="4"/>
  <c r="D58" i="4" s="1"/>
  <c r="J58" i="4" s="1"/>
  <c r="B58" i="4"/>
  <c r="C26" i="4"/>
  <c r="D26" i="4" s="1"/>
  <c r="B26" i="4"/>
  <c r="B153" i="4"/>
  <c r="C153" i="4"/>
  <c r="D153" i="4" s="1"/>
  <c r="B145" i="4"/>
  <c r="C145" i="4"/>
  <c r="D145" i="4" s="1"/>
  <c r="J145" i="4" s="1"/>
  <c r="B137" i="4"/>
  <c r="C137" i="4"/>
  <c r="D137" i="4" s="1"/>
  <c r="J137" i="4" s="1"/>
  <c r="B129" i="4"/>
  <c r="C129" i="4"/>
  <c r="D129" i="4" s="1"/>
  <c r="J129" i="4" s="1"/>
  <c r="B121" i="4"/>
  <c r="C121" i="4"/>
  <c r="D121" i="4" s="1"/>
  <c r="J121" i="4" s="1"/>
  <c r="B113" i="4"/>
  <c r="C113" i="4"/>
  <c r="D113" i="4" s="1"/>
  <c r="B105" i="4"/>
  <c r="C105" i="4"/>
  <c r="D105" i="4" s="1"/>
  <c r="J105" i="4" s="1"/>
  <c r="B97" i="4"/>
  <c r="C97" i="4"/>
  <c r="D97" i="4" s="1"/>
  <c r="C91" i="4"/>
  <c r="D91" i="4" s="1"/>
  <c r="B91" i="4"/>
  <c r="C75" i="4"/>
  <c r="D75" i="4" s="1"/>
  <c r="B75" i="4"/>
  <c r="C43" i="4"/>
  <c r="D43" i="4" s="1"/>
  <c r="B43" i="4"/>
  <c r="B154" i="4"/>
  <c r="C154" i="4"/>
  <c r="D154" i="4" s="1"/>
  <c r="J154" i="4" s="1"/>
  <c r="B146" i="4"/>
  <c r="C146" i="4"/>
  <c r="D146" i="4" s="1"/>
  <c r="K146" i="4" s="1"/>
  <c r="H147" i="4" s="1"/>
  <c r="B138" i="4"/>
  <c r="C138" i="4"/>
  <c r="D138" i="4" s="1"/>
  <c r="J138" i="4" s="1"/>
  <c r="B130" i="4"/>
  <c r="C130" i="4"/>
  <c r="D130" i="4" s="1"/>
  <c r="J130" i="4" s="1"/>
  <c r="B122" i="4"/>
  <c r="C122" i="4"/>
  <c r="D122" i="4" s="1"/>
  <c r="B114" i="4"/>
  <c r="C114" i="4"/>
  <c r="D114" i="4" s="1"/>
  <c r="J114" i="4" s="1"/>
  <c r="B106" i="4"/>
  <c r="C106" i="4"/>
  <c r="D106" i="4" s="1"/>
  <c r="J106" i="4" s="1"/>
  <c r="B98" i="4"/>
  <c r="C98" i="4"/>
  <c r="D98" i="4" s="1"/>
  <c r="B94" i="4"/>
  <c r="C94" i="4"/>
  <c r="D94" i="4" s="1"/>
  <c r="C66" i="4"/>
  <c r="D66" i="4" s="1"/>
  <c r="J66" i="4" s="1"/>
  <c r="B66" i="4"/>
  <c r="C34" i="4"/>
  <c r="D34" i="4" s="1"/>
  <c r="J34" i="4" s="1"/>
  <c r="B34" i="4"/>
  <c r="B13" i="4"/>
  <c r="C13" i="4"/>
  <c r="D13" i="4" s="1"/>
  <c r="C89" i="4"/>
  <c r="D89" i="4" s="1"/>
  <c r="J89" i="4" s="1"/>
  <c r="B89" i="4"/>
  <c r="B81" i="4"/>
  <c r="C81" i="4"/>
  <c r="D81" i="4" s="1"/>
  <c r="B73" i="4"/>
  <c r="C73" i="4"/>
  <c r="D73" i="4" s="1"/>
  <c r="J73" i="4" s="1"/>
  <c r="B65" i="4"/>
  <c r="C65" i="4"/>
  <c r="D65" i="4" s="1"/>
  <c r="J65" i="4" s="1"/>
  <c r="B57" i="4"/>
  <c r="C57" i="4"/>
  <c r="D57" i="4" s="1"/>
  <c r="J57" i="4" s="1"/>
  <c r="B49" i="4"/>
  <c r="C49" i="4"/>
  <c r="D49" i="4" s="1"/>
  <c r="J49" i="4" s="1"/>
  <c r="B41" i="4"/>
  <c r="C41" i="4"/>
  <c r="D41" i="4" s="1"/>
  <c r="J41" i="4" s="1"/>
  <c r="B33" i="4"/>
  <c r="C33" i="4"/>
  <c r="D33" i="4" s="1"/>
  <c r="J33" i="4" s="1"/>
  <c r="B25" i="4"/>
  <c r="C25" i="4"/>
  <c r="D25" i="4" s="1"/>
  <c r="J25" i="4" s="1"/>
  <c r="B11" i="4"/>
  <c r="C11" i="4"/>
  <c r="D11" i="4" s="1"/>
  <c r="J11" i="4" s="1"/>
  <c r="B92" i="4"/>
  <c r="C92" i="4"/>
  <c r="D92" i="4" s="1"/>
  <c r="B84" i="4"/>
  <c r="C84" i="4"/>
  <c r="D84" i="4" s="1"/>
  <c r="B76" i="4"/>
  <c r="C76" i="4"/>
  <c r="D76" i="4" s="1"/>
  <c r="C68" i="4"/>
  <c r="D68" i="4" s="1"/>
  <c r="B68" i="4"/>
  <c r="B60" i="4"/>
  <c r="C60" i="4"/>
  <c r="D60" i="4" s="1"/>
  <c r="J60" i="4" s="1"/>
  <c r="B52" i="4"/>
  <c r="C52" i="4"/>
  <c r="D52" i="4" s="1"/>
  <c r="B44" i="4"/>
  <c r="C44" i="4"/>
  <c r="D44" i="4" s="1"/>
  <c r="C36" i="4"/>
  <c r="D36" i="4" s="1"/>
  <c r="B36" i="4"/>
  <c r="B28" i="4"/>
  <c r="C28" i="4"/>
  <c r="D28" i="4" s="1"/>
  <c r="J28" i="4" s="1"/>
  <c r="C16" i="4"/>
  <c r="D16" i="4" s="1"/>
  <c r="J16" i="4" s="1"/>
  <c r="B16" i="4"/>
  <c r="C7" i="4"/>
  <c r="D7" i="4" s="1"/>
  <c r="B7" i="4"/>
  <c r="B93" i="4"/>
  <c r="C93" i="4"/>
  <c r="D93" i="4" s="1"/>
  <c r="J93" i="4" s="1"/>
  <c r="B85" i="4"/>
  <c r="C85" i="4"/>
  <c r="D85" i="4" s="1"/>
  <c r="B77" i="4"/>
  <c r="C77" i="4"/>
  <c r="D77" i="4" s="1"/>
  <c r="J77" i="4" s="1"/>
  <c r="B69" i="4"/>
  <c r="C69" i="4"/>
  <c r="D69" i="4" s="1"/>
  <c r="J69" i="4" s="1"/>
  <c r="B61" i="4"/>
  <c r="C61" i="4"/>
  <c r="D61" i="4" s="1"/>
  <c r="J61" i="4" s="1"/>
  <c r="B53" i="4"/>
  <c r="C53" i="4"/>
  <c r="D53" i="4" s="1"/>
  <c r="J53" i="4" s="1"/>
  <c r="B45" i="4"/>
  <c r="C45" i="4"/>
  <c r="D45" i="4" s="1"/>
  <c r="J45" i="4" s="1"/>
  <c r="B37" i="4"/>
  <c r="C37" i="4"/>
  <c r="D37" i="4" s="1"/>
  <c r="J37" i="4" s="1"/>
  <c r="B29" i="4"/>
  <c r="C29" i="4"/>
  <c r="D29" i="4" s="1"/>
  <c r="J29" i="4" s="1"/>
  <c r="B78" i="4"/>
  <c r="C78" i="4"/>
  <c r="D78" i="4" s="1"/>
  <c r="B70" i="4"/>
  <c r="C70" i="4"/>
  <c r="D70" i="4" s="1"/>
  <c r="B62" i="4"/>
  <c r="C62" i="4"/>
  <c r="D62" i="4" s="1"/>
  <c r="K62" i="4" s="1"/>
  <c r="H63" i="4" s="1"/>
  <c r="B54" i="4"/>
  <c r="C54" i="4"/>
  <c r="D54" i="4" s="1"/>
  <c r="B46" i="4"/>
  <c r="C46" i="4"/>
  <c r="D46" i="4" s="1"/>
  <c r="B38" i="4"/>
  <c r="C38" i="4"/>
  <c r="D38" i="4" s="1"/>
  <c r="B30" i="4"/>
  <c r="C30" i="4"/>
  <c r="D30" i="4" s="1"/>
  <c r="J30" i="4" s="1"/>
  <c r="B22" i="4"/>
  <c r="C22" i="4"/>
  <c r="D22" i="4" s="1"/>
  <c r="C95" i="4"/>
  <c r="D95" i="4" s="1"/>
  <c r="J95" i="4" s="1"/>
  <c r="B95" i="4"/>
  <c r="C87" i="4"/>
  <c r="D87" i="4" s="1"/>
  <c r="J87" i="4" s="1"/>
  <c r="B87" i="4"/>
  <c r="B79" i="4"/>
  <c r="C79" i="4"/>
  <c r="D79" i="4" s="1"/>
  <c r="B71" i="4"/>
  <c r="C71" i="4"/>
  <c r="D71" i="4" s="1"/>
  <c r="B63" i="4"/>
  <c r="C63" i="4"/>
  <c r="D63" i="4" s="1"/>
  <c r="J63" i="4" s="1"/>
  <c r="B55" i="4"/>
  <c r="C55" i="4"/>
  <c r="D55" i="4" s="1"/>
  <c r="J55" i="4" s="1"/>
  <c r="B47" i="4"/>
  <c r="C47" i="4"/>
  <c r="D47" i="4" s="1"/>
  <c r="B39" i="4"/>
  <c r="C39" i="4"/>
  <c r="D39" i="4" s="1"/>
  <c r="B31" i="4"/>
  <c r="C31" i="4"/>
  <c r="D31" i="4" s="1"/>
  <c r="J31" i="4" s="1"/>
  <c r="B23" i="4"/>
  <c r="C23" i="4"/>
  <c r="D23" i="4" s="1"/>
  <c r="J23" i="4" s="1"/>
  <c r="B80" i="4"/>
  <c r="C80" i="4"/>
  <c r="D80" i="4" s="1"/>
  <c r="J80" i="4" s="1"/>
  <c r="B72" i="4"/>
  <c r="C72" i="4"/>
  <c r="D72" i="4" s="1"/>
  <c r="J72" i="4" s="1"/>
  <c r="B64" i="4"/>
  <c r="C64" i="4"/>
  <c r="D64" i="4" s="1"/>
  <c r="J64" i="4" s="1"/>
  <c r="B56" i="4"/>
  <c r="C56" i="4"/>
  <c r="D56" i="4" s="1"/>
  <c r="B48" i="4"/>
  <c r="C48" i="4"/>
  <c r="D48" i="4" s="1"/>
  <c r="J48" i="4" s="1"/>
  <c r="B40" i="4"/>
  <c r="C40" i="4"/>
  <c r="D40" i="4" s="1"/>
  <c r="J40" i="4" s="1"/>
  <c r="B32" i="4"/>
  <c r="C32" i="4"/>
  <c r="D32" i="4" s="1"/>
  <c r="J32" i="4" s="1"/>
  <c r="B24" i="4"/>
  <c r="C24" i="4"/>
  <c r="D24" i="4" s="1"/>
  <c r="B21" i="4"/>
  <c r="C21" i="4"/>
  <c r="D21" i="4" s="1"/>
  <c r="C8" i="4"/>
  <c r="D8" i="4" s="1"/>
  <c r="B8" i="4"/>
  <c r="C14" i="4"/>
  <c r="D14" i="4" s="1"/>
  <c r="B14" i="4"/>
  <c r="B6" i="4"/>
  <c r="C6" i="4"/>
  <c r="D6" i="4" s="1"/>
  <c r="B17" i="4"/>
  <c r="C17" i="4"/>
  <c r="D17" i="4" s="1"/>
  <c r="J17" i="4" s="1"/>
  <c r="B9" i="4"/>
  <c r="C9" i="4"/>
  <c r="D9" i="4" s="1"/>
  <c r="J9" i="4" s="1"/>
  <c r="B18" i="4"/>
  <c r="C18" i="4"/>
  <c r="D18" i="4" s="1"/>
  <c r="J18" i="4" s="1"/>
  <c r="B10" i="4"/>
  <c r="C10" i="4"/>
  <c r="D10" i="4" s="1"/>
  <c r="B3" i="4"/>
  <c r="C3" i="4"/>
  <c r="D3" i="4" s="1"/>
  <c r="J3" i="4" s="1"/>
  <c r="C20" i="4"/>
  <c r="D20" i="4" s="1"/>
  <c r="J20" i="4" s="1"/>
  <c r="B20" i="4"/>
  <c r="C12" i="4"/>
  <c r="D12" i="4" s="1"/>
  <c r="B12" i="4"/>
  <c r="B5" i="4"/>
  <c r="C5" i="4"/>
  <c r="D5" i="4" s="1"/>
  <c r="B4" i="4"/>
  <c r="C4" i="4"/>
  <c r="D4" i="4" s="1"/>
  <c r="C142" i="3"/>
  <c r="D142" i="3" s="1"/>
  <c r="C134" i="3"/>
  <c r="D134" i="3" s="1"/>
  <c r="I140" i="3"/>
  <c r="C140" i="3"/>
  <c r="D140" i="3" s="1"/>
  <c r="F132" i="3" a="1"/>
  <c r="F132" i="3" s="1"/>
  <c r="G132" i="3" s="1"/>
  <c r="C132" i="3"/>
  <c r="D132" i="3" s="1"/>
  <c r="C126" i="3"/>
  <c r="D126" i="3" s="1"/>
  <c r="C100" i="3"/>
  <c r="D100" i="3" s="1"/>
  <c r="C68" i="3"/>
  <c r="D68" i="3" s="1"/>
  <c r="C36" i="3"/>
  <c r="D36" i="3" s="1"/>
  <c r="C138" i="3"/>
  <c r="D138" i="3" s="1"/>
  <c r="C130" i="3"/>
  <c r="D130" i="3" s="1"/>
  <c r="C4" i="3"/>
  <c r="D4" i="3" s="1"/>
  <c r="C124" i="3"/>
  <c r="D124" i="3" s="1"/>
  <c r="C92" i="3"/>
  <c r="D92" i="3" s="1"/>
  <c r="I92" i="3"/>
  <c r="C60" i="3"/>
  <c r="D60" i="3" s="1"/>
  <c r="I60" i="3"/>
  <c r="C28" i="3"/>
  <c r="D28" i="3" s="1"/>
  <c r="C144" i="3"/>
  <c r="D144" i="3" s="1"/>
  <c r="C136" i="3"/>
  <c r="D136" i="3" s="1"/>
  <c r="C116" i="3"/>
  <c r="D116" i="3" s="1"/>
  <c r="I116" i="3"/>
  <c r="C84" i="3"/>
  <c r="D84" i="3" s="1"/>
  <c r="C52" i="3"/>
  <c r="D52" i="3" s="1"/>
  <c r="C20" i="3"/>
  <c r="D20" i="3" s="1"/>
  <c r="C122" i="3"/>
  <c r="D122" i="3" s="1"/>
  <c r="F122" i="3" a="1"/>
  <c r="F122" i="3" s="1"/>
  <c r="G122" i="3" s="1"/>
  <c r="C114" i="3"/>
  <c r="D114" i="3" s="1"/>
  <c r="C106" i="3"/>
  <c r="D106" i="3" s="1"/>
  <c r="C98" i="3"/>
  <c r="D98" i="3" s="1"/>
  <c r="C90" i="3"/>
  <c r="D90" i="3" s="1"/>
  <c r="F90" i="3" a="1"/>
  <c r="F90" i="3" s="1"/>
  <c r="G90" i="3" s="1"/>
  <c r="C82" i="3"/>
  <c r="D82" i="3" s="1"/>
  <c r="C74" i="3"/>
  <c r="D74" i="3" s="1"/>
  <c r="C66" i="3"/>
  <c r="D66" i="3" s="1"/>
  <c r="F66" i="3" a="1"/>
  <c r="F66" i="3" s="1"/>
  <c r="G66" i="3" s="1"/>
  <c r="C58" i="3"/>
  <c r="D58" i="3" s="1"/>
  <c r="F58" i="3" a="1"/>
  <c r="F58" i="3" s="1"/>
  <c r="G58" i="3" s="1"/>
  <c r="C50" i="3"/>
  <c r="D50" i="3" s="1"/>
  <c r="C42" i="3"/>
  <c r="D42" i="3" s="1"/>
  <c r="C34" i="3"/>
  <c r="D34" i="3" s="1"/>
  <c r="C26" i="3"/>
  <c r="D26" i="3" s="1"/>
  <c r="F26" i="3" a="1"/>
  <c r="F26" i="3" s="1"/>
  <c r="G26" i="3" s="1"/>
  <c r="C18" i="3"/>
  <c r="D18" i="3" s="1"/>
  <c r="C10" i="3"/>
  <c r="D10" i="3" s="1"/>
  <c r="C128" i="3"/>
  <c r="D128" i="3" s="1"/>
  <c r="E2" i="3"/>
  <c r="F2" i="3" s="1" a="1"/>
  <c r="F2" i="3" s="1"/>
  <c r="G2" i="3" s="1"/>
  <c r="L2" i="3"/>
  <c r="T2" i="3"/>
  <c r="H2" i="3"/>
  <c r="K2" i="3"/>
  <c r="C2" i="3"/>
  <c r="D2" i="3" s="1"/>
  <c r="J2" i="3"/>
  <c r="L3" i="3" s="1"/>
  <c r="C129" i="3"/>
  <c r="D129" i="3" s="1"/>
  <c r="C120" i="3"/>
  <c r="D120" i="3" s="1"/>
  <c r="C112" i="3"/>
  <c r="D112" i="3" s="1"/>
  <c r="C104" i="3"/>
  <c r="D104" i="3" s="1"/>
  <c r="C96" i="3"/>
  <c r="D96" i="3" s="1"/>
  <c r="C88" i="3"/>
  <c r="D88" i="3" s="1"/>
  <c r="C80" i="3"/>
  <c r="D80" i="3" s="1"/>
  <c r="I80" i="3"/>
  <c r="C72" i="3"/>
  <c r="D72" i="3" s="1"/>
  <c r="C64" i="3"/>
  <c r="D64" i="3" s="1"/>
  <c r="C56" i="3"/>
  <c r="D56" i="3" s="1"/>
  <c r="I56" i="3"/>
  <c r="C48" i="3"/>
  <c r="D48" i="3" s="1"/>
  <c r="C40" i="3"/>
  <c r="D40" i="3" s="1"/>
  <c r="C32" i="3"/>
  <c r="D32" i="3" s="1"/>
  <c r="C24" i="3"/>
  <c r="D24" i="3" s="1"/>
  <c r="I24" i="3"/>
  <c r="C16" i="3"/>
  <c r="D16" i="3" s="1"/>
  <c r="I16" i="3"/>
  <c r="C8" i="3"/>
  <c r="D8" i="3" s="1"/>
  <c r="C145" i="3"/>
  <c r="D145" i="3" s="1"/>
  <c r="C143" i="3"/>
  <c r="D143" i="3" s="1"/>
  <c r="C141" i="3"/>
  <c r="D141" i="3" s="1"/>
  <c r="C139" i="3"/>
  <c r="D139" i="3" s="1"/>
  <c r="C137" i="3"/>
  <c r="D137" i="3" s="1"/>
  <c r="C135" i="3"/>
  <c r="D135" i="3" s="1"/>
  <c r="K134" i="3"/>
  <c r="C133" i="3"/>
  <c r="D133" i="3" s="1"/>
  <c r="C131" i="3"/>
  <c r="D131" i="3" s="1"/>
  <c r="I131" i="3"/>
  <c r="C118" i="3"/>
  <c r="D118" i="3" s="1"/>
  <c r="C110" i="3"/>
  <c r="D110" i="3" s="1"/>
  <c r="I110" i="3"/>
  <c r="C102" i="3"/>
  <c r="D102" i="3" s="1"/>
  <c r="F102" i="3" a="1"/>
  <c r="F102" i="3" s="1"/>
  <c r="G102" i="3" s="1"/>
  <c r="C94" i="3"/>
  <c r="D94" i="3" s="1"/>
  <c r="C86" i="3"/>
  <c r="D86" i="3" s="1"/>
  <c r="I86" i="3"/>
  <c r="C78" i="3"/>
  <c r="D78" i="3" s="1"/>
  <c r="C70" i="3"/>
  <c r="D70" i="3" s="1"/>
  <c r="F70" i="3" a="1"/>
  <c r="F70" i="3" s="1"/>
  <c r="G70" i="3" s="1"/>
  <c r="C62" i="3"/>
  <c r="D62" i="3" s="1"/>
  <c r="C54" i="3"/>
  <c r="D54" i="3" s="1"/>
  <c r="C46" i="3"/>
  <c r="D46" i="3" s="1"/>
  <c r="C38" i="3"/>
  <c r="D38" i="3" s="1"/>
  <c r="F38" i="3" a="1"/>
  <c r="F38" i="3" s="1"/>
  <c r="G38" i="3" s="1"/>
  <c r="C30" i="3"/>
  <c r="D30" i="3" s="1"/>
  <c r="C22" i="3"/>
  <c r="D22" i="3" s="1"/>
  <c r="C14" i="3"/>
  <c r="D14" i="3" s="1"/>
  <c r="C6" i="3"/>
  <c r="D6" i="3" s="1"/>
  <c r="C127" i="3"/>
  <c r="D127" i="3" s="1"/>
  <c r="C125" i="3"/>
  <c r="D125" i="3" s="1"/>
  <c r="C123" i="3"/>
  <c r="D123" i="3" s="1"/>
  <c r="K122" i="3"/>
  <c r="C121" i="3"/>
  <c r="D121" i="3" s="1"/>
  <c r="C119" i="3"/>
  <c r="D119" i="3" s="1"/>
  <c r="F119" i="3" a="1"/>
  <c r="F119" i="3" s="1"/>
  <c r="G119" i="3" s="1"/>
  <c r="C117" i="3"/>
  <c r="D117" i="3" s="1"/>
  <c r="C115" i="3"/>
  <c r="D115" i="3" s="1"/>
  <c r="C113" i="3"/>
  <c r="D113" i="3" s="1"/>
  <c r="C111" i="3"/>
  <c r="D111" i="3" s="1"/>
  <c r="K110" i="3"/>
  <c r="C109" i="3"/>
  <c r="D109" i="3" s="1"/>
  <c r="C107" i="3"/>
  <c r="D107" i="3" s="1"/>
  <c r="C105" i="3"/>
  <c r="D105" i="3" s="1"/>
  <c r="C103" i="3"/>
  <c r="D103" i="3" s="1"/>
  <c r="C101" i="3"/>
  <c r="D101" i="3" s="1"/>
  <c r="F101" i="3" a="1"/>
  <c r="F101" i="3" s="1"/>
  <c r="G101" i="3" s="1"/>
  <c r="C99" i="3"/>
  <c r="D99" i="3" s="1"/>
  <c r="K98" i="3"/>
  <c r="C97" i="3"/>
  <c r="D97" i="3" s="1"/>
  <c r="C95" i="3"/>
  <c r="D95" i="3" s="1"/>
  <c r="C93" i="3"/>
  <c r="D93" i="3" s="1"/>
  <c r="C91" i="3"/>
  <c r="D91" i="3" s="1"/>
  <c r="C89" i="3"/>
  <c r="D89" i="3" s="1"/>
  <c r="C87" i="3"/>
  <c r="D87" i="3" s="1"/>
  <c r="K86" i="3"/>
  <c r="C85" i="3"/>
  <c r="D85" i="3" s="1"/>
  <c r="C83" i="3"/>
  <c r="D83" i="3" s="1"/>
  <c r="C81" i="3"/>
  <c r="D81" i="3" s="1"/>
  <c r="I81" i="3"/>
  <c r="C79" i="3"/>
  <c r="D79" i="3" s="1"/>
  <c r="C77" i="3"/>
  <c r="D77" i="3" s="1"/>
  <c r="C75" i="3"/>
  <c r="D75" i="3" s="1"/>
  <c r="K74" i="3"/>
  <c r="C73" i="3"/>
  <c r="D73" i="3" s="1"/>
  <c r="C71" i="3"/>
  <c r="D71" i="3" s="1"/>
  <c r="C69" i="3"/>
  <c r="D69" i="3" s="1"/>
  <c r="C67" i="3"/>
  <c r="D67" i="3" s="1"/>
  <c r="C65" i="3"/>
  <c r="D65" i="3" s="1"/>
  <c r="C63" i="3"/>
  <c r="D63" i="3" s="1"/>
  <c r="K62" i="3"/>
  <c r="C61" i="3"/>
  <c r="D61" i="3" s="1"/>
  <c r="C59" i="3"/>
  <c r="D59" i="3" s="1"/>
  <c r="F59" i="3" a="1"/>
  <c r="F59" i="3" s="1"/>
  <c r="G59" i="3" s="1"/>
  <c r="C57" i="3"/>
  <c r="D57" i="3" s="1"/>
  <c r="C55" i="3"/>
  <c r="D55" i="3" s="1"/>
  <c r="C53" i="3"/>
  <c r="D53" i="3" s="1"/>
  <c r="C51" i="3"/>
  <c r="D51" i="3" s="1"/>
  <c r="K50" i="3"/>
  <c r="C49" i="3"/>
  <c r="D49" i="3" s="1"/>
  <c r="C47" i="3"/>
  <c r="D47" i="3" s="1"/>
  <c r="C45" i="3"/>
  <c r="D45" i="3" s="1"/>
  <c r="C43" i="3"/>
  <c r="D43" i="3" s="1"/>
  <c r="C41" i="3"/>
  <c r="D41" i="3" s="1"/>
  <c r="F41" i="3" a="1"/>
  <c r="F41" i="3" s="1"/>
  <c r="G41" i="3" s="1"/>
  <c r="C39" i="3"/>
  <c r="D39" i="3" s="1"/>
  <c r="K38" i="3"/>
  <c r="C37" i="3"/>
  <c r="D37" i="3" s="1"/>
  <c r="C35" i="3"/>
  <c r="D35" i="3" s="1"/>
  <c r="C33" i="3"/>
  <c r="D33" i="3" s="1"/>
  <c r="C31" i="3"/>
  <c r="D31" i="3" s="1"/>
  <c r="C29" i="3"/>
  <c r="D29" i="3" s="1"/>
  <c r="I29" i="3"/>
  <c r="C27" i="3"/>
  <c r="D27" i="3" s="1"/>
  <c r="K26" i="3"/>
  <c r="C25" i="3"/>
  <c r="D25" i="3" s="1"/>
  <c r="I25" i="3"/>
  <c r="C23" i="3"/>
  <c r="D23" i="3" s="1"/>
  <c r="C21" i="3"/>
  <c r="D21" i="3" s="1"/>
  <c r="C19" i="3"/>
  <c r="D19" i="3" s="1"/>
  <c r="C17" i="3"/>
  <c r="D17" i="3" s="1"/>
  <c r="C15" i="3"/>
  <c r="D15" i="3" s="1"/>
  <c r="F15" i="3" a="1"/>
  <c r="F15" i="3" s="1"/>
  <c r="G15" i="3" s="1"/>
  <c r="K14" i="3"/>
  <c r="C13" i="3"/>
  <c r="D13" i="3" s="1"/>
  <c r="C11" i="3"/>
  <c r="D11" i="3" s="1"/>
  <c r="C9" i="3"/>
  <c r="D9" i="3" s="1"/>
  <c r="C7" i="3"/>
  <c r="D7" i="3" s="1"/>
  <c r="C5" i="3"/>
  <c r="D5" i="3" s="1"/>
  <c r="H3" i="3"/>
  <c r="C3" i="3"/>
  <c r="D3" i="3" s="1"/>
  <c r="E164" i="5"/>
  <c r="F164" i="5" s="1" a="1"/>
  <c r="F164" i="5" s="1"/>
  <c r="G164" i="5" s="1"/>
  <c r="E162" i="5"/>
  <c r="E160" i="5"/>
  <c r="I160" i="5" s="1"/>
  <c r="E158" i="5"/>
  <c r="E156" i="5"/>
  <c r="I156" i="5" s="1"/>
  <c r="E154" i="5"/>
  <c r="I154" i="5" s="1"/>
  <c r="E152" i="5"/>
  <c r="F152" i="5" s="1" a="1"/>
  <c r="F152" i="5" s="1"/>
  <c r="G152" i="5" s="1"/>
  <c r="E150" i="5"/>
  <c r="E148" i="5"/>
  <c r="F148" i="5" s="1" a="1"/>
  <c r="F148" i="5" s="1"/>
  <c r="G148" i="5" s="1"/>
  <c r="E146" i="5"/>
  <c r="I146" i="5" s="1"/>
  <c r="E144" i="5"/>
  <c r="I144" i="5" s="1"/>
  <c r="E142" i="5"/>
  <c r="E140" i="5"/>
  <c r="I140" i="5" s="1"/>
  <c r="E138" i="5"/>
  <c r="I138" i="5" s="1"/>
  <c r="E136" i="5"/>
  <c r="I136" i="5" s="1"/>
  <c r="E134" i="5"/>
  <c r="E132" i="5"/>
  <c r="I132" i="5" s="1"/>
  <c r="E130" i="5"/>
  <c r="I130" i="5" s="1"/>
  <c r="E128" i="5"/>
  <c r="I128" i="5" s="1"/>
  <c r="E126" i="5"/>
  <c r="E124" i="5"/>
  <c r="I124" i="5" s="1"/>
  <c r="E122" i="5"/>
  <c r="I122" i="5" s="1"/>
  <c r="E120" i="5"/>
  <c r="I120" i="5" s="1"/>
  <c r="E118" i="5"/>
  <c r="E116" i="5"/>
  <c r="F116" i="5" s="1" a="1"/>
  <c r="F116" i="5" s="1"/>
  <c r="G116" i="5" s="1"/>
  <c r="E114" i="5"/>
  <c r="I114" i="5" s="1"/>
  <c r="E112" i="5"/>
  <c r="I112" i="5" s="1"/>
  <c r="E110" i="5"/>
  <c r="E108" i="5"/>
  <c r="F108" i="5" s="1" a="1"/>
  <c r="F108" i="5" s="1"/>
  <c r="G108" i="5" s="1"/>
  <c r="E106" i="5"/>
  <c r="I106" i="5" s="1"/>
  <c r="E104" i="5"/>
  <c r="I104" i="5" s="1"/>
  <c r="E102" i="5"/>
  <c r="E100" i="5"/>
  <c r="I100" i="5" s="1"/>
  <c r="E98" i="5"/>
  <c r="I98" i="5" s="1"/>
  <c r="E96" i="5"/>
  <c r="I96" i="5" s="1"/>
  <c r="E94" i="5"/>
  <c r="E92" i="5"/>
  <c r="I92" i="5" s="1"/>
  <c r="E90" i="5"/>
  <c r="E88" i="5"/>
  <c r="F88" i="5" s="1" a="1"/>
  <c r="F88" i="5" s="1"/>
  <c r="G88" i="5" s="1"/>
  <c r="E86" i="5"/>
  <c r="E84" i="5"/>
  <c r="I84" i="5" s="1"/>
  <c r="E82" i="5"/>
  <c r="I82" i="5" s="1"/>
  <c r="E80" i="5"/>
  <c r="F80" i="5" s="1" a="1"/>
  <c r="F80" i="5" s="1"/>
  <c r="G80" i="5" s="1"/>
  <c r="E78" i="5"/>
  <c r="E76" i="5"/>
  <c r="I76" i="5" s="1"/>
  <c r="E74" i="5"/>
  <c r="I74" i="5" s="1"/>
  <c r="E72" i="5"/>
  <c r="I72" i="5" s="1"/>
  <c r="E70" i="5"/>
  <c r="E68" i="5"/>
  <c r="I68" i="5" s="1"/>
  <c r="C163" i="5"/>
  <c r="D163" i="5" s="1"/>
  <c r="E163" i="5"/>
  <c r="C161" i="5"/>
  <c r="D161" i="5" s="1"/>
  <c r="E161" i="5"/>
  <c r="F161" i="5" s="1" a="1"/>
  <c r="F161" i="5" s="1"/>
  <c r="G161" i="5" s="1"/>
  <c r="C159" i="5"/>
  <c r="D159" i="5" s="1"/>
  <c r="E159" i="5"/>
  <c r="I159" i="5" s="1"/>
  <c r="K158" i="5"/>
  <c r="C157" i="5"/>
  <c r="D157" i="5" s="1"/>
  <c r="E157" i="5"/>
  <c r="C155" i="5"/>
  <c r="D155" i="5" s="1"/>
  <c r="E155" i="5"/>
  <c r="F155" i="5" s="1" a="1"/>
  <c r="F155" i="5" s="1"/>
  <c r="G155" i="5" s="1"/>
  <c r="C153" i="5"/>
  <c r="D153" i="5" s="1"/>
  <c r="E153" i="5"/>
  <c r="F153" i="5" s="1" a="1"/>
  <c r="F153" i="5" s="1"/>
  <c r="G153" i="5" s="1"/>
  <c r="C151" i="5"/>
  <c r="D151" i="5" s="1"/>
  <c r="E151" i="5"/>
  <c r="F151" i="5" s="1" a="1"/>
  <c r="F151" i="5" s="1"/>
  <c r="G151" i="5" s="1"/>
  <c r="C149" i="5"/>
  <c r="D149" i="5" s="1"/>
  <c r="E149" i="5"/>
  <c r="F149" i="5" s="1" a="1"/>
  <c r="F149" i="5" s="1"/>
  <c r="G149" i="5" s="1"/>
  <c r="C147" i="5"/>
  <c r="D147" i="5" s="1"/>
  <c r="E147" i="5"/>
  <c r="K146" i="5"/>
  <c r="C145" i="5"/>
  <c r="D145" i="5" s="1"/>
  <c r="E145" i="5"/>
  <c r="I145" i="5" s="1"/>
  <c r="C143" i="5"/>
  <c r="D143" i="5" s="1"/>
  <c r="E143" i="5"/>
  <c r="C141" i="5"/>
  <c r="D141" i="5" s="1"/>
  <c r="E141" i="5"/>
  <c r="I141" i="5" s="1"/>
  <c r="C139" i="5"/>
  <c r="D139" i="5" s="1"/>
  <c r="E139" i="5"/>
  <c r="I139" i="5" s="1"/>
  <c r="C137" i="5"/>
  <c r="D137" i="5" s="1"/>
  <c r="E137" i="5"/>
  <c r="C135" i="5"/>
  <c r="D135" i="5" s="1"/>
  <c r="E135" i="5"/>
  <c r="F135" i="5" s="1" a="1"/>
  <c r="F135" i="5" s="1"/>
  <c r="G135" i="5" s="1"/>
  <c r="K134" i="5"/>
  <c r="C133" i="5"/>
  <c r="D133" i="5" s="1"/>
  <c r="E133" i="5"/>
  <c r="C131" i="5"/>
  <c r="D131" i="5" s="1"/>
  <c r="E131" i="5"/>
  <c r="C129" i="5"/>
  <c r="D129" i="5" s="1"/>
  <c r="E129" i="5"/>
  <c r="F129" i="5" s="1" a="1"/>
  <c r="F129" i="5" s="1"/>
  <c r="G129" i="5" s="1"/>
  <c r="C127" i="5"/>
  <c r="D127" i="5" s="1"/>
  <c r="E127" i="5"/>
  <c r="I127" i="5" s="1"/>
  <c r="C125" i="5"/>
  <c r="D125" i="5" s="1"/>
  <c r="E125" i="5"/>
  <c r="I125" i="5" s="1"/>
  <c r="C123" i="5"/>
  <c r="D123" i="5" s="1"/>
  <c r="E123" i="5"/>
  <c r="F123" i="5" s="1" a="1"/>
  <c r="F123" i="5" s="1"/>
  <c r="G123" i="5" s="1"/>
  <c r="K122" i="5"/>
  <c r="C121" i="5"/>
  <c r="D121" i="5" s="1"/>
  <c r="E121" i="5"/>
  <c r="C119" i="5"/>
  <c r="D119" i="5" s="1"/>
  <c r="E119" i="5"/>
  <c r="F119" i="5" s="1" a="1"/>
  <c r="F119" i="5" s="1"/>
  <c r="G119" i="5" s="1"/>
  <c r="C117" i="5"/>
  <c r="D117" i="5" s="1"/>
  <c r="E117" i="5"/>
  <c r="I117" i="5" s="1"/>
  <c r="C115" i="5"/>
  <c r="D115" i="5" s="1"/>
  <c r="E115" i="5"/>
  <c r="C113" i="5"/>
  <c r="D113" i="5" s="1"/>
  <c r="E113" i="5"/>
  <c r="C111" i="5"/>
  <c r="D111" i="5" s="1"/>
  <c r="E111" i="5"/>
  <c r="I111" i="5" s="1"/>
  <c r="K110" i="5"/>
  <c r="C109" i="5"/>
  <c r="D109" i="5" s="1"/>
  <c r="E109" i="5"/>
  <c r="C107" i="5"/>
  <c r="D107" i="5" s="1"/>
  <c r="E107" i="5"/>
  <c r="I107" i="5" s="1"/>
  <c r="C105" i="5"/>
  <c r="D105" i="5" s="1"/>
  <c r="E105" i="5"/>
  <c r="C103" i="5"/>
  <c r="D103" i="5" s="1"/>
  <c r="E103" i="5"/>
  <c r="F103" i="5" s="1" a="1"/>
  <c r="F103" i="5" s="1"/>
  <c r="G103" i="5" s="1"/>
  <c r="C101" i="5"/>
  <c r="D101" i="5" s="1"/>
  <c r="E101" i="5"/>
  <c r="F101" i="5" s="1" a="1"/>
  <c r="F101" i="5" s="1"/>
  <c r="G101" i="5" s="1"/>
  <c r="C99" i="5"/>
  <c r="D99" i="5" s="1"/>
  <c r="E99" i="5"/>
  <c r="K98" i="5"/>
  <c r="C97" i="5"/>
  <c r="D97" i="5" s="1"/>
  <c r="E97" i="5"/>
  <c r="I97" i="5" s="1"/>
  <c r="C95" i="5"/>
  <c r="D95" i="5" s="1"/>
  <c r="E95" i="5"/>
  <c r="C93" i="5"/>
  <c r="D93" i="5" s="1"/>
  <c r="E93" i="5"/>
  <c r="I93" i="5" s="1"/>
  <c r="C91" i="5"/>
  <c r="D91" i="5" s="1"/>
  <c r="E91" i="5"/>
  <c r="I91" i="5" s="1"/>
  <c r="C89" i="5"/>
  <c r="D89" i="5" s="1"/>
  <c r="E89" i="5"/>
  <c r="I89" i="5" s="1"/>
  <c r="C87" i="5"/>
  <c r="D87" i="5" s="1"/>
  <c r="E87" i="5"/>
  <c r="I87" i="5" s="1"/>
  <c r="K86" i="5"/>
  <c r="C85" i="5"/>
  <c r="D85" i="5" s="1"/>
  <c r="E85" i="5"/>
  <c r="I85" i="5" s="1"/>
  <c r="C83" i="5"/>
  <c r="D83" i="5" s="1"/>
  <c r="E83" i="5"/>
  <c r="C81" i="5"/>
  <c r="D81" i="5" s="1"/>
  <c r="E81" i="5"/>
  <c r="F81" i="5" s="1" a="1"/>
  <c r="F81" i="5" s="1"/>
  <c r="G81" i="5" s="1"/>
  <c r="C79" i="5"/>
  <c r="D79" i="5" s="1"/>
  <c r="E79" i="5"/>
  <c r="I79" i="5" s="1"/>
  <c r="C77" i="5"/>
  <c r="D77" i="5" s="1"/>
  <c r="E77" i="5"/>
  <c r="I77" i="5" s="1"/>
  <c r="C75" i="5"/>
  <c r="D75" i="5" s="1"/>
  <c r="E75" i="5"/>
  <c r="F75" i="5" s="1" a="1"/>
  <c r="F75" i="5" s="1"/>
  <c r="G75" i="5" s="1"/>
  <c r="K74" i="5"/>
  <c r="C73" i="5"/>
  <c r="D73" i="5" s="1"/>
  <c r="E73" i="5"/>
  <c r="C71" i="5"/>
  <c r="D71" i="5" s="1"/>
  <c r="E71" i="5"/>
  <c r="F71" i="5" s="1" a="1"/>
  <c r="F71" i="5" s="1"/>
  <c r="G71" i="5" s="1"/>
  <c r="C69" i="5"/>
  <c r="D69" i="5" s="1"/>
  <c r="E69" i="5"/>
  <c r="I69" i="5" s="1"/>
  <c r="C67" i="5"/>
  <c r="D67" i="5" s="1"/>
  <c r="E67" i="5"/>
  <c r="C3" i="5"/>
  <c r="D3" i="5" s="1"/>
  <c r="J3" i="5"/>
  <c r="E3" i="5"/>
  <c r="I3" i="5" s="1"/>
  <c r="H3" i="5"/>
  <c r="C65" i="5"/>
  <c r="D65" i="5" s="1"/>
  <c r="E65" i="5"/>
  <c r="C63" i="5"/>
  <c r="D63" i="5" s="1"/>
  <c r="E63" i="5"/>
  <c r="I63" i="5" s="1"/>
  <c r="C61" i="5"/>
  <c r="D61" i="5" s="1"/>
  <c r="E61" i="5"/>
  <c r="F61" i="5" s="1" a="1"/>
  <c r="F61" i="5" s="1"/>
  <c r="G61" i="5" s="1"/>
  <c r="K62" i="5"/>
  <c r="C59" i="5"/>
  <c r="D59" i="5" s="1"/>
  <c r="E59" i="5"/>
  <c r="I59" i="5" s="1"/>
  <c r="C57" i="5"/>
  <c r="D57" i="5" s="1"/>
  <c r="E57" i="5"/>
  <c r="F57" i="5" s="1" a="1"/>
  <c r="F57" i="5" s="1"/>
  <c r="G57" i="5" s="1"/>
  <c r="C55" i="5"/>
  <c r="D55" i="5" s="1"/>
  <c r="E55" i="5"/>
  <c r="F55" i="5" s="1" a="1"/>
  <c r="F55" i="5" s="1"/>
  <c r="G55" i="5" s="1"/>
  <c r="C53" i="5"/>
  <c r="D53" i="5" s="1"/>
  <c r="E53" i="5"/>
  <c r="I53" i="5" s="1"/>
  <c r="C51" i="5"/>
  <c r="D51" i="5" s="1"/>
  <c r="E51" i="5"/>
  <c r="F51" i="5" s="1" a="1"/>
  <c r="F51" i="5" s="1"/>
  <c r="G51" i="5" s="1"/>
  <c r="C49" i="5"/>
  <c r="D49" i="5" s="1"/>
  <c r="E49" i="5"/>
  <c r="C47" i="5"/>
  <c r="D47" i="5" s="1"/>
  <c r="E47" i="5"/>
  <c r="C45" i="5"/>
  <c r="D45" i="5" s="1"/>
  <c r="E45" i="5"/>
  <c r="F45" i="5" s="1" a="1"/>
  <c r="F45" i="5" s="1"/>
  <c r="G45" i="5" s="1"/>
  <c r="C43" i="5"/>
  <c r="D43" i="5" s="1"/>
  <c r="E43" i="5"/>
  <c r="C41" i="5"/>
  <c r="D41" i="5" s="1"/>
  <c r="E41" i="5"/>
  <c r="I41" i="5" s="1"/>
  <c r="C39" i="5"/>
  <c r="D39" i="5" s="1"/>
  <c r="E39" i="5"/>
  <c r="C37" i="5"/>
  <c r="D37" i="5" s="1"/>
  <c r="E37" i="5"/>
  <c r="I37" i="5" s="1"/>
  <c r="K38" i="5"/>
  <c r="C35" i="5"/>
  <c r="D35" i="5" s="1"/>
  <c r="E35" i="5"/>
  <c r="I35" i="5" s="1"/>
  <c r="C33" i="5"/>
  <c r="D33" i="5" s="1"/>
  <c r="E33" i="5"/>
  <c r="C31" i="5"/>
  <c r="D31" i="5" s="1"/>
  <c r="E31" i="5"/>
  <c r="C29" i="5"/>
  <c r="D29" i="5" s="1"/>
  <c r="E29" i="5"/>
  <c r="C27" i="5"/>
  <c r="D27" i="5" s="1"/>
  <c r="E27" i="5"/>
  <c r="C25" i="5"/>
  <c r="D25" i="5" s="1"/>
  <c r="E25" i="5"/>
  <c r="F25" i="5" s="1" a="1"/>
  <c r="F25" i="5" s="1"/>
  <c r="G25" i="5" s="1"/>
  <c r="C23" i="5"/>
  <c r="D23" i="5" s="1"/>
  <c r="E23" i="5"/>
  <c r="C21" i="5"/>
  <c r="D21" i="5" s="1"/>
  <c r="E21" i="5"/>
  <c r="F21" i="5" s="1" a="1"/>
  <c r="F21" i="5" s="1"/>
  <c r="G21" i="5" s="1"/>
  <c r="C19" i="5"/>
  <c r="D19" i="5" s="1"/>
  <c r="E19" i="5"/>
  <c r="F19" i="5" s="1" a="1"/>
  <c r="F19" i="5" s="1"/>
  <c r="G19" i="5" s="1"/>
  <c r="C17" i="5"/>
  <c r="D17" i="5" s="1"/>
  <c r="E17" i="5"/>
  <c r="I17" i="5" s="1"/>
  <c r="C15" i="5"/>
  <c r="D15" i="5" s="1"/>
  <c r="E15" i="5"/>
  <c r="I15" i="5" s="1"/>
  <c r="C13" i="5"/>
  <c r="D13" i="5" s="1"/>
  <c r="J13" i="5"/>
  <c r="E13" i="5"/>
  <c r="I13" i="5" s="1"/>
  <c r="H13" i="5"/>
  <c r="K14" i="5"/>
  <c r="C11" i="5"/>
  <c r="D11" i="5" s="1"/>
  <c r="J11" i="5"/>
  <c r="E11" i="5"/>
  <c r="I11" i="5" s="1"/>
  <c r="H11" i="5"/>
  <c r="C9" i="5"/>
  <c r="D9" i="5" s="1"/>
  <c r="J9" i="5"/>
  <c r="E9" i="5"/>
  <c r="F9" i="5" s="1" a="1"/>
  <c r="F9" i="5" s="1"/>
  <c r="G9" i="5" s="1"/>
  <c r="H9" i="5"/>
  <c r="C7" i="5"/>
  <c r="D7" i="5" s="1"/>
  <c r="J7" i="5"/>
  <c r="E7" i="5"/>
  <c r="F7" i="5" s="1" a="1"/>
  <c r="F7" i="5" s="1"/>
  <c r="G7" i="5" s="1"/>
  <c r="H7" i="5"/>
  <c r="C5" i="5"/>
  <c r="D5" i="5" s="1"/>
  <c r="J5" i="5"/>
  <c r="E5" i="5"/>
  <c r="F5" i="5" s="1" a="1"/>
  <c r="F5" i="5" s="1"/>
  <c r="G5" i="5" s="1"/>
  <c r="H5" i="5"/>
  <c r="E66" i="5"/>
  <c r="F66" i="5" s="1" a="1"/>
  <c r="F66" i="5" s="1"/>
  <c r="G66" i="5" s="1"/>
  <c r="C66" i="5"/>
  <c r="D66" i="5" s="1"/>
  <c r="E64" i="5"/>
  <c r="F64" i="5" s="1" a="1"/>
  <c r="F64" i="5" s="1"/>
  <c r="G64" i="5" s="1"/>
  <c r="C64" i="5"/>
  <c r="D64" i="5" s="1"/>
  <c r="E62" i="5"/>
  <c r="I62" i="5" s="1"/>
  <c r="C62" i="5"/>
  <c r="D62" i="5" s="1"/>
  <c r="E60" i="5"/>
  <c r="I60" i="5" s="1"/>
  <c r="C60" i="5"/>
  <c r="D60" i="5" s="1"/>
  <c r="E58" i="5"/>
  <c r="I58" i="5" s="1"/>
  <c r="C58" i="5"/>
  <c r="D58" i="5" s="1"/>
  <c r="E56" i="5"/>
  <c r="I56" i="5" s="1"/>
  <c r="C56" i="5"/>
  <c r="D56" i="5" s="1"/>
  <c r="E54" i="5"/>
  <c r="I54" i="5" s="1"/>
  <c r="C54" i="5"/>
  <c r="D54" i="5" s="1"/>
  <c r="E52" i="5"/>
  <c r="I52" i="5" s="1"/>
  <c r="C52" i="5"/>
  <c r="D52" i="5" s="1"/>
  <c r="E50" i="5"/>
  <c r="I50" i="5" s="1"/>
  <c r="C50" i="5"/>
  <c r="D50" i="5" s="1"/>
  <c r="E48" i="5"/>
  <c r="C48" i="5"/>
  <c r="D48" i="5" s="1"/>
  <c r="E46" i="5"/>
  <c r="F46" i="5" s="1" a="1"/>
  <c r="F46" i="5" s="1"/>
  <c r="G46" i="5" s="1"/>
  <c r="C46" i="5"/>
  <c r="D46" i="5" s="1"/>
  <c r="E44" i="5"/>
  <c r="C44" i="5"/>
  <c r="D44" i="5" s="1"/>
  <c r="E42" i="5"/>
  <c r="C42" i="5"/>
  <c r="D42" i="5" s="1"/>
  <c r="E40" i="5"/>
  <c r="I40" i="5" s="1"/>
  <c r="C40" i="5"/>
  <c r="D40" i="5" s="1"/>
  <c r="E38" i="5"/>
  <c r="F38" i="5" s="1" a="1"/>
  <c r="F38" i="5" s="1"/>
  <c r="G38" i="5" s="1"/>
  <c r="C38" i="5"/>
  <c r="D38" i="5" s="1"/>
  <c r="E36" i="5"/>
  <c r="F36" i="5" s="1" a="1"/>
  <c r="F36" i="5" s="1"/>
  <c r="G36" i="5" s="1"/>
  <c r="C36" i="5"/>
  <c r="D36" i="5" s="1"/>
  <c r="E34" i="5"/>
  <c r="F34" i="5" s="1" a="1"/>
  <c r="F34" i="5" s="1"/>
  <c r="G34" i="5" s="1"/>
  <c r="C34" i="5"/>
  <c r="D34" i="5" s="1"/>
  <c r="E32" i="5"/>
  <c r="I32" i="5" s="1"/>
  <c r="C32" i="5"/>
  <c r="D32" i="5" s="1"/>
  <c r="E30" i="5"/>
  <c r="F30" i="5" s="1" a="1"/>
  <c r="F30" i="5" s="1"/>
  <c r="G30" i="5" s="1"/>
  <c r="C30" i="5"/>
  <c r="D30" i="5" s="1"/>
  <c r="E28" i="5"/>
  <c r="I28" i="5" s="1"/>
  <c r="C28" i="5"/>
  <c r="D28" i="5" s="1"/>
  <c r="E26" i="5"/>
  <c r="F26" i="5" s="1" a="1"/>
  <c r="F26" i="5" s="1"/>
  <c r="G26" i="5" s="1"/>
  <c r="C26" i="5"/>
  <c r="D26" i="5" s="1"/>
  <c r="E24" i="5"/>
  <c r="F24" i="5" s="1" a="1"/>
  <c r="F24" i="5" s="1"/>
  <c r="G24" i="5" s="1"/>
  <c r="C24" i="5"/>
  <c r="D24" i="5" s="1"/>
  <c r="E22" i="5"/>
  <c r="F22" i="5" s="1" a="1"/>
  <c r="F22" i="5" s="1"/>
  <c r="G22" i="5" s="1"/>
  <c r="C22" i="5"/>
  <c r="D22" i="5" s="1"/>
  <c r="E20" i="5"/>
  <c r="I20" i="5" s="1"/>
  <c r="C20" i="5"/>
  <c r="D20" i="5" s="1"/>
  <c r="E18" i="5"/>
  <c r="I18" i="5" s="1"/>
  <c r="C18" i="5"/>
  <c r="D18" i="5" s="1"/>
  <c r="E16" i="5"/>
  <c r="C16" i="5"/>
  <c r="D16" i="5" s="1"/>
  <c r="E14" i="5"/>
  <c r="I14" i="5" s="1"/>
  <c r="C14" i="5"/>
  <c r="D14" i="5" s="1"/>
  <c r="H12" i="5"/>
  <c r="E12" i="5"/>
  <c r="C12" i="5"/>
  <c r="D12" i="5" s="1"/>
  <c r="J12" i="5"/>
  <c r="H10" i="5"/>
  <c r="E10" i="5"/>
  <c r="C10" i="5"/>
  <c r="D10" i="5" s="1"/>
  <c r="J10" i="5"/>
  <c r="H8" i="5"/>
  <c r="E8" i="5"/>
  <c r="F8" i="5" s="1" a="1"/>
  <c r="F8" i="5" s="1"/>
  <c r="G8" i="5" s="1"/>
  <c r="C8" i="5"/>
  <c r="D8" i="5" s="1"/>
  <c r="J8" i="5"/>
  <c r="H6" i="5"/>
  <c r="E6" i="5"/>
  <c r="I6" i="5" s="1"/>
  <c r="J6" i="5"/>
  <c r="C6" i="5"/>
  <c r="D6" i="5" s="1"/>
  <c r="H4" i="5"/>
  <c r="C4" i="5"/>
  <c r="D4" i="5" s="1"/>
  <c r="J4" i="5"/>
  <c r="H2" i="5"/>
  <c r="C2" i="5"/>
  <c r="D2" i="5" s="1"/>
  <c r="J2" i="5"/>
  <c r="L3" i="5" s="1"/>
  <c r="K2" i="5"/>
  <c r="E2" i="5"/>
  <c r="I2" i="5" s="1"/>
  <c r="L2" i="5"/>
  <c r="T2" i="5"/>
  <c r="A12" i="9" l="1"/>
  <c r="D11" i="7"/>
  <c r="B5" i="8"/>
  <c r="B6" i="8" s="1"/>
  <c r="AC4" i="8" a="1"/>
  <c r="AC4" i="8" s="1"/>
  <c r="A12" i="7"/>
  <c r="F31" i="3" a="1"/>
  <c r="F31" i="3" s="1"/>
  <c r="G31" i="3" s="1"/>
  <c r="F95" i="3" a="1"/>
  <c r="F95" i="3" s="1"/>
  <c r="G95" i="3" s="1"/>
  <c r="F98" i="3" a="1"/>
  <c r="F98" i="3" s="1"/>
  <c r="G98" i="3" s="1"/>
  <c r="N2" i="5"/>
  <c r="F63" i="3" a="1"/>
  <c r="F63" i="3" s="1"/>
  <c r="G63" i="3" s="1"/>
  <c r="F4" i="5" a="1"/>
  <c r="F4" i="5" s="1"/>
  <c r="G4" i="5" s="1"/>
  <c r="N2" i="3"/>
  <c r="AK4" i="6"/>
  <c r="AH4" i="6"/>
  <c r="AL4" i="6" s="1"/>
  <c r="A13" i="8"/>
  <c r="D12" i="8"/>
  <c r="S6" i="7"/>
  <c r="F76" i="5" a="1"/>
  <c r="F76" i="5" s="1"/>
  <c r="G76" i="5" s="1"/>
  <c r="F83" i="3" a="1"/>
  <c r="F83" i="3" s="1"/>
  <c r="G83" i="3" s="1"/>
  <c r="I119" i="3"/>
  <c r="F124" i="5" a="1"/>
  <c r="F124" i="5" s="1"/>
  <c r="G124" i="5" s="1"/>
  <c r="F132" i="5" a="1"/>
  <c r="F132" i="5" s="1"/>
  <c r="G132" i="5" s="1"/>
  <c r="C4" i="8"/>
  <c r="AB4" i="9" s="1"/>
  <c r="I152" i="5"/>
  <c r="F13" i="5" a="1"/>
  <c r="F13" i="5" s="1"/>
  <c r="G13" i="5" s="1"/>
  <c r="F42" i="3" a="1"/>
  <c r="F42" i="3" s="1"/>
  <c r="G42" i="3" s="1"/>
  <c r="I148" i="5"/>
  <c r="I102" i="3"/>
  <c r="I40" i="3"/>
  <c r="F12" i="3" a="1"/>
  <c r="F12" i="3" s="1"/>
  <c r="G12" i="3" s="1"/>
  <c r="F57" i="3" a="1"/>
  <c r="F57" i="3" s="1"/>
  <c r="G57" i="3" s="1"/>
  <c r="F59" i="5" a="1"/>
  <c r="F59" i="5" s="1"/>
  <c r="G59" i="5" s="1"/>
  <c r="I128" i="3"/>
  <c r="F136" i="3" a="1"/>
  <c r="F136" i="3" s="1"/>
  <c r="G136" i="3" s="1"/>
  <c r="I124" i="3"/>
  <c r="F93" i="3" a="1"/>
  <c r="F93" i="3" s="1"/>
  <c r="G93" i="3" s="1"/>
  <c r="I6" i="3"/>
  <c r="I38" i="5"/>
  <c r="F141" i="5" a="1"/>
  <c r="F141" i="5" s="1"/>
  <c r="G141" i="5" s="1"/>
  <c r="I17" i="3"/>
  <c r="F14" i="5" a="1"/>
  <c r="F14" i="5" s="1"/>
  <c r="G14" i="5" s="1"/>
  <c r="F50" i="5" a="1"/>
  <c r="F50" i="5" s="1"/>
  <c r="G50" i="5" s="1"/>
  <c r="I64" i="5"/>
  <c r="F77" i="3" a="1"/>
  <c r="F77" i="3" s="1"/>
  <c r="G77" i="3" s="1"/>
  <c r="I70" i="3"/>
  <c r="F32" i="3" a="1"/>
  <c r="F32" i="3" s="1"/>
  <c r="G32" i="3" s="1"/>
  <c r="I90" i="3"/>
  <c r="F85" i="3" a="1"/>
  <c r="F85" i="3" s="1"/>
  <c r="G85" i="3" s="1"/>
  <c r="I61" i="5"/>
  <c r="F159" i="5" a="1"/>
  <c r="F159" i="5" s="1"/>
  <c r="G159" i="5" s="1"/>
  <c r="F104" i="5" a="1"/>
  <c r="F104" i="5" s="1"/>
  <c r="G104" i="5" s="1"/>
  <c r="F112" i="5" a="1"/>
  <c r="F112" i="5" s="1"/>
  <c r="G112" i="5" s="1"/>
  <c r="F136" i="5" a="1"/>
  <c r="F136" i="5" s="1"/>
  <c r="G136" i="5" s="1"/>
  <c r="F79" i="3" a="1"/>
  <c r="F79" i="3" s="1"/>
  <c r="G79" i="3" s="1"/>
  <c r="F94" i="3" a="1"/>
  <c r="F94" i="3" s="1"/>
  <c r="G94" i="3" s="1"/>
  <c r="F106" i="3" a="1"/>
  <c r="F106" i="3" s="1"/>
  <c r="G106" i="3" s="1"/>
  <c r="F92" i="3" a="1"/>
  <c r="F92" i="3" s="1"/>
  <c r="G92" i="3" s="1"/>
  <c r="F16" i="3" a="1"/>
  <c r="F16" i="3" s="1"/>
  <c r="G16" i="3" s="1"/>
  <c r="I120" i="3"/>
  <c r="F100" i="5" a="1"/>
  <c r="F100" i="5" s="1"/>
  <c r="G100" i="5" s="1"/>
  <c r="I41" i="3"/>
  <c r="I59" i="3"/>
  <c r="F96" i="5" a="1"/>
  <c r="F96" i="5" s="1"/>
  <c r="G96" i="5" s="1"/>
  <c r="I21" i="3"/>
  <c r="F74" i="5" a="1"/>
  <c r="F74" i="5" s="1"/>
  <c r="G74" i="5" s="1"/>
  <c r="F3" i="3" a="1"/>
  <c r="F3" i="3" s="1"/>
  <c r="G3" i="3" s="1"/>
  <c r="F80" i="3" a="1"/>
  <c r="F80" i="3" s="1"/>
  <c r="G80" i="3" s="1"/>
  <c r="I9" i="3"/>
  <c r="I123" i="3"/>
  <c r="F62" i="5" a="1"/>
  <c r="F62" i="5" s="1"/>
  <c r="G62" i="5" s="1"/>
  <c r="I66" i="5"/>
  <c r="F11" i="5" a="1"/>
  <c r="F11" i="5" s="1"/>
  <c r="G11" i="5" s="1"/>
  <c r="F63" i="5" a="1"/>
  <c r="F63" i="5" s="1"/>
  <c r="G63" i="5" s="1"/>
  <c r="F145" i="5" a="1"/>
  <c r="F145" i="5" s="1"/>
  <c r="G145" i="5" s="1"/>
  <c r="I88" i="5"/>
  <c r="F154" i="5" a="1"/>
  <c r="F154" i="5" s="1"/>
  <c r="G154" i="5" s="1"/>
  <c r="F75" i="3" a="1"/>
  <c r="F75" i="3" s="1"/>
  <c r="G75" i="3" s="1"/>
  <c r="I103" i="3"/>
  <c r="I109" i="3"/>
  <c r="F125" i="3" a="1"/>
  <c r="F125" i="3" s="1"/>
  <c r="G125" i="3" s="1"/>
  <c r="F48" i="3" a="1"/>
  <c r="F48" i="3" s="1"/>
  <c r="G48" i="3" s="1"/>
  <c r="I2" i="3"/>
  <c r="F144" i="3" a="1"/>
  <c r="F144" i="3" s="1"/>
  <c r="G144" i="3" s="1"/>
  <c r="F84" i="5" a="1"/>
  <c r="F84" i="5" s="1"/>
  <c r="G84" i="5" s="1"/>
  <c r="I7" i="3"/>
  <c r="I137" i="3"/>
  <c r="I26" i="3"/>
  <c r="I74" i="3"/>
  <c r="I114" i="3"/>
  <c r="F15" i="5" a="1"/>
  <c r="F15" i="5" s="1"/>
  <c r="G15" i="5" s="1"/>
  <c r="F79" i="5" a="1"/>
  <c r="F79" i="5" s="1"/>
  <c r="G79" i="5" s="1"/>
  <c r="F107" i="5" a="1"/>
  <c r="F107" i="5" s="1"/>
  <c r="G107" i="5" s="1"/>
  <c r="F111" i="5" a="1"/>
  <c r="F111" i="5" s="1"/>
  <c r="G111" i="5" s="1"/>
  <c r="I155" i="5"/>
  <c r="F92" i="5" a="1"/>
  <c r="F92" i="5" s="1"/>
  <c r="G92" i="5" s="1"/>
  <c r="I116" i="5"/>
  <c r="F138" i="5" a="1"/>
  <c r="F138" i="5" s="1"/>
  <c r="G138" i="5" s="1"/>
  <c r="F156" i="5" a="1"/>
  <c r="F156" i="5" s="1"/>
  <c r="G156" i="5" s="1"/>
  <c r="F160" i="5" a="1"/>
  <c r="F160" i="5" s="1"/>
  <c r="G160" i="5" s="1"/>
  <c r="F33" i="3" a="1"/>
  <c r="F33" i="3" s="1"/>
  <c r="G33" i="3" s="1"/>
  <c r="F49" i="3" a="1"/>
  <c r="F49" i="3" s="1"/>
  <c r="G49" i="3" s="1"/>
  <c r="I38" i="3"/>
  <c r="F129" i="3" a="1"/>
  <c r="F129" i="3" s="1"/>
  <c r="G129" i="3" s="1"/>
  <c r="F87" i="5" a="1"/>
  <c r="F87" i="5" s="1"/>
  <c r="G87" i="5" s="1"/>
  <c r="I135" i="5"/>
  <c r="F58" i="5" a="1"/>
  <c r="F58" i="5" s="1"/>
  <c r="G58" i="5" s="1"/>
  <c r="F2" i="5" a="1"/>
  <c r="F2" i="5" s="1"/>
  <c r="G2" i="5" s="1"/>
  <c r="F60" i="5" a="1"/>
  <c r="F60" i="5" s="1"/>
  <c r="G60" i="5" s="1"/>
  <c r="F68" i="5" a="1"/>
  <c r="F68" i="5" s="1"/>
  <c r="G68" i="5" s="1"/>
  <c r="F106" i="5" a="1"/>
  <c r="F106" i="5" s="1"/>
  <c r="G106" i="5" s="1"/>
  <c r="I67" i="3"/>
  <c r="I64" i="3"/>
  <c r="O5" i="6"/>
  <c r="O6" i="6" s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F17" i="5" a="1"/>
  <c r="F17" i="5" s="1"/>
  <c r="G17" i="5" s="1"/>
  <c r="I81" i="5"/>
  <c r="F85" i="5" a="1"/>
  <c r="F85" i="5" s="1"/>
  <c r="G85" i="5" s="1"/>
  <c r="F91" i="5" a="1"/>
  <c r="F91" i="5" s="1"/>
  <c r="G91" i="5" s="1"/>
  <c r="F127" i="5" a="1"/>
  <c r="F127" i="5" s="1"/>
  <c r="G127" i="5" s="1"/>
  <c r="F120" i="5" a="1"/>
  <c r="F120" i="5" s="1"/>
  <c r="G120" i="5" s="1"/>
  <c r="F140" i="5" a="1"/>
  <c r="F140" i="5" s="1"/>
  <c r="G140" i="5" s="1"/>
  <c r="I82" i="3"/>
  <c r="AA5" i="6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57" i="6" s="1"/>
  <c r="AA258" i="6" s="1"/>
  <c r="AA259" i="6" s="1"/>
  <c r="AA260" i="6" s="1"/>
  <c r="AA261" i="6" s="1"/>
  <c r="AA262" i="6" s="1"/>
  <c r="AA263" i="6" s="1"/>
  <c r="AA264" i="6" s="1"/>
  <c r="AA265" i="6" s="1"/>
  <c r="AA266" i="6" s="1"/>
  <c r="AA267" i="6" s="1"/>
  <c r="AA268" i="6" s="1"/>
  <c r="AA269" i="6" s="1"/>
  <c r="AA270" i="6" s="1"/>
  <c r="AA271" i="6" s="1"/>
  <c r="AA272" i="6" s="1"/>
  <c r="AA273" i="6" s="1"/>
  <c r="AA274" i="6" s="1"/>
  <c r="AA275" i="6" s="1"/>
  <c r="AA276" i="6" s="1"/>
  <c r="AA277" i="6" s="1"/>
  <c r="AA278" i="6" s="1"/>
  <c r="AA279" i="6" s="1"/>
  <c r="I88" i="3"/>
  <c r="I112" i="3"/>
  <c r="I66" i="3"/>
  <c r="AM5" i="6"/>
  <c r="AM6" i="6" s="1"/>
  <c r="AM7" i="6" s="1"/>
  <c r="AM8" i="6" s="1"/>
  <c r="AM9" i="6" s="1"/>
  <c r="AM10" i="6" s="1"/>
  <c r="AM11" i="6" s="1"/>
  <c r="AM12" i="6" s="1"/>
  <c r="AM13" i="6" s="1"/>
  <c r="AM14" i="6" s="1"/>
  <c r="AM15" i="6" s="1"/>
  <c r="AM16" i="6" s="1"/>
  <c r="AM17" i="6" s="1"/>
  <c r="AM18" i="6" s="1"/>
  <c r="AM19" i="6" s="1"/>
  <c r="AM20" i="6" s="1"/>
  <c r="AM21" i="6" s="1"/>
  <c r="AM22" i="6" s="1"/>
  <c r="AM23" i="6" s="1"/>
  <c r="AM24" i="6" s="1"/>
  <c r="AM25" i="6" s="1"/>
  <c r="AM26" i="6" s="1"/>
  <c r="AM27" i="6" s="1"/>
  <c r="AM28" i="6" s="1"/>
  <c r="AM29" i="6" s="1"/>
  <c r="AM30" i="6" s="1"/>
  <c r="AM31" i="6" s="1"/>
  <c r="AM32" i="6" s="1"/>
  <c r="AM33" i="6" s="1"/>
  <c r="AM34" i="6" s="1"/>
  <c r="AM35" i="6" s="1"/>
  <c r="AM36" i="6" s="1"/>
  <c r="AM37" i="6" s="1"/>
  <c r="AM38" i="6" s="1"/>
  <c r="AM39" i="6" s="1"/>
  <c r="AM40" i="6" s="1"/>
  <c r="AM41" i="6" s="1"/>
  <c r="AM42" i="6" s="1"/>
  <c r="AM43" i="6" s="1"/>
  <c r="AM44" i="6" s="1"/>
  <c r="AM45" i="6" s="1"/>
  <c r="AM46" i="6" s="1"/>
  <c r="AM47" i="6" s="1"/>
  <c r="AM48" i="6" s="1"/>
  <c r="AM49" i="6" s="1"/>
  <c r="AM50" i="6" s="1"/>
  <c r="AM51" i="6" s="1"/>
  <c r="AM52" i="6" s="1"/>
  <c r="AM53" i="6" s="1"/>
  <c r="AM54" i="6" s="1"/>
  <c r="AM55" i="6" s="1"/>
  <c r="AM56" i="6" s="1"/>
  <c r="AM57" i="6" s="1"/>
  <c r="AM58" i="6" s="1"/>
  <c r="AM59" i="6" s="1"/>
  <c r="AM60" i="6" s="1"/>
  <c r="AM61" i="6" s="1"/>
  <c r="AM62" i="6" s="1"/>
  <c r="AM63" i="6" s="1"/>
  <c r="AM64" i="6" s="1"/>
  <c r="AM65" i="6" s="1"/>
  <c r="AM66" i="6" s="1"/>
  <c r="AM67" i="6" s="1"/>
  <c r="AM68" i="6" s="1"/>
  <c r="AM69" i="6" s="1"/>
  <c r="AM70" i="6" s="1"/>
  <c r="AM71" i="6" s="1"/>
  <c r="AM72" i="6" s="1"/>
  <c r="AM73" i="6" s="1"/>
  <c r="AM74" i="6" s="1"/>
  <c r="AM75" i="6" s="1"/>
  <c r="AM76" i="6" s="1"/>
  <c r="AM77" i="6" s="1"/>
  <c r="AM78" i="6" s="1"/>
  <c r="AM79" i="6" s="1"/>
  <c r="AM80" i="6" s="1"/>
  <c r="AM81" i="6" s="1"/>
  <c r="AM82" i="6" s="1"/>
  <c r="AM83" i="6" s="1"/>
  <c r="AM84" i="6" s="1"/>
  <c r="AM85" i="6" s="1"/>
  <c r="AM86" i="6" s="1"/>
  <c r="AM87" i="6" s="1"/>
  <c r="AM88" i="6" s="1"/>
  <c r="AM89" i="6" s="1"/>
  <c r="AM90" i="6" s="1"/>
  <c r="AM91" i="6" s="1"/>
  <c r="AM92" i="6" s="1"/>
  <c r="AM93" i="6" s="1"/>
  <c r="AM94" i="6" s="1"/>
  <c r="AM95" i="6" s="1"/>
  <c r="AM96" i="6" s="1"/>
  <c r="AM97" i="6" s="1"/>
  <c r="AM98" i="6" s="1"/>
  <c r="AM99" i="6" s="1"/>
  <c r="AM100" i="6" s="1"/>
  <c r="AM101" i="6" s="1"/>
  <c r="AM102" i="6" s="1"/>
  <c r="AM103" i="6" s="1"/>
  <c r="AM104" i="6" s="1"/>
  <c r="AM105" i="6" s="1"/>
  <c r="AM106" i="6" s="1"/>
  <c r="AM107" i="6" s="1"/>
  <c r="AM108" i="6" s="1"/>
  <c r="AM109" i="6" s="1"/>
  <c r="AM110" i="6" s="1"/>
  <c r="AM111" i="6" s="1"/>
  <c r="AM112" i="6" s="1"/>
  <c r="AM113" i="6" s="1"/>
  <c r="AM114" i="6" s="1"/>
  <c r="AM115" i="6" s="1"/>
  <c r="AM116" i="6" s="1"/>
  <c r="AM117" i="6" s="1"/>
  <c r="AM118" i="6" s="1"/>
  <c r="AM119" i="6" s="1"/>
  <c r="AM120" i="6" s="1"/>
  <c r="AM121" i="6" s="1"/>
  <c r="AM122" i="6" s="1"/>
  <c r="AM123" i="6" s="1"/>
  <c r="AM124" i="6" s="1"/>
  <c r="AM125" i="6" s="1"/>
  <c r="AM126" i="6" s="1"/>
  <c r="AM127" i="6" s="1"/>
  <c r="AM128" i="6" s="1"/>
  <c r="AM129" i="6" s="1"/>
  <c r="AM130" i="6" s="1"/>
  <c r="AM131" i="6" s="1"/>
  <c r="AM132" i="6" s="1"/>
  <c r="AM133" i="6" s="1"/>
  <c r="AM134" i="6" s="1"/>
  <c r="AM135" i="6" s="1"/>
  <c r="AM136" i="6" s="1"/>
  <c r="AM137" i="6" s="1"/>
  <c r="AM138" i="6" s="1"/>
  <c r="AM139" i="6" s="1"/>
  <c r="AM140" i="6" s="1"/>
  <c r="AM141" i="6" s="1"/>
  <c r="AM142" i="6" s="1"/>
  <c r="AM143" i="6" s="1"/>
  <c r="AM144" i="6" s="1"/>
  <c r="AM145" i="6" s="1"/>
  <c r="AM146" i="6" s="1"/>
  <c r="AM147" i="6" s="1"/>
  <c r="AM148" i="6" s="1"/>
  <c r="AM149" i="6" s="1"/>
  <c r="AM150" i="6" s="1"/>
  <c r="AM151" i="6" s="1"/>
  <c r="AM152" i="6" s="1"/>
  <c r="AM153" i="6" s="1"/>
  <c r="AM154" i="6" s="1"/>
  <c r="AM155" i="6" s="1"/>
  <c r="AM156" i="6" s="1"/>
  <c r="AM157" i="6" s="1"/>
  <c r="AM158" i="6" s="1"/>
  <c r="AM159" i="6" s="1"/>
  <c r="AM184" i="6" s="1"/>
  <c r="AM185" i="6" s="1"/>
  <c r="AM186" i="6" s="1"/>
  <c r="AM187" i="6" s="1"/>
  <c r="AM188" i="6" s="1"/>
  <c r="AM189" i="6" s="1"/>
  <c r="AM190" i="6" s="1"/>
  <c r="AM191" i="6" s="1"/>
  <c r="AM192" i="6" s="1"/>
  <c r="AM193" i="6" s="1"/>
  <c r="AM194" i="6" s="1"/>
  <c r="AM195" i="6" s="1"/>
  <c r="AM196" i="6" s="1"/>
  <c r="AM197" i="6" s="1"/>
  <c r="AM198" i="6" s="1"/>
  <c r="AM199" i="6" s="1"/>
  <c r="AM200" i="6" s="1"/>
  <c r="AM201" i="6" s="1"/>
  <c r="AM202" i="6" s="1"/>
  <c r="AM203" i="6" s="1"/>
  <c r="AM204" i="6" s="1"/>
  <c r="AM205" i="6" s="1"/>
  <c r="AM206" i="6" s="1"/>
  <c r="AM207" i="6" s="1"/>
  <c r="AM208" i="6" s="1"/>
  <c r="AM209" i="6" s="1"/>
  <c r="AM210" i="6" s="1"/>
  <c r="AM211" i="6" s="1"/>
  <c r="AM212" i="6" s="1"/>
  <c r="AM213" i="6" s="1"/>
  <c r="AM214" i="6" s="1"/>
  <c r="AM215" i="6" s="1"/>
  <c r="AM216" i="6" s="1"/>
  <c r="AM217" i="6" s="1"/>
  <c r="AM218" i="6" s="1"/>
  <c r="AM219" i="6" s="1"/>
  <c r="AM220" i="6" s="1"/>
  <c r="AM221" i="6" s="1"/>
  <c r="AM222" i="6" s="1"/>
  <c r="AM223" i="6" s="1"/>
  <c r="AM224" i="6" s="1"/>
  <c r="AM225" i="6" s="1"/>
  <c r="AM226" i="6" s="1"/>
  <c r="AM227" i="6" s="1"/>
  <c r="AM228" i="6" s="1"/>
  <c r="AM229" i="6" s="1"/>
  <c r="AM230" i="6" s="1"/>
  <c r="AM231" i="6" s="1"/>
  <c r="AM232" i="6" s="1"/>
  <c r="AM233" i="6" s="1"/>
  <c r="AM234" i="6" s="1"/>
  <c r="AM235" i="6" s="1"/>
  <c r="AM236" i="6" s="1"/>
  <c r="AM237" i="6" s="1"/>
  <c r="AM238" i="6" s="1"/>
  <c r="AM239" i="6" s="1"/>
  <c r="AM240" i="6" s="1"/>
  <c r="AM241" i="6" s="1"/>
  <c r="AM242" i="6" s="1"/>
  <c r="AM243" i="6" s="1"/>
  <c r="AM244" i="6" s="1"/>
  <c r="AM245" i="6" s="1"/>
  <c r="AM246" i="6" s="1"/>
  <c r="AM247" i="6" s="1"/>
  <c r="AM248" i="6" s="1"/>
  <c r="AM249" i="6" s="1"/>
  <c r="AM250" i="6" s="1"/>
  <c r="AM251" i="6" s="1"/>
  <c r="AM252" i="6" s="1"/>
  <c r="AM253" i="6" s="1"/>
  <c r="AM254" i="6" s="1"/>
  <c r="AM255" i="6" s="1"/>
  <c r="AM256" i="6" s="1"/>
  <c r="AM257" i="6" s="1"/>
  <c r="AM258" i="6" s="1"/>
  <c r="AM259" i="6" s="1"/>
  <c r="AM260" i="6" s="1"/>
  <c r="AM261" i="6" s="1"/>
  <c r="AM262" i="6" s="1"/>
  <c r="AM263" i="6" s="1"/>
  <c r="AM264" i="6" s="1"/>
  <c r="AM265" i="6" s="1"/>
  <c r="AM266" i="6" s="1"/>
  <c r="AM267" i="6" s="1"/>
  <c r="AM268" i="6" s="1"/>
  <c r="AM269" i="6" s="1"/>
  <c r="AM270" i="6" s="1"/>
  <c r="AM271" i="6" s="1"/>
  <c r="AM272" i="6" s="1"/>
  <c r="AM273" i="6" s="1"/>
  <c r="AM274" i="6" s="1"/>
  <c r="AM275" i="6" s="1"/>
  <c r="AM276" i="6" s="1"/>
  <c r="AM277" i="6" s="1"/>
  <c r="AM278" i="6" s="1"/>
  <c r="AM279" i="6" s="1"/>
  <c r="F127" i="3" a="1"/>
  <c r="F127" i="3" s="1"/>
  <c r="G127" i="3" s="1"/>
  <c r="I127" i="3"/>
  <c r="I62" i="3"/>
  <c r="F139" i="3" a="1"/>
  <c r="F139" i="3" s="1"/>
  <c r="G139" i="3" s="1"/>
  <c r="F56" i="3" a="1"/>
  <c r="F56" i="3" s="1"/>
  <c r="G56" i="3" s="1"/>
  <c r="F116" i="3" a="1"/>
  <c r="F116" i="3" s="1"/>
  <c r="G116" i="3" s="1"/>
  <c r="F48" i="5" a="1"/>
  <c r="F48" i="5" s="1"/>
  <c r="G48" i="5" s="1"/>
  <c r="I48" i="5"/>
  <c r="F89" i="5" a="1"/>
  <c r="F89" i="5" s="1"/>
  <c r="G89" i="5" s="1"/>
  <c r="F105" i="5" a="1"/>
  <c r="F105" i="5" s="1"/>
  <c r="G105" i="5" s="1"/>
  <c r="I105" i="5"/>
  <c r="I80" i="5"/>
  <c r="I108" i="5"/>
  <c r="F76" i="3" a="1"/>
  <c r="F76" i="3" s="1"/>
  <c r="G76" i="3" s="1"/>
  <c r="I76" i="3"/>
  <c r="F23" i="5" a="1"/>
  <c r="F23" i="5" s="1"/>
  <c r="G23" i="5" s="1"/>
  <c r="I23" i="5"/>
  <c r="I39" i="5"/>
  <c r="F39" i="5" a="1"/>
  <c r="F39" i="5" s="1"/>
  <c r="G39" i="5" s="1"/>
  <c r="I35" i="3"/>
  <c r="I39" i="3"/>
  <c r="I43" i="3"/>
  <c r="I69" i="3"/>
  <c r="I141" i="3"/>
  <c r="F20" i="5" a="1"/>
  <c r="F20" i="5" s="1"/>
  <c r="G20" i="5" s="1"/>
  <c r="I30" i="5"/>
  <c r="I45" i="5"/>
  <c r="F93" i="5" a="1"/>
  <c r="F93" i="5" s="1"/>
  <c r="G93" i="5" s="1"/>
  <c r="F97" i="5" a="1"/>
  <c r="F97" i="5" s="1"/>
  <c r="G97" i="5" s="1"/>
  <c r="F139" i="5" a="1"/>
  <c r="F139" i="5" s="1"/>
  <c r="G139" i="5" s="1"/>
  <c r="I16" i="5"/>
  <c r="F16" i="5" a="1"/>
  <c r="F16" i="5" s="1"/>
  <c r="G16" i="5" s="1"/>
  <c r="I26" i="5"/>
  <c r="I25" i="5"/>
  <c r="I47" i="5"/>
  <c r="F47" i="5" a="1"/>
  <c r="F47" i="5" s="1"/>
  <c r="G47" i="5" s="1"/>
  <c r="F77" i="5" a="1"/>
  <c r="F77" i="5" s="1"/>
  <c r="G77" i="5" s="1"/>
  <c r="I133" i="5"/>
  <c r="F133" i="5" a="1"/>
  <c r="F133" i="5" s="1"/>
  <c r="G133" i="5" s="1"/>
  <c r="I137" i="5"/>
  <c r="F137" i="5" a="1"/>
  <c r="F137" i="5" s="1"/>
  <c r="G137" i="5" s="1"/>
  <c r="I21" i="5"/>
  <c r="I43" i="5"/>
  <c r="F43" i="5" a="1"/>
  <c r="F43" i="5" s="1"/>
  <c r="G43" i="5" s="1"/>
  <c r="F72" i="5" a="1"/>
  <c r="F72" i="5" s="1"/>
  <c r="G72" i="5" s="1"/>
  <c r="F122" i="5" a="1"/>
  <c r="F122" i="5" s="1"/>
  <c r="G122" i="5" s="1"/>
  <c r="F128" i="5" a="1"/>
  <c r="F128" i="5" s="1"/>
  <c r="G128" i="5" s="1"/>
  <c r="F144" i="5" a="1"/>
  <c r="F144" i="5" s="1"/>
  <c r="G144" i="5" s="1"/>
  <c r="F25" i="3" a="1"/>
  <c r="F25" i="3" s="1"/>
  <c r="G25" i="3" s="1"/>
  <c r="I51" i="3"/>
  <c r="I135" i="3"/>
  <c r="I122" i="3"/>
  <c r="I52" i="3"/>
  <c r="F44" i="3" a="1"/>
  <c r="F44" i="3" s="1"/>
  <c r="G44" i="3" s="1"/>
  <c r="F28" i="3" a="1"/>
  <c r="F28" i="3" s="1"/>
  <c r="G28" i="3" s="1"/>
  <c r="I28" i="3"/>
  <c r="F18" i="5" a="1"/>
  <c r="F18" i="5" s="1"/>
  <c r="G18" i="5" s="1"/>
  <c r="F28" i="5" a="1"/>
  <c r="F28" i="5" s="1"/>
  <c r="G28" i="5" s="1"/>
  <c r="F32" i="5" a="1"/>
  <c r="F32" i="5" s="1"/>
  <c r="G32" i="5" s="1"/>
  <c r="F40" i="5" a="1"/>
  <c r="F40" i="5" s="1"/>
  <c r="G40" i="5" s="1"/>
  <c r="I46" i="5"/>
  <c r="F49" i="5" a="1"/>
  <c r="F49" i="5" s="1"/>
  <c r="G49" i="5" s="1"/>
  <c r="I49" i="5"/>
  <c r="I71" i="5"/>
  <c r="I75" i="5"/>
  <c r="I123" i="5"/>
  <c r="I90" i="5"/>
  <c r="F90" i="5" a="1"/>
  <c r="F90" i="5" s="1"/>
  <c r="G90" i="5" s="1"/>
  <c r="F55" i="3" a="1"/>
  <c r="F55" i="3" s="1"/>
  <c r="G55" i="3" s="1"/>
  <c r="I55" i="3"/>
  <c r="F65" i="3" a="1"/>
  <c r="F65" i="3" s="1"/>
  <c r="G65" i="3" s="1"/>
  <c r="I36" i="5"/>
  <c r="I100" i="3"/>
  <c r="F100" i="3" a="1"/>
  <c r="F100" i="3" s="1"/>
  <c r="G100" i="3" s="1"/>
  <c r="F52" i="5" a="1"/>
  <c r="F52" i="5" s="1"/>
  <c r="G52" i="5" s="1"/>
  <c r="I9" i="5"/>
  <c r="I19" i="5"/>
  <c r="F41" i="5" a="1"/>
  <c r="F41" i="5" s="1"/>
  <c r="G41" i="5" s="1"/>
  <c r="F113" i="5" a="1"/>
  <c r="F113" i="5" s="1"/>
  <c r="G113" i="5" s="1"/>
  <c r="I113" i="5"/>
  <c r="I119" i="5"/>
  <c r="I161" i="5"/>
  <c r="F47" i="3" a="1"/>
  <c r="F47" i="3" s="1"/>
  <c r="G47" i="3" s="1"/>
  <c r="F107" i="3" a="1"/>
  <c r="F107" i="3" s="1"/>
  <c r="G107" i="3" s="1"/>
  <c r="I107" i="3"/>
  <c r="I118" i="3"/>
  <c r="F72" i="3" a="1"/>
  <c r="F72" i="3" s="1"/>
  <c r="G72" i="3" s="1"/>
  <c r="I72" i="3"/>
  <c r="F20" i="3" a="1"/>
  <c r="F20" i="3" s="1"/>
  <c r="G20" i="3" s="1"/>
  <c r="F140" i="3" a="1"/>
  <c r="F140" i="3" s="1"/>
  <c r="G140" i="3" s="1"/>
  <c r="F50" i="3" a="1"/>
  <c r="F50" i="3" s="1"/>
  <c r="G50" i="3" s="1"/>
  <c r="C4" i="7"/>
  <c r="AA4" i="9" s="1"/>
  <c r="B5" i="7"/>
  <c r="AB5" i="7" s="1" a="1"/>
  <c r="AB5" i="7" s="1"/>
  <c r="I105" i="3"/>
  <c r="F105" i="3" a="1"/>
  <c r="F105" i="3" s="1"/>
  <c r="G105" i="3" s="1"/>
  <c r="I117" i="3"/>
  <c r="F117" i="3" a="1"/>
  <c r="F117" i="3" s="1"/>
  <c r="G117" i="3" s="1"/>
  <c r="F33" i="5" a="1"/>
  <c r="F33" i="5" s="1"/>
  <c r="G33" i="5" s="1"/>
  <c r="I33" i="5"/>
  <c r="I22" i="5"/>
  <c r="F53" i="5" a="1"/>
  <c r="F53" i="5" s="1"/>
  <c r="G53" i="5" s="1"/>
  <c r="I55" i="5"/>
  <c r="F69" i="5" a="1"/>
  <c r="F69" i="5" s="1"/>
  <c r="G69" i="5" s="1"/>
  <c r="F73" i="5" a="1"/>
  <c r="F73" i="5" s="1"/>
  <c r="G73" i="5" s="1"/>
  <c r="I73" i="5"/>
  <c r="I149" i="5"/>
  <c r="I12" i="5"/>
  <c r="F12" i="5" a="1"/>
  <c r="F12" i="5" s="1"/>
  <c r="G12" i="5" s="1"/>
  <c r="F147" i="5" a="1"/>
  <c r="F147" i="5" s="1"/>
  <c r="G147" i="5" s="1"/>
  <c r="I147" i="5"/>
  <c r="F6" i="5" a="1"/>
  <c r="F6" i="5" s="1"/>
  <c r="G6" i="5" s="1"/>
  <c r="I34" i="5"/>
  <c r="F29" i="5" a="1"/>
  <c r="F29" i="5" s="1"/>
  <c r="G29" i="5" s="1"/>
  <c r="I29" i="5"/>
  <c r="I57" i="5"/>
  <c r="F99" i="5" a="1"/>
  <c r="F99" i="5" s="1"/>
  <c r="G99" i="5" s="1"/>
  <c r="I99" i="5"/>
  <c r="I103" i="5"/>
  <c r="F131" i="5" a="1"/>
  <c r="F131" i="5" s="1"/>
  <c r="G131" i="5" s="1"/>
  <c r="I131" i="5"/>
  <c r="I143" i="5"/>
  <c r="F143" i="5" a="1"/>
  <c r="F143" i="5" s="1"/>
  <c r="G143" i="5" s="1"/>
  <c r="I157" i="5"/>
  <c r="F157" i="5" a="1"/>
  <c r="F157" i="5" s="1"/>
  <c r="G157" i="5" s="1"/>
  <c r="F54" i="3" a="1"/>
  <c r="F54" i="3" s="1"/>
  <c r="G54" i="3" s="1"/>
  <c r="I54" i="3"/>
  <c r="I44" i="5"/>
  <c r="F44" i="5" a="1"/>
  <c r="F44" i="5" s="1"/>
  <c r="G44" i="5" s="1"/>
  <c r="F31" i="5" a="1"/>
  <c r="F31" i="5" s="1"/>
  <c r="G31" i="5" s="1"/>
  <c r="I31" i="5"/>
  <c r="I151" i="5"/>
  <c r="I42" i="5"/>
  <c r="F42" i="5" a="1"/>
  <c r="F42" i="5" s="1"/>
  <c r="G42" i="5" s="1"/>
  <c r="F54" i="5" a="1"/>
  <c r="F54" i="5" s="1"/>
  <c r="G54" i="5" s="1"/>
  <c r="F35" i="5" a="1"/>
  <c r="F35" i="5" s="1"/>
  <c r="G35" i="5" s="1"/>
  <c r="I51" i="5"/>
  <c r="I101" i="5"/>
  <c r="I10" i="5"/>
  <c r="F10" i="5" a="1"/>
  <c r="F10" i="5" s="1"/>
  <c r="G10" i="5" s="1"/>
  <c r="I5" i="5"/>
  <c r="F83" i="5" a="1"/>
  <c r="F83" i="5" s="1"/>
  <c r="G83" i="5" s="1"/>
  <c r="I83" i="5"/>
  <c r="I95" i="5"/>
  <c r="F95" i="5" a="1"/>
  <c r="F95" i="5" s="1"/>
  <c r="G95" i="5" s="1"/>
  <c r="I109" i="5"/>
  <c r="F109" i="5" a="1"/>
  <c r="F109" i="5" s="1"/>
  <c r="G109" i="5" s="1"/>
  <c r="F125" i="5" a="1"/>
  <c r="F125" i="5" s="1"/>
  <c r="G125" i="5" s="1"/>
  <c r="I78" i="5"/>
  <c r="F78" i="5" a="1"/>
  <c r="F78" i="5" s="1"/>
  <c r="G78" i="5" s="1"/>
  <c r="I94" i="5"/>
  <c r="F94" i="5" a="1"/>
  <c r="F94" i="5" s="1"/>
  <c r="G94" i="5" s="1"/>
  <c r="I142" i="5"/>
  <c r="F142" i="5" a="1"/>
  <c r="F142" i="5" s="1"/>
  <c r="G142" i="5" s="1"/>
  <c r="I158" i="5"/>
  <c r="F158" i="5" a="1"/>
  <c r="F158" i="5" s="1"/>
  <c r="G158" i="5" s="1"/>
  <c r="I24" i="5"/>
  <c r="F56" i="5" a="1"/>
  <c r="F56" i="5" s="1"/>
  <c r="G56" i="5" s="1"/>
  <c r="I7" i="5"/>
  <c r="F37" i="5" a="1"/>
  <c r="F37" i="5" s="1"/>
  <c r="G37" i="5" s="1"/>
  <c r="F65" i="5" a="1"/>
  <c r="F65" i="5" s="1"/>
  <c r="G65" i="5" s="1"/>
  <c r="I65" i="5"/>
  <c r="I129" i="5"/>
  <c r="I153" i="5"/>
  <c r="I70" i="5"/>
  <c r="F70" i="5" a="1"/>
  <c r="F70" i="5" s="1"/>
  <c r="G70" i="5" s="1"/>
  <c r="I86" i="5"/>
  <c r="F86" i="5" a="1"/>
  <c r="F86" i="5" s="1"/>
  <c r="G86" i="5" s="1"/>
  <c r="I102" i="5"/>
  <c r="F102" i="5" a="1"/>
  <c r="F102" i="5" s="1"/>
  <c r="G102" i="5" s="1"/>
  <c r="I118" i="5"/>
  <c r="F118" i="5" a="1"/>
  <c r="F118" i="5" s="1"/>
  <c r="G118" i="5" s="1"/>
  <c r="I134" i="5"/>
  <c r="F134" i="5" a="1"/>
  <c r="F134" i="5" s="1"/>
  <c r="G134" i="5" s="1"/>
  <c r="I150" i="5"/>
  <c r="F150" i="5" a="1"/>
  <c r="F150" i="5" s="1"/>
  <c r="G150" i="5" s="1"/>
  <c r="F111" i="3" a="1"/>
  <c r="F111" i="3" s="1"/>
  <c r="G111" i="3" s="1"/>
  <c r="I111" i="3"/>
  <c r="I110" i="5"/>
  <c r="F110" i="5" a="1"/>
  <c r="F110" i="5" s="1"/>
  <c r="G110" i="5" s="1"/>
  <c r="I126" i="5"/>
  <c r="F126" i="5" a="1"/>
  <c r="F126" i="5" s="1"/>
  <c r="G126" i="5" s="1"/>
  <c r="I8" i="5"/>
  <c r="F27" i="5" a="1"/>
  <c r="F27" i="5" s="1"/>
  <c r="G27" i="5" s="1"/>
  <c r="I27" i="5"/>
  <c r="F3" i="5" a="1"/>
  <c r="F3" i="5" s="1"/>
  <c r="G3" i="5" s="1"/>
  <c r="F117" i="5" a="1"/>
  <c r="F117" i="5" s="1"/>
  <c r="G117" i="5" s="1"/>
  <c r="F121" i="5" a="1"/>
  <c r="F121" i="5" s="1"/>
  <c r="G121" i="5" s="1"/>
  <c r="I121" i="5"/>
  <c r="I71" i="3"/>
  <c r="F71" i="3" a="1"/>
  <c r="F71" i="3" s="1"/>
  <c r="G71" i="3" s="1"/>
  <c r="F162" i="5" a="1"/>
  <c r="F162" i="5" s="1"/>
  <c r="G162" i="5" s="1"/>
  <c r="I162" i="5"/>
  <c r="I91" i="3"/>
  <c r="F113" i="3" a="1"/>
  <c r="F113" i="3" s="1"/>
  <c r="G113" i="3" s="1"/>
  <c r="I113" i="3"/>
  <c r="I10" i="3"/>
  <c r="F10" i="3" a="1"/>
  <c r="F10" i="3" s="1"/>
  <c r="G10" i="3" s="1"/>
  <c r="I18" i="3"/>
  <c r="F18" i="3" a="1"/>
  <c r="F18" i="3" s="1"/>
  <c r="G18" i="3" s="1"/>
  <c r="F34" i="3" a="1"/>
  <c r="F34" i="3" s="1"/>
  <c r="G34" i="3" s="1"/>
  <c r="I34" i="3"/>
  <c r="F82" i="5" a="1"/>
  <c r="F82" i="5" s="1"/>
  <c r="G82" i="5" s="1"/>
  <c r="F98" i="5" a="1"/>
  <c r="F98" i="5" s="1"/>
  <c r="G98" i="5" s="1"/>
  <c r="F114" i="5" a="1"/>
  <c r="F114" i="5" s="1"/>
  <c r="G114" i="5" s="1"/>
  <c r="F130" i="5" a="1"/>
  <c r="F130" i="5" s="1"/>
  <c r="G130" i="5" s="1"/>
  <c r="F146" i="5" a="1"/>
  <c r="F146" i="5" s="1"/>
  <c r="G146" i="5" s="1"/>
  <c r="I15" i="3"/>
  <c r="F81" i="3" a="1"/>
  <c r="F81" i="3" s="1"/>
  <c r="G81" i="3" s="1"/>
  <c r="I101" i="3"/>
  <c r="F67" i="5" a="1"/>
  <c r="F67" i="5" s="1"/>
  <c r="G67" i="5" s="1"/>
  <c r="I67" i="5"/>
  <c r="F115" i="5" a="1"/>
  <c r="F115" i="5" s="1"/>
  <c r="G115" i="5" s="1"/>
  <c r="I115" i="5"/>
  <c r="I164" i="5"/>
  <c r="F13" i="3" a="1"/>
  <c r="F13" i="3" s="1"/>
  <c r="G13" i="3" s="1"/>
  <c r="F23" i="3" a="1"/>
  <c r="F23" i="3" s="1"/>
  <c r="G23" i="3" s="1"/>
  <c r="I53" i="3"/>
  <c r="F53" i="3" a="1"/>
  <c r="F53" i="3" s="1"/>
  <c r="G53" i="3" s="1"/>
  <c r="F99" i="3" a="1"/>
  <c r="F99" i="3" s="1"/>
  <c r="G99" i="3" s="1"/>
  <c r="F30" i="3" a="1"/>
  <c r="F30" i="3" s="1"/>
  <c r="G30" i="3" s="1"/>
  <c r="F86" i="3" a="1"/>
  <c r="F86" i="3" s="1"/>
  <c r="G86" i="3" s="1"/>
  <c r="F24" i="3" a="1"/>
  <c r="F24" i="3" s="1"/>
  <c r="G24" i="3" s="1"/>
  <c r="F163" i="5" a="1"/>
  <c r="F163" i="5" s="1"/>
  <c r="G163" i="5" s="1"/>
  <c r="I163" i="5"/>
  <c r="I19" i="3"/>
  <c r="F19" i="3" a="1"/>
  <c r="F19" i="3" s="1"/>
  <c r="G19" i="3" s="1"/>
  <c r="I37" i="3"/>
  <c r="F37" i="3" a="1"/>
  <c r="F37" i="3" s="1"/>
  <c r="G37" i="3" s="1"/>
  <c r="F145" i="3" a="1"/>
  <c r="F145" i="3" s="1"/>
  <c r="G145" i="3" s="1"/>
  <c r="I145" i="3"/>
  <c r="F8" i="3" a="1"/>
  <c r="F8" i="3" s="1"/>
  <c r="G8" i="3" s="1"/>
  <c r="I8" i="3"/>
  <c r="I5" i="3"/>
  <c r="I73" i="3"/>
  <c r="I89" i="3"/>
  <c r="F97" i="3" a="1"/>
  <c r="F97" i="3" s="1"/>
  <c r="G97" i="3" s="1"/>
  <c r="I97" i="3"/>
  <c r="F115" i="3" a="1"/>
  <c r="F115" i="3" s="1"/>
  <c r="G115" i="3" s="1"/>
  <c r="F14" i="3" a="1"/>
  <c r="F14" i="3" s="1"/>
  <c r="G14" i="3" s="1"/>
  <c r="I14" i="3"/>
  <c r="I96" i="3"/>
  <c r="I58" i="3"/>
  <c r="I126" i="3"/>
  <c r="F126" i="3" a="1"/>
  <c r="F126" i="3" s="1"/>
  <c r="G126" i="3" s="1"/>
  <c r="F29" i="3" a="1"/>
  <c r="F29" i="3" s="1"/>
  <c r="G29" i="3" s="1"/>
  <c r="I121" i="3"/>
  <c r="F121" i="3" a="1"/>
  <c r="F121" i="3" s="1"/>
  <c r="G121" i="3" s="1"/>
  <c r="F22" i="3" a="1"/>
  <c r="F22" i="3" s="1"/>
  <c r="G22" i="3" s="1"/>
  <c r="F78" i="3" a="1"/>
  <c r="F78" i="3" s="1"/>
  <c r="G78" i="3" s="1"/>
  <c r="I78" i="3"/>
  <c r="F84" i="3" a="1"/>
  <c r="F84" i="3" s="1"/>
  <c r="G84" i="3" s="1"/>
  <c r="F60" i="3" a="1"/>
  <c r="F60" i="3" s="1"/>
  <c r="G60" i="3" s="1"/>
  <c r="J12" i="4"/>
  <c r="J8" i="4"/>
  <c r="J70" i="4"/>
  <c r="J91" i="4"/>
  <c r="J96" i="4"/>
  <c r="J120" i="4"/>
  <c r="I11" i="3"/>
  <c r="I27" i="3"/>
  <c r="I45" i="3"/>
  <c r="I61" i="3"/>
  <c r="F87" i="3" a="1"/>
  <c r="F87" i="3" s="1"/>
  <c r="G87" i="3" s="1"/>
  <c r="F46" i="3" a="1"/>
  <c r="F46" i="3" s="1"/>
  <c r="G46" i="3" s="1"/>
  <c r="F110" i="3" a="1"/>
  <c r="F110" i="3" s="1"/>
  <c r="G110" i="3" s="1"/>
  <c r="F131" i="3" a="1"/>
  <c r="F131" i="3" s="1"/>
  <c r="G131" i="3" s="1"/>
  <c r="F133" i="3" a="1"/>
  <c r="F133" i="3" s="1"/>
  <c r="G133" i="3" s="1"/>
  <c r="F104" i="3" a="1"/>
  <c r="F104" i="3" s="1"/>
  <c r="G104" i="3" s="1"/>
  <c r="J21" i="4"/>
  <c r="K38" i="4"/>
  <c r="H39" i="4" s="1"/>
  <c r="I143" i="3"/>
  <c r="F4" i="3" a="1"/>
  <c r="F4" i="3" s="1"/>
  <c r="G4" i="3" s="1"/>
  <c r="I4" i="3"/>
  <c r="J4" i="4"/>
  <c r="J24" i="4"/>
  <c r="I130" i="3"/>
  <c r="F130" i="3" a="1"/>
  <c r="F130" i="3" s="1"/>
  <c r="G130" i="3" s="1"/>
  <c r="F68" i="3" a="1"/>
  <c r="F68" i="3" s="1"/>
  <c r="G68" i="3" s="1"/>
  <c r="I68" i="3"/>
  <c r="J5" i="4"/>
  <c r="I138" i="3"/>
  <c r="F138" i="3" a="1"/>
  <c r="F138" i="3" s="1"/>
  <c r="G138" i="3" s="1"/>
  <c r="F36" i="3" a="1"/>
  <c r="F36" i="3" s="1"/>
  <c r="G36" i="3" s="1"/>
  <c r="I36" i="3"/>
  <c r="I132" i="3"/>
  <c r="F142" i="3" a="1"/>
  <c r="F142" i="3" s="1"/>
  <c r="G142" i="3" s="1"/>
  <c r="I142" i="3"/>
  <c r="J71" i="4"/>
  <c r="J81" i="4"/>
  <c r="J6" i="4"/>
  <c r="J54" i="4"/>
  <c r="J78" i="4"/>
  <c r="J97" i="4"/>
  <c r="J51" i="4"/>
  <c r="J52" i="4"/>
  <c r="J92" i="4"/>
  <c r="J125" i="4"/>
  <c r="F134" i="3" a="1"/>
  <c r="F134" i="3" s="1"/>
  <c r="G134" i="3" s="1"/>
  <c r="I134" i="3"/>
  <c r="J43" i="4"/>
  <c r="K14" i="4"/>
  <c r="H15" i="4" s="1"/>
  <c r="J22" i="4"/>
  <c r="J7" i="4"/>
  <c r="J36" i="4"/>
  <c r="J13" i="4"/>
  <c r="J10" i="4"/>
  <c r="J56" i="4"/>
  <c r="J46" i="4"/>
  <c r="J85" i="4"/>
  <c r="J68" i="4"/>
  <c r="J94" i="4"/>
  <c r="J75" i="4"/>
  <c r="J153" i="4"/>
  <c r="K86" i="4"/>
  <c r="H87" i="4" s="1"/>
  <c r="J39" i="4"/>
  <c r="J47" i="4"/>
  <c r="J79" i="4"/>
  <c r="J44" i="4"/>
  <c r="J84" i="4"/>
  <c r="J67" i="4"/>
  <c r="K122" i="4"/>
  <c r="H123" i="4" s="1"/>
  <c r="J126" i="4"/>
  <c r="J150" i="4"/>
  <c r="J27" i="4"/>
  <c r="J76" i="4"/>
  <c r="J90" i="4"/>
  <c r="J139" i="4"/>
  <c r="J148" i="4"/>
  <c r="J108" i="4"/>
  <c r="J132" i="4"/>
  <c r="K98" i="4"/>
  <c r="H99" i="4" s="1"/>
  <c r="J136" i="4"/>
  <c r="J142" i="4"/>
  <c r="K158" i="4"/>
  <c r="H159" i="4" s="1"/>
  <c r="J83" i="4"/>
  <c r="J113" i="4"/>
  <c r="K26" i="4"/>
  <c r="H27" i="4" s="1"/>
  <c r="K110" i="4"/>
  <c r="H111" i="4" s="1"/>
  <c r="J100" i="4"/>
  <c r="J109" i="4"/>
  <c r="J133" i="4"/>
  <c r="J99" i="4"/>
  <c r="J115" i="4"/>
  <c r="J131" i="4"/>
  <c r="J140" i="4"/>
  <c r="J59" i="4"/>
  <c r="U4" i="6"/>
  <c r="F108" i="3" a="1"/>
  <c r="F108" i="3" s="1"/>
  <c r="G108" i="3" s="1"/>
  <c r="I108" i="3"/>
  <c r="W6" i="9"/>
  <c r="AE4" i="9"/>
  <c r="Q2" i="3" l="1"/>
  <c r="P2" i="3"/>
  <c r="R2" i="3" s="1"/>
  <c r="O2" i="3"/>
  <c r="O2" i="5"/>
  <c r="Q2" i="5"/>
  <c r="P2" i="5"/>
  <c r="A13" i="9"/>
  <c r="B12" i="9"/>
  <c r="B7" i="8"/>
  <c r="C7" i="8" s="1"/>
  <c r="AB7" i="9" s="1"/>
  <c r="AC6" i="8" a="1"/>
  <c r="AC6" i="8" s="1"/>
  <c r="A13" i="7"/>
  <c r="D12" i="7"/>
  <c r="C5" i="8"/>
  <c r="AB5" i="9" s="1"/>
  <c r="AC5" i="8" a="1"/>
  <c r="AC5" i="8" s="1"/>
  <c r="AM160" i="6"/>
  <c r="AM161" i="6" s="1"/>
  <c r="AM162" i="6" s="1"/>
  <c r="AM163" i="6" s="1"/>
  <c r="AM164" i="6" s="1"/>
  <c r="AM165" i="6" s="1"/>
  <c r="AM166" i="6" s="1"/>
  <c r="AM167" i="6" s="1"/>
  <c r="AM168" i="6" s="1"/>
  <c r="AM169" i="6" s="1"/>
  <c r="AM170" i="6" s="1"/>
  <c r="AM171" i="6" s="1"/>
  <c r="AM172" i="6" s="1"/>
  <c r="AM173" i="6" s="1"/>
  <c r="AM174" i="6" s="1"/>
  <c r="AM175" i="6" s="1"/>
  <c r="AM176" i="6" s="1"/>
  <c r="AM177" i="6" s="1"/>
  <c r="AM178" i="6" s="1"/>
  <c r="AM179" i="6" s="1"/>
  <c r="AM180" i="6" s="1"/>
  <c r="AM181" i="6" s="1"/>
  <c r="AM182" i="6" s="1"/>
  <c r="AM183" i="6" s="1"/>
  <c r="AA160" i="6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O160" i="6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AI4" i="6"/>
  <c r="AJ4" i="6" s="1"/>
  <c r="V4" i="6"/>
  <c r="C6" i="8"/>
  <c r="AB6" i="9" s="1"/>
  <c r="A14" i="8"/>
  <c r="D13" i="8"/>
  <c r="H6" i="7"/>
  <c r="B6" i="7"/>
  <c r="AB6" i="7" s="1" a="1"/>
  <c r="AB6" i="7" s="1"/>
  <c r="C5" i="7"/>
  <c r="AA5" i="9" s="1"/>
  <c r="W7" i="9"/>
  <c r="AE5" i="9"/>
  <c r="Y4" i="6"/>
  <c r="A14" i="9" l="1"/>
  <c r="B13" i="9"/>
  <c r="D13" i="7"/>
  <c r="B8" i="8"/>
  <c r="AC7" i="8" a="1"/>
  <c r="AC7" i="8" s="1"/>
  <c r="K3" i="3"/>
  <c r="W4" i="6"/>
  <c r="X4" i="6" s="1"/>
  <c r="AF5" i="6"/>
  <c r="D14" i="8"/>
  <c r="A15" i="8"/>
  <c r="H7" i="7"/>
  <c r="K3" i="5"/>
  <c r="S2" i="3"/>
  <c r="B7" i="7"/>
  <c r="AB7" i="7" s="1" a="1"/>
  <c r="AB7" i="7" s="1"/>
  <c r="C6" i="7"/>
  <c r="AA6" i="9" s="1"/>
  <c r="W8" i="9"/>
  <c r="AE6" i="9"/>
  <c r="Z4" i="6"/>
  <c r="S2" i="5"/>
  <c r="R2" i="5"/>
  <c r="N3" i="3" l="1"/>
  <c r="Q3" i="3"/>
  <c r="L4" i="3"/>
  <c r="L4" i="5"/>
  <c r="N3" i="5"/>
  <c r="A15" i="9"/>
  <c r="B14" i="9"/>
  <c r="AC8" i="8" a="1"/>
  <c r="AC8" i="8" s="1"/>
  <c r="B9" i="8"/>
  <c r="C8" i="8"/>
  <c r="AB8" i="9" s="1"/>
  <c r="T5" i="6"/>
  <c r="AG5" i="6"/>
  <c r="AH5" i="6" s="1"/>
  <c r="D15" i="8"/>
  <c r="A16" i="8"/>
  <c r="C7" i="7"/>
  <c r="AA7" i="9" s="1"/>
  <c r="B8" i="7"/>
  <c r="AB8" i="7" s="1" a="1"/>
  <c r="AB8" i="7" s="1"/>
  <c r="AE7" i="9"/>
  <c r="W9" i="9"/>
  <c r="K4" i="3" l="1"/>
  <c r="O3" i="3"/>
  <c r="P3" i="3"/>
  <c r="S3" i="3" s="1"/>
  <c r="O3" i="5"/>
  <c r="P3" i="5"/>
  <c r="Q3" i="5"/>
  <c r="K4" i="5" s="1"/>
  <c r="A16" i="9"/>
  <c r="B15" i="9"/>
  <c r="AC9" i="8" a="1"/>
  <c r="AC9" i="8" s="1"/>
  <c r="B10" i="8"/>
  <c r="C9" i="8"/>
  <c r="AB9" i="9" s="1"/>
  <c r="AI5" i="6"/>
  <c r="AJ5" i="6" s="1"/>
  <c r="AL5" i="6"/>
  <c r="AK5" i="6"/>
  <c r="D16" i="8"/>
  <c r="B9" i="7"/>
  <c r="AB9" i="7" s="1" a="1"/>
  <c r="AB9" i="7" s="1"/>
  <c r="C8" i="7"/>
  <c r="AA8" i="9" s="1"/>
  <c r="W10" i="9"/>
  <c r="AE8" i="9"/>
  <c r="N4" i="3" l="1"/>
  <c r="Q4" i="3" s="1"/>
  <c r="K5" i="3" s="1"/>
  <c r="R3" i="3"/>
  <c r="L5" i="3"/>
  <c r="L5" i="5"/>
  <c r="B16" i="9"/>
  <c r="AC10" i="8" a="1"/>
  <c r="AC10" i="8" s="1"/>
  <c r="B11" i="8"/>
  <c r="C10" i="8"/>
  <c r="AB10" i="9" s="1"/>
  <c r="AF6" i="6"/>
  <c r="C9" i="7"/>
  <c r="AA9" i="9" s="1"/>
  <c r="B10" i="7"/>
  <c r="AB10" i="7" s="1" a="1"/>
  <c r="AB10" i="7" s="1"/>
  <c r="AE9" i="9"/>
  <c r="N4" i="5"/>
  <c r="W11" i="9"/>
  <c r="R3" i="5"/>
  <c r="S3" i="5"/>
  <c r="U5" i="6"/>
  <c r="L6" i="3" l="1"/>
  <c r="O4" i="3"/>
  <c r="P4" i="3"/>
  <c r="S4" i="3" s="1"/>
  <c r="O4" i="5"/>
  <c r="P4" i="5"/>
  <c r="Q4" i="5"/>
  <c r="AC11" i="8" a="1"/>
  <c r="AC11" i="8" s="1"/>
  <c r="B12" i="8"/>
  <c r="C11" i="8"/>
  <c r="AB11" i="9" s="1"/>
  <c r="V5" i="6"/>
  <c r="AG6" i="6"/>
  <c r="B11" i="7"/>
  <c r="AB11" i="7" s="1" a="1"/>
  <c r="AB11" i="7" s="1"/>
  <c r="C10" i="7"/>
  <c r="AA10" i="9" s="1"/>
  <c r="Y5" i="6"/>
  <c r="W12" i="9"/>
  <c r="AE10" i="9"/>
  <c r="N5" i="3"/>
  <c r="O5" i="3" s="1"/>
  <c r="R4" i="3"/>
  <c r="P5" i="3" l="1"/>
  <c r="Q5" i="3"/>
  <c r="AC12" i="8" a="1"/>
  <c r="AC12" i="8" s="1"/>
  <c r="B13" i="8"/>
  <c r="C12" i="8"/>
  <c r="AB12" i="9" s="1"/>
  <c r="W5" i="6"/>
  <c r="X5" i="6" s="1"/>
  <c r="AK6" i="6"/>
  <c r="AH6" i="6"/>
  <c r="C11" i="7"/>
  <c r="AA11" i="9" s="1"/>
  <c r="B12" i="7"/>
  <c r="AB12" i="7" s="1" a="1"/>
  <c r="AB12" i="7" s="1"/>
  <c r="W13" i="9"/>
  <c r="K5" i="5"/>
  <c r="Z5" i="6"/>
  <c r="AE11" i="9"/>
  <c r="L6" i="5" l="1"/>
  <c r="AC13" i="8" a="1"/>
  <c r="AC13" i="8" s="1"/>
  <c r="C13" i="8"/>
  <c r="AB13" i="9" s="1"/>
  <c r="B14" i="8"/>
  <c r="AL6" i="6"/>
  <c r="AI6" i="6"/>
  <c r="T6" i="6"/>
  <c r="B13" i="7"/>
  <c r="AB13" i="7" s="1" a="1"/>
  <c r="AB13" i="7" s="1"/>
  <c r="C53" i="2" s="1"/>
  <c r="C12" i="7"/>
  <c r="AA12" i="9" s="1"/>
  <c r="S4" i="5"/>
  <c r="R4" i="5"/>
  <c r="W14" i="9"/>
  <c r="W15" i="9" s="1"/>
  <c r="W16" i="9" s="1"/>
  <c r="N5" i="5"/>
  <c r="AE12" i="9"/>
  <c r="K6" i="3"/>
  <c r="L7" i="3" l="1"/>
  <c r="O5" i="5"/>
  <c r="P5" i="5"/>
  <c r="Q5" i="5"/>
  <c r="B15" i="8"/>
  <c r="AC14" i="8" a="1"/>
  <c r="AC14" i="8" s="1"/>
  <c r="C14" i="8"/>
  <c r="AB14" i="9" s="1"/>
  <c r="AJ6" i="6"/>
  <c r="C13" i="7"/>
  <c r="AA13" i="9" s="1"/>
  <c r="R5" i="3"/>
  <c r="S5" i="3"/>
  <c r="AE13" i="9"/>
  <c r="N6" i="3"/>
  <c r="O6" i="3" l="1"/>
  <c r="P6" i="3"/>
  <c r="Q6" i="3"/>
  <c r="AC15" i="8" a="1"/>
  <c r="AC15" i="8" s="1"/>
  <c r="C15" i="8"/>
  <c r="AB15" i="9" s="1"/>
  <c r="B16" i="8"/>
  <c r="AF7" i="6"/>
  <c r="D15" i="7"/>
  <c r="D16" i="7" s="1"/>
  <c r="D17" i="7" s="1"/>
  <c r="D18" i="7" s="1"/>
  <c r="D19" i="7" s="1"/>
  <c r="AA14" i="9"/>
  <c r="U6" i="6"/>
  <c r="AE14" i="9"/>
  <c r="K6" i="5"/>
  <c r="L7" i="5" l="1"/>
  <c r="AC16" i="8" a="1"/>
  <c r="AC16" i="8" s="1"/>
  <c r="C16" i="8"/>
  <c r="AB16" i="9" s="1"/>
  <c r="V6" i="6"/>
  <c r="AG7" i="6"/>
  <c r="AH7" i="6" s="1"/>
  <c r="AI7" i="6" s="1"/>
  <c r="AE16" i="9"/>
  <c r="AE15" i="9"/>
  <c r="C14" i="7"/>
  <c r="AA15" i="9" s="1"/>
  <c r="B15" i="7"/>
  <c r="S5" i="5"/>
  <c r="R5" i="5"/>
  <c r="Y6" i="6"/>
  <c r="N6" i="5"/>
  <c r="K7" i="3"/>
  <c r="L8" i="3" l="1"/>
  <c r="O6" i="5"/>
  <c r="P6" i="5"/>
  <c r="Q6" i="5"/>
  <c r="D53" i="2"/>
  <c r="E53" i="2" s="1"/>
  <c r="AL7" i="6"/>
  <c r="W6" i="6"/>
  <c r="X6" i="6" s="1"/>
  <c r="AJ7" i="6"/>
  <c r="AK7" i="6"/>
  <c r="G1" i="2" a="1"/>
  <c r="G1" i="2" s="1"/>
  <c r="B16" i="7"/>
  <c r="C15" i="7"/>
  <c r="AA16" i="9" s="1"/>
  <c r="Z6" i="6"/>
  <c r="N7" i="3"/>
  <c r="R6" i="3"/>
  <c r="S6" i="3"/>
  <c r="O7" i="3" l="1"/>
  <c r="P7" i="3"/>
  <c r="Q7" i="3"/>
  <c r="C18" i="1"/>
  <c r="F15" i="1"/>
  <c r="T7" i="6"/>
  <c r="AF8" i="6"/>
  <c r="C16" i="7"/>
  <c r="B17" i="7"/>
  <c r="D55" i="2" a="1"/>
  <c r="D55" i="2" s="1"/>
  <c r="D56" i="2" s="1"/>
  <c r="K7" i="5"/>
  <c r="L8" i="5" l="1"/>
  <c r="AG8" i="6"/>
  <c r="AH8" i="6" s="1"/>
  <c r="AL8" i="6" s="1"/>
  <c r="C17" i="7"/>
  <c r="B18" i="7"/>
  <c r="N7" i="5"/>
  <c r="K8" i="3"/>
  <c r="S6" i="5"/>
  <c r="R6" i="5"/>
  <c r="L9" i="3" l="1"/>
  <c r="O7" i="5"/>
  <c r="P7" i="5"/>
  <c r="Q7" i="5"/>
  <c r="AK8" i="6"/>
  <c r="AI8" i="6"/>
  <c r="AJ8" i="6" s="1"/>
  <c r="C18" i="7"/>
  <c r="B19" i="7"/>
  <c r="U7" i="6"/>
  <c r="N8" i="3"/>
  <c r="R7" i="3"/>
  <c r="S7" i="3"/>
  <c r="O8" i="3" l="1"/>
  <c r="P8" i="3"/>
  <c r="Q8" i="3"/>
  <c r="C19" i="7"/>
  <c r="C55" i="2" a="1"/>
  <c r="C55" i="2" s="1"/>
  <c r="C56" i="2" s="1"/>
  <c r="AF9" i="6"/>
  <c r="V7" i="6"/>
  <c r="Y7" i="6"/>
  <c r="K8" i="5"/>
  <c r="L9" i="5" l="1"/>
  <c r="E55" i="2"/>
  <c r="E56" i="2" s="1"/>
  <c r="W7" i="6"/>
  <c r="X7" i="6" s="1"/>
  <c r="Z7" i="6"/>
  <c r="AG9" i="6"/>
  <c r="AK9" i="6" s="1"/>
  <c r="N8" i="5"/>
  <c r="K9" i="3"/>
  <c r="R7" i="5"/>
  <c r="S7" i="5"/>
  <c r="L10" i="3" l="1"/>
  <c r="O8" i="5"/>
  <c r="P8" i="5"/>
  <c r="Q8" i="5"/>
  <c r="AH9" i="6"/>
  <c r="T8" i="6"/>
  <c r="S8" i="3"/>
  <c r="R8" i="3"/>
  <c r="N9" i="3"/>
  <c r="Q9" i="3" s="1"/>
  <c r="O9" i="3" l="1"/>
  <c r="P9" i="3"/>
  <c r="AL9" i="6"/>
  <c r="AI9" i="6"/>
  <c r="AJ9" i="6" s="1"/>
  <c r="AF10" i="6" s="1"/>
  <c r="K9" i="5"/>
  <c r="U8" i="6"/>
  <c r="L10" i="5" l="1"/>
  <c r="AG10" i="6"/>
  <c r="AK10" i="6" s="1"/>
  <c r="V8" i="6"/>
  <c r="S8" i="5"/>
  <c r="R8" i="5"/>
  <c r="N9" i="5"/>
  <c r="Y8" i="6"/>
  <c r="K10" i="3"/>
  <c r="L11" i="3" l="1"/>
  <c r="O9" i="5"/>
  <c r="P9" i="5"/>
  <c r="Q9" i="5"/>
  <c r="AH10" i="6"/>
  <c r="AL10" i="6" s="1"/>
  <c r="W8" i="6"/>
  <c r="X8" i="6" s="1"/>
  <c r="Z8" i="6"/>
  <c r="R9" i="3"/>
  <c r="S9" i="3"/>
  <c r="N10" i="3"/>
  <c r="O10" i="3" l="1"/>
  <c r="P10" i="3"/>
  <c r="Q10" i="3"/>
  <c r="AI10" i="6"/>
  <c r="AJ10" i="6" s="1"/>
  <c r="AF11" i="6" s="1"/>
  <c r="AG11" i="6" s="1"/>
  <c r="AK11" i="6" s="1"/>
  <c r="T9" i="6"/>
  <c r="K10" i="5"/>
  <c r="L11" i="5" l="1"/>
  <c r="AH11" i="6"/>
  <c r="K11" i="3"/>
  <c r="U9" i="6"/>
  <c r="Y9" i="6" s="1"/>
  <c r="N10" i="5"/>
  <c r="S9" i="5"/>
  <c r="R9" i="5"/>
  <c r="L12" i="3" l="1"/>
  <c r="O10" i="5"/>
  <c r="P10" i="5"/>
  <c r="Q10" i="5"/>
  <c r="AL11" i="6"/>
  <c r="AI11" i="6"/>
  <c r="AJ11" i="6" s="1"/>
  <c r="AF12" i="6" s="1"/>
  <c r="V9" i="6"/>
  <c r="W9" i="6" s="1"/>
  <c r="X9" i="6" s="1"/>
  <c r="T10" i="6" s="1"/>
  <c r="N11" i="3"/>
  <c r="R10" i="3"/>
  <c r="S10" i="3"/>
  <c r="O11" i="3" l="1"/>
  <c r="P11" i="3"/>
  <c r="Q11" i="3"/>
  <c r="AG12" i="6"/>
  <c r="AK12" i="6" s="1"/>
  <c r="Z9" i="6"/>
  <c r="K11" i="5"/>
  <c r="L12" i="5" l="1"/>
  <c r="AH12" i="6"/>
  <c r="U10" i="6"/>
  <c r="K12" i="3"/>
  <c r="S10" i="5"/>
  <c r="R10" i="5"/>
  <c r="N11" i="5"/>
  <c r="L13" i="3" l="1"/>
  <c r="O11" i="5"/>
  <c r="P11" i="5"/>
  <c r="Q11" i="5"/>
  <c r="AI12" i="6"/>
  <c r="AJ12" i="6" s="1"/>
  <c r="AF13" i="6" s="1"/>
  <c r="AL12" i="6"/>
  <c r="Y10" i="6"/>
  <c r="V10" i="6"/>
  <c r="W10" i="6" s="1"/>
  <c r="X10" i="6" s="1"/>
  <c r="T11" i="6" s="1"/>
  <c r="N12" i="3"/>
  <c r="S11" i="3"/>
  <c r="R11" i="3"/>
  <c r="O12" i="3" l="1"/>
  <c r="P12" i="3"/>
  <c r="Q12" i="3"/>
  <c r="AG13" i="6"/>
  <c r="AK13" i="6" s="1"/>
  <c r="Z10" i="6"/>
  <c r="K12" i="5"/>
  <c r="L13" i="5" l="1"/>
  <c r="AH13" i="6"/>
  <c r="U11" i="6"/>
  <c r="V11" i="6" s="1"/>
  <c r="W11" i="6" s="1"/>
  <c r="X11" i="6" s="1"/>
  <c r="T12" i="6" s="1"/>
  <c r="N12" i="5"/>
  <c r="R11" i="5"/>
  <c r="S11" i="5"/>
  <c r="K13" i="3"/>
  <c r="O12" i="5" l="1"/>
  <c r="P12" i="5"/>
  <c r="Q12" i="5"/>
  <c r="AL13" i="6"/>
  <c r="AI13" i="6"/>
  <c r="AJ13" i="6" s="1"/>
  <c r="AF14" i="6" s="1"/>
  <c r="Y11" i="6"/>
  <c r="N13" i="3"/>
  <c r="R12" i="3"/>
  <c r="S12" i="3"/>
  <c r="O13" i="3" l="1"/>
  <c r="P13" i="3"/>
  <c r="Q13" i="3"/>
  <c r="AG14" i="6"/>
  <c r="AK14" i="6" s="1"/>
  <c r="Z11" i="6"/>
  <c r="K13" i="5"/>
  <c r="C2" i="9" l="1"/>
  <c r="F2" i="7"/>
  <c r="AA2" i="7" s="1"/>
  <c r="AH14" i="6"/>
  <c r="U12" i="6"/>
  <c r="N13" i="5"/>
  <c r="R12" i="5"/>
  <c r="S12" i="5"/>
  <c r="O13" i="5" l="1"/>
  <c r="P13" i="5"/>
  <c r="Q13" i="5"/>
  <c r="Y12" i="6"/>
  <c r="V12" i="6"/>
  <c r="W12" i="6" s="1"/>
  <c r="X12" i="6" s="1"/>
  <c r="T13" i="6" s="1"/>
  <c r="AI14" i="6"/>
  <c r="AJ14" i="6" s="1"/>
  <c r="AF15" i="6" s="1"/>
  <c r="AL14" i="6"/>
  <c r="S13" i="3"/>
  <c r="I2" i="9" s="1"/>
  <c r="R13" i="3"/>
  <c r="D2" i="9" l="1"/>
  <c r="F2" i="8"/>
  <c r="AB2" i="8" s="1"/>
  <c r="AG15" i="6"/>
  <c r="AK15" i="6" s="1"/>
  <c r="Z12" i="6"/>
  <c r="C39" i="2"/>
  <c r="L2" i="7"/>
  <c r="M2" i="7" s="1"/>
  <c r="AF2" i="9"/>
  <c r="G2" i="7"/>
  <c r="Y2" i="9" l="1"/>
  <c r="K2" i="7"/>
  <c r="J3" i="7" s="1"/>
  <c r="AH15" i="6"/>
  <c r="U13" i="6"/>
  <c r="R13" i="5"/>
  <c r="S13" i="5"/>
  <c r="N3" i="7"/>
  <c r="O4" i="7" s="1"/>
  <c r="P5" i="7" s="1"/>
  <c r="Q6" i="7" s="1"/>
  <c r="R7" i="7" s="1"/>
  <c r="S8" i="7" s="1"/>
  <c r="E3" i="7"/>
  <c r="N2" i="7"/>
  <c r="AC2" i="9"/>
  <c r="C40" i="2"/>
  <c r="Y13" i="6" l="1"/>
  <c r="V13" i="6"/>
  <c r="W13" i="6" s="1"/>
  <c r="X13" i="6" s="1"/>
  <c r="T14" i="6" s="1"/>
  <c r="AL15" i="6"/>
  <c r="AI15" i="6"/>
  <c r="AJ15" i="6" s="1"/>
  <c r="O3" i="7"/>
  <c r="P4" i="7" s="1"/>
  <c r="Q5" i="7" s="1"/>
  <c r="R6" i="7" s="1"/>
  <c r="S7" i="7" s="1"/>
  <c r="T2" i="7"/>
  <c r="L2" i="9"/>
  <c r="H17" i="3"/>
  <c r="H25" i="3"/>
  <c r="H23" i="3"/>
  <c r="H24" i="3"/>
  <c r="H18" i="3"/>
  <c r="H15" i="3"/>
  <c r="H19" i="3"/>
  <c r="H20" i="3"/>
  <c r="H16" i="3"/>
  <c r="H21" i="3"/>
  <c r="H14" i="3"/>
  <c r="H22" i="3"/>
  <c r="J2" i="9"/>
  <c r="K2" i="9" s="1"/>
  <c r="I3" i="7"/>
  <c r="AG2" i="9"/>
  <c r="G2" i="8"/>
  <c r="D39" i="2"/>
  <c r="L2" i="8"/>
  <c r="M2" i="8" s="1"/>
  <c r="C41" i="2" a="1"/>
  <c r="C41" i="2" s="1"/>
  <c r="C46" i="2" s="1"/>
  <c r="Z2" i="9" l="1"/>
  <c r="K2" i="8"/>
  <c r="Z13" i="6"/>
  <c r="AF16" i="6"/>
  <c r="P2" i="9"/>
  <c r="U2" i="7"/>
  <c r="V2" i="7" s="1"/>
  <c r="J19" i="3"/>
  <c r="J25" i="3"/>
  <c r="J18" i="3"/>
  <c r="J20" i="3"/>
  <c r="J21" i="3"/>
  <c r="J14" i="3"/>
  <c r="J22" i="3"/>
  <c r="J17" i="3"/>
  <c r="J15" i="3"/>
  <c r="J23" i="3"/>
  <c r="J16" i="3"/>
  <c r="J24" i="3"/>
  <c r="U14" i="6"/>
  <c r="Y14" i="6" s="1"/>
  <c r="D40" i="2"/>
  <c r="E39" i="2"/>
  <c r="C43" i="2"/>
  <c r="C42" i="2"/>
  <c r="N3" i="8"/>
  <c r="O4" i="8" s="1"/>
  <c r="P5" i="8" s="1"/>
  <c r="Q6" i="8" s="1"/>
  <c r="R7" i="8" s="1"/>
  <c r="S8" i="8" s="1"/>
  <c r="E3" i="8"/>
  <c r="AD2" i="9"/>
  <c r="N2" i="8"/>
  <c r="N14" i="3" l="1"/>
  <c r="L15" i="3"/>
  <c r="V14" i="6"/>
  <c r="W14" i="6" s="1"/>
  <c r="X14" i="6" s="1"/>
  <c r="T15" i="6" s="1"/>
  <c r="AG16" i="6"/>
  <c r="AK16" i="6" s="1"/>
  <c r="W2" i="7"/>
  <c r="O3" i="8"/>
  <c r="P4" i="8" s="1"/>
  <c r="Q5" i="8" s="1"/>
  <c r="R6" i="8" s="1"/>
  <c r="S7" i="8" s="1"/>
  <c r="T2" i="8"/>
  <c r="I3" i="8"/>
  <c r="H25" i="5"/>
  <c r="H23" i="5"/>
  <c r="H21" i="5"/>
  <c r="H19" i="5"/>
  <c r="H20" i="5"/>
  <c r="H17" i="5"/>
  <c r="H22" i="5"/>
  <c r="H16" i="5"/>
  <c r="H14" i="5"/>
  <c r="H15" i="5"/>
  <c r="H18" i="5"/>
  <c r="H24" i="5"/>
  <c r="D41" i="2" a="1"/>
  <c r="D41" i="2" s="1"/>
  <c r="E40" i="2"/>
  <c r="M2" i="9"/>
  <c r="N2" i="9" s="1"/>
  <c r="J3" i="8"/>
  <c r="O14" i="3" l="1"/>
  <c r="P14" i="3"/>
  <c r="R14" i="3" s="1"/>
  <c r="Q14" i="3"/>
  <c r="K15" i="3" s="1"/>
  <c r="L16" i="3" s="1"/>
  <c r="AH16" i="6"/>
  <c r="U2" i="8"/>
  <c r="X2" i="7"/>
  <c r="Y2" i="7" s="1"/>
  <c r="D42" i="2"/>
  <c r="E42" i="2" s="1"/>
  <c r="D46" i="2"/>
  <c r="Z14" i="6"/>
  <c r="S14" i="3"/>
  <c r="J25" i="5"/>
  <c r="J15" i="5"/>
  <c r="J22" i="5"/>
  <c r="J19" i="5"/>
  <c r="J16" i="5"/>
  <c r="J23" i="5"/>
  <c r="J14" i="5"/>
  <c r="J20" i="5"/>
  <c r="J17" i="5"/>
  <c r="J24" i="5"/>
  <c r="J18" i="5"/>
  <c r="J21" i="5"/>
  <c r="D43" i="2"/>
  <c r="E41" i="2"/>
  <c r="N15" i="3" l="1"/>
  <c r="Q15" i="3"/>
  <c r="N14" i="5"/>
  <c r="L15" i="5"/>
  <c r="AL16" i="6"/>
  <c r="AI16" i="6"/>
  <c r="AJ16" i="6" s="1"/>
  <c r="AF17" i="6" s="1"/>
  <c r="V2" i="8"/>
  <c r="W2" i="8" s="1"/>
  <c r="X2" i="8" s="1"/>
  <c r="U15" i="6"/>
  <c r="E46" i="2"/>
  <c r="F16" i="1" s="1"/>
  <c r="E43" i="2"/>
  <c r="O15" i="3" l="1"/>
  <c r="P15" i="3"/>
  <c r="O14" i="5"/>
  <c r="P14" i="5"/>
  <c r="R14" i="5" s="1"/>
  <c r="Q14" i="5"/>
  <c r="K15" i="5" s="1"/>
  <c r="L16" i="5" s="1"/>
  <c r="Y15" i="6"/>
  <c r="V15" i="6"/>
  <c r="W15" i="6" s="1"/>
  <c r="X15" i="6" s="1"/>
  <c r="T16" i="6" s="1"/>
  <c r="AG17" i="6"/>
  <c r="AK17" i="6" s="1"/>
  <c r="Y2" i="8"/>
  <c r="K16" i="3"/>
  <c r="S14" i="5" l="1"/>
  <c r="L17" i="3"/>
  <c r="N15" i="5"/>
  <c r="Q15" i="5"/>
  <c r="AH17" i="6"/>
  <c r="Z15" i="6"/>
  <c r="S15" i="3"/>
  <c r="R15" i="3"/>
  <c r="N16" i="3"/>
  <c r="O16" i="3" l="1"/>
  <c r="P16" i="3"/>
  <c r="Q16" i="3"/>
  <c r="O15" i="5"/>
  <c r="P15" i="5"/>
  <c r="AI17" i="6"/>
  <c r="AJ17" i="6" s="1"/>
  <c r="AF18" i="6" s="1"/>
  <c r="AL17" i="6"/>
  <c r="O2" i="9"/>
  <c r="K16" i="5"/>
  <c r="L17" i="5" l="1"/>
  <c r="AG18" i="6"/>
  <c r="AK18" i="6" s="1"/>
  <c r="U16" i="6"/>
  <c r="K17" i="3"/>
  <c r="N16" i="5"/>
  <c r="R15" i="5"/>
  <c r="S15" i="5"/>
  <c r="L18" i="3" l="1"/>
  <c r="O16" i="5"/>
  <c r="P16" i="5"/>
  <c r="Q16" i="5"/>
  <c r="Y16" i="6"/>
  <c r="V16" i="6"/>
  <c r="W16" i="6" s="1"/>
  <c r="X16" i="6" s="1"/>
  <c r="T17" i="6" s="1"/>
  <c r="AH18" i="6"/>
  <c r="N17" i="3"/>
  <c r="R16" i="3"/>
  <c r="S16" i="3"/>
  <c r="O17" i="3" l="1"/>
  <c r="P17" i="3"/>
  <c r="Q17" i="3"/>
  <c r="AL18" i="6"/>
  <c r="AI18" i="6"/>
  <c r="AJ18" i="6" s="1"/>
  <c r="AF19" i="6" s="1"/>
  <c r="Z16" i="6"/>
  <c r="K17" i="5"/>
  <c r="L18" i="5" l="1"/>
  <c r="AG19" i="6"/>
  <c r="AK19" i="6" s="1"/>
  <c r="U17" i="6"/>
  <c r="N17" i="5"/>
  <c r="Q17" i="5" s="1"/>
  <c r="S16" i="5"/>
  <c r="R16" i="5"/>
  <c r="K18" i="3"/>
  <c r="L19" i="3" l="1"/>
  <c r="O17" i="5"/>
  <c r="P17" i="5"/>
  <c r="Y17" i="6"/>
  <c r="V17" i="6"/>
  <c r="W17" i="6" s="1"/>
  <c r="X17" i="6" s="1"/>
  <c r="T18" i="6" s="1"/>
  <c r="AH19" i="6"/>
  <c r="S17" i="3"/>
  <c r="R17" i="3"/>
  <c r="N18" i="3"/>
  <c r="O18" i="3" l="1"/>
  <c r="P18" i="3"/>
  <c r="Q18" i="3"/>
  <c r="AI19" i="6"/>
  <c r="AJ19" i="6" s="1"/>
  <c r="AF20" i="6" s="1"/>
  <c r="AL19" i="6"/>
  <c r="Z17" i="6"/>
  <c r="K18" i="5"/>
  <c r="L19" i="5" l="1"/>
  <c r="AG20" i="6"/>
  <c r="AK20" i="6" s="1"/>
  <c r="U18" i="6"/>
  <c r="K19" i="3"/>
  <c r="S17" i="5"/>
  <c r="R17" i="5"/>
  <c r="N18" i="5"/>
  <c r="L20" i="3" l="1"/>
  <c r="O18" i="5"/>
  <c r="P18" i="5"/>
  <c r="Q18" i="5"/>
  <c r="Y18" i="6"/>
  <c r="V18" i="6"/>
  <c r="W18" i="6" s="1"/>
  <c r="X18" i="6" s="1"/>
  <c r="T19" i="6" s="1"/>
  <c r="AH20" i="6"/>
  <c r="S18" i="3"/>
  <c r="R18" i="3"/>
  <c r="N19" i="3"/>
  <c r="O19" i="3" l="1"/>
  <c r="P19" i="3"/>
  <c r="Q19" i="3"/>
  <c r="Z18" i="6"/>
  <c r="AL20" i="6"/>
  <c r="AI20" i="6"/>
  <c r="AJ20" i="6" s="1"/>
  <c r="AF21" i="6" s="1"/>
  <c r="U19" i="6"/>
  <c r="V19" i="6" s="1"/>
  <c r="W19" i="6" s="1"/>
  <c r="X19" i="6" s="1"/>
  <c r="T20" i="6" s="1"/>
  <c r="K19" i="5"/>
  <c r="L20" i="5" l="1"/>
  <c r="AG21" i="6"/>
  <c r="AK21" i="6" s="1"/>
  <c r="Y19" i="6"/>
  <c r="N19" i="5"/>
  <c r="Q19" i="5" s="1"/>
  <c r="S18" i="5"/>
  <c r="R18" i="5"/>
  <c r="K20" i="3"/>
  <c r="L21" i="3" l="1"/>
  <c r="O19" i="5"/>
  <c r="P19" i="5"/>
  <c r="AH21" i="6"/>
  <c r="AI21" i="6" s="1"/>
  <c r="AJ21" i="6" s="1"/>
  <c r="AF22" i="6" s="1"/>
  <c r="AG22" i="6" s="1"/>
  <c r="AK22" i="6" s="1"/>
  <c r="Z19" i="6"/>
  <c r="R19" i="3"/>
  <c r="S19" i="3"/>
  <c r="N20" i="3"/>
  <c r="O20" i="3" l="1"/>
  <c r="P20" i="3"/>
  <c r="Q20" i="3"/>
  <c r="AL21" i="6"/>
  <c r="AH22" i="6"/>
  <c r="AI22" i="6" s="1"/>
  <c r="AJ22" i="6" s="1"/>
  <c r="AF23" i="6" s="1"/>
  <c r="U20" i="6"/>
  <c r="V20" i="6" s="1"/>
  <c r="W20" i="6" s="1"/>
  <c r="X20" i="6" s="1"/>
  <c r="T21" i="6" s="1"/>
  <c r="K20" i="5"/>
  <c r="L21" i="5" l="1"/>
  <c r="AG23" i="6"/>
  <c r="AK23" i="6" s="1"/>
  <c r="AL22" i="6"/>
  <c r="Y20" i="6"/>
  <c r="K21" i="3"/>
  <c r="R19" i="5"/>
  <c r="S19" i="5"/>
  <c r="N20" i="5"/>
  <c r="L22" i="3" l="1"/>
  <c r="O20" i="5"/>
  <c r="P20" i="5"/>
  <c r="Q20" i="5"/>
  <c r="AH23" i="6"/>
  <c r="AI23" i="6" s="1"/>
  <c r="AJ23" i="6" s="1"/>
  <c r="AF24" i="6" s="1"/>
  <c r="Z20" i="6"/>
  <c r="N21" i="3"/>
  <c r="R20" i="3"/>
  <c r="S20" i="3"/>
  <c r="O21" i="3" l="1"/>
  <c r="P21" i="3"/>
  <c r="Q21" i="3"/>
  <c r="AG24" i="6"/>
  <c r="AK24" i="6" s="1"/>
  <c r="AL23" i="6"/>
  <c r="U21" i="6"/>
  <c r="V21" i="6" s="1"/>
  <c r="W21" i="6" s="1"/>
  <c r="X21" i="6" s="1"/>
  <c r="T22" i="6" s="1"/>
  <c r="K21" i="5"/>
  <c r="L22" i="5" l="1"/>
  <c r="AH24" i="6"/>
  <c r="AI24" i="6" s="1"/>
  <c r="AJ24" i="6" s="1"/>
  <c r="AF25" i="6" s="1"/>
  <c r="Y21" i="6"/>
  <c r="K22" i="3"/>
  <c r="R20" i="5"/>
  <c r="S20" i="5"/>
  <c r="N21" i="5"/>
  <c r="L23" i="3" l="1"/>
  <c r="O21" i="5"/>
  <c r="P21" i="5"/>
  <c r="Q21" i="5"/>
  <c r="AG25" i="6"/>
  <c r="AK25" i="6" s="1"/>
  <c r="AL24" i="6"/>
  <c r="Z21" i="6"/>
  <c r="N22" i="3"/>
  <c r="S21" i="3"/>
  <c r="R21" i="3"/>
  <c r="O22" i="3" l="1"/>
  <c r="P22" i="3"/>
  <c r="Q22" i="3"/>
  <c r="AH25" i="6"/>
  <c r="AI25" i="6" s="1"/>
  <c r="AJ25" i="6" s="1"/>
  <c r="AF26" i="6" s="1"/>
  <c r="U22" i="6"/>
  <c r="K22" i="5"/>
  <c r="L23" i="5" l="1"/>
  <c r="AG26" i="6"/>
  <c r="AK26" i="6" s="1"/>
  <c r="Y22" i="6"/>
  <c r="V22" i="6"/>
  <c r="W22" i="6" s="1"/>
  <c r="X22" i="6" s="1"/>
  <c r="T23" i="6" s="1"/>
  <c r="AL25" i="6"/>
  <c r="K23" i="3"/>
  <c r="S21" i="5"/>
  <c r="R21" i="5"/>
  <c r="N22" i="5"/>
  <c r="L24" i="3" l="1"/>
  <c r="O22" i="5"/>
  <c r="P22" i="5"/>
  <c r="Q22" i="5"/>
  <c r="AH26" i="6"/>
  <c r="AI26" i="6" s="1"/>
  <c r="AJ26" i="6" s="1"/>
  <c r="AF27" i="6" s="1"/>
  <c r="AG27" i="6" s="1"/>
  <c r="AK27" i="6" s="1"/>
  <c r="Z22" i="6"/>
  <c r="N23" i="3"/>
  <c r="R22" i="3"/>
  <c r="S22" i="3"/>
  <c r="O23" i="3" l="1"/>
  <c r="P23" i="3"/>
  <c r="Q23" i="3"/>
  <c r="AL26" i="6"/>
  <c r="AH27" i="6"/>
  <c r="U23" i="6"/>
  <c r="K23" i="5"/>
  <c r="L24" i="5" l="1"/>
  <c r="AI27" i="6"/>
  <c r="AJ27" i="6" s="1"/>
  <c r="AL27" i="6"/>
  <c r="Y23" i="6"/>
  <c r="V23" i="6"/>
  <c r="W23" i="6" s="1"/>
  <c r="X23" i="6" s="1"/>
  <c r="T24" i="6" s="1"/>
  <c r="R22" i="5"/>
  <c r="S22" i="5"/>
  <c r="K24" i="3"/>
  <c r="N23" i="5"/>
  <c r="L25" i="3" l="1"/>
  <c r="O23" i="5"/>
  <c r="P23" i="5"/>
  <c r="Q23" i="5"/>
  <c r="AF28" i="6"/>
  <c r="P3" i="9"/>
  <c r="Z23" i="6"/>
  <c r="N24" i="3"/>
  <c r="S23" i="3"/>
  <c r="R23" i="3"/>
  <c r="O24" i="3" l="1"/>
  <c r="P24" i="3"/>
  <c r="Q24" i="3"/>
  <c r="AG28" i="6"/>
  <c r="AK28" i="6" s="1"/>
  <c r="U24" i="6"/>
  <c r="K24" i="5"/>
  <c r="L25" i="5" l="1"/>
  <c r="Y24" i="6"/>
  <c r="V24" i="6"/>
  <c r="W24" i="6" s="1"/>
  <c r="X24" i="6" s="1"/>
  <c r="T25" i="6" s="1"/>
  <c r="U25" i="6" s="1"/>
  <c r="AH28" i="6"/>
  <c r="N24" i="5"/>
  <c r="K25" i="3"/>
  <c r="R23" i="5"/>
  <c r="S23" i="5"/>
  <c r="O24" i="5" l="1"/>
  <c r="P24" i="5"/>
  <c r="Q24" i="5"/>
  <c r="Y25" i="6"/>
  <c r="AL28" i="6"/>
  <c r="AI28" i="6"/>
  <c r="AJ28" i="6" s="1"/>
  <c r="AF29" i="6" s="1"/>
  <c r="V25" i="6"/>
  <c r="W25" i="6" s="1"/>
  <c r="X25" i="6" s="1"/>
  <c r="T26" i="6" s="1"/>
  <c r="Z24" i="6"/>
  <c r="R24" i="3"/>
  <c r="S24" i="3"/>
  <c r="N25" i="3"/>
  <c r="O25" i="3" l="1"/>
  <c r="P25" i="3"/>
  <c r="Q25" i="3"/>
  <c r="U26" i="6"/>
  <c r="V26" i="6" s="1"/>
  <c r="W26" i="6" s="1"/>
  <c r="X26" i="6" s="1"/>
  <c r="T27" i="6" s="1"/>
  <c r="AG29" i="6"/>
  <c r="AK29" i="6" s="1"/>
  <c r="Z25" i="6"/>
  <c r="K25" i="5"/>
  <c r="C3" i="9" l="1"/>
  <c r="F3" i="7"/>
  <c r="AA3" i="7" s="1"/>
  <c r="AH29" i="6"/>
  <c r="AI29" i="6" s="1"/>
  <c r="AJ29" i="6" s="1"/>
  <c r="AF30" i="6" s="1"/>
  <c r="AG30" i="6" s="1"/>
  <c r="AK30" i="6" s="1"/>
  <c r="Y26" i="6"/>
  <c r="U27" i="6"/>
  <c r="V27" i="6" s="1"/>
  <c r="W27" i="6" s="1"/>
  <c r="X27" i="6" s="1"/>
  <c r="Z26" i="6"/>
  <c r="N25" i="5"/>
  <c r="S24" i="5"/>
  <c r="R24" i="5"/>
  <c r="O25" i="5" l="1"/>
  <c r="P25" i="5"/>
  <c r="Q25" i="5"/>
  <c r="AL29" i="6"/>
  <c r="Y27" i="6"/>
  <c r="Z27" i="6"/>
  <c r="T28" i="6"/>
  <c r="U28" i="6" s="1"/>
  <c r="O3" i="9"/>
  <c r="AH30" i="6"/>
  <c r="AI30" i="6" s="1"/>
  <c r="AJ30" i="6" s="1"/>
  <c r="AF31" i="6" s="1"/>
  <c r="T3" i="7"/>
  <c r="U3" i="7" s="1"/>
  <c r="R25" i="3"/>
  <c r="S25" i="3"/>
  <c r="I3" i="9" s="1"/>
  <c r="D3" i="9" l="1"/>
  <c r="F3" i="8"/>
  <c r="AB3" i="8" s="1"/>
  <c r="Y28" i="6"/>
  <c r="AG31" i="6"/>
  <c r="AK31" i="6" s="1"/>
  <c r="AL30" i="6"/>
  <c r="V28" i="6"/>
  <c r="W28" i="6" s="1"/>
  <c r="X28" i="6" s="1"/>
  <c r="T29" i="6" s="1"/>
  <c r="V3" i="7"/>
  <c r="W3" i="7" s="1"/>
  <c r="AF3" i="9"/>
  <c r="L3" i="7"/>
  <c r="M3" i="7" s="1"/>
  <c r="G3" i="7"/>
  <c r="E4" i="7" s="1"/>
  <c r="H28" i="3" l="1"/>
  <c r="I4" i="7"/>
  <c r="H36" i="3"/>
  <c r="H29" i="3"/>
  <c r="H33" i="3"/>
  <c r="H37" i="3"/>
  <c r="H26" i="3"/>
  <c r="H31" i="3"/>
  <c r="H27" i="3"/>
  <c r="H34" i="3"/>
  <c r="H32" i="3"/>
  <c r="H30" i="3"/>
  <c r="H35" i="3"/>
  <c r="Y3" i="9"/>
  <c r="K3" i="7"/>
  <c r="L3" i="9" s="1"/>
  <c r="AH31" i="6"/>
  <c r="AI31" i="6" s="1"/>
  <c r="AJ31" i="6" s="1"/>
  <c r="AF32" i="6" s="1"/>
  <c r="AG32" i="6" s="1"/>
  <c r="AK32" i="6" s="1"/>
  <c r="X3" i="7"/>
  <c r="Y3" i="7" s="1"/>
  <c r="T3" i="8"/>
  <c r="Z28" i="6"/>
  <c r="S25" i="5"/>
  <c r="R25" i="5"/>
  <c r="AC3" i="9"/>
  <c r="N4" i="7"/>
  <c r="O5" i="7" s="1"/>
  <c r="P6" i="7" s="1"/>
  <c r="Q7" i="7" s="1"/>
  <c r="R8" i="7" s="1"/>
  <c r="S9" i="7" s="1"/>
  <c r="J36" i="3" l="1"/>
  <c r="J29" i="3"/>
  <c r="J37" i="3"/>
  <c r="J30" i="3"/>
  <c r="J26" i="3"/>
  <c r="J31" i="3"/>
  <c r="J34" i="3"/>
  <c r="J27" i="3"/>
  <c r="J35" i="3"/>
  <c r="J28" i="3"/>
  <c r="J32" i="3"/>
  <c r="J33" i="3"/>
  <c r="AL31" i="6"/>
  <c r="AH32" i="6"/>
  <c r="AI32" i="6" s="1"/>
  <c r="AJ32" i="6" s="1"/>
  <c r="AF33" i="6" s="1"/>
  <c r="AG33" i="6" s="1"/>
  <c r="AK33" i="6" s="1"/>
  <c r="U3" i="8"/>
  <c r="V3" i="8" s="1"/>
  <c r="U29" i="6"/>
  <c r="AG3" i="9"/>
  <c r="L3" i="8"/>
  <c r="M3" i="8" s="1"/>
  <c r="G3" i="8"/>
  <c r="J3" i="9"/>
  <c r="K3" i="9" s="1"/>
  <c r="J4" i="7"/>
  <c r="N26" i="3" l="1"/>
  <c r="L27" i="3"/>
  <c r="Z3" i="9"/>
  <c r="K3" i="8"/>
  <c r="M3" i="9" s="1"/>
  <c r="N3" i="9" s="1"/>
  <c r="AL32" i="6"/>
  <c r="AH33" i="6"/>
  <c r="AI33" i="6" s="1"/>
  <c r="AJ33" i="6" s="1"/>
  <c r="AF34" i="6" s="1"/>
  <c r="Y29" i="6"/>
  <c r="V29" i="6"/>
  <c r="W29" i="6" s="1"/>
  <c r="X29" i="6" s="1"/>
  <c r="T30" i="6" s="1"/>
  <c r="W3" i="8"/>
  <c r="X3" i="8" s="1"/>
  <c r="AD3" i="9"/>
  <c r="N4" i="8"/>
  <c r="O5" i="8" s="1"/>
  <c r="P6" i="8" s="1"/>
  <c r="Q7" i="8" s="1"/>
  <c r="R8" i="8" s="1"/>
  <c r="S9" i="8" s="1"/>
  <c r="E4" i="8"/>
  <c r="O26" i="3" l="1"/>
  <c r="P26" i="3"/>
  <c r="R26" i="3" s="1"/>
  <c r="Q26" i="3"/>
  <c r="K27" i="3" s="1"/>
  <c r="N27" i="3" s="1"/>
  <c r="AL33" i="6"/>
  <c r="AG34" i="6"/>
  <c r="AK34" i="6" s="1"/>
  <c r="Y3" i="8"/>
  <c r="J4" i="8"/>
  <c r="Z29" i="6"/>
  <c r="I4" i="8"/>
  <c r="H32" i="5"/>
  <c r="H30" i="5"/>
  <c r="H37" i="5"/>
  <c r="H35" i="5"/>
  <c r="H33" i="5"/>
  <c r="H36" i="5"/>
  <c r="H27" i="5"/>
  <c r="H28" i="5"/>
  <c r="H31" i="5"/>
  <c r="H34" i="5"/>
  <c r="H26" i="5"/>
  <c r="H29" i="5"/>
  <c r="O27" i="3" l="1"/>
  <c r="P27" i="3"/>
  <c r="S26" i="3"/>
  <c r="Q27" i="3"/>
  <c r="L28" i="3"/>
  <c r="AH34" i="6"/>
  <c r="AI34" i="6" s="1"/>
  <c r="AJ34" i="6" s="1"/>
  <c r="AF35" i="6" s="1"/>
  <c r="AG35" i="6" s="1"/>
  <c r="AK35" i="6" s="1"/>
  <c r="U30" i="6"/>
  <c r="J37" i="5"/>
  <c r="J35" i="5"/>
  <c r="J34" i="5"/>
  <c r="J32" i="5"/>
  <c r="J26" i="5"/>
  <c r="J30" i="5"/>
  <c r="J28" i="5"/>
  <c r="J31" i="5"/>
  <c r="J33" i="5"/>
  <c r="J27" i="5"/>
  <c r="J29" i="5"/>
  <c r="J36" i="5"/>
  <c r="N26" i="5" l="1"/>
  <c r="L27" i="5"/>
  <c r="K28" i="3"/>
  <c r="AL34" i="6"/>
  <c r="AH35" i="6"/>
  <c r="AI35" i="6" s="1"/>
  <c r="AJ35" i="6" s="1"/>
  <c r="AF36" i="6" s="1"/>
  <c r="Y30" i="6"/>
  <c r="V30" i="6"/>
  <c r="W30" i="6" s="1"/>
  <c r="X30" i="6" s="1"/>
  <c r="T31" i="6" s="1"/>
  <c r="L29" i="3" l="1"/>
  <c r="O26" i="5"/>
  <c r="P26" i="5"/>
  <c r="R26" i="5" s="1"/>
  <c r="Q26" i="5"/>
  <c r="K27" i="5" s="1"/>
  <c r="S27" i="3"/>
  <c r="R27" i="3"/>
  <c r="N28" i="3"/>
  <c r="AL35" i="6"/>
  <c r="AG36" i="6"/>
  <c r="AK36" i="6" s="1"/>
  <c r="Z30" i="6"/>
  <c r="O28" i="3" l="1"/>
  <c r="P28" i="3"/>
  <c r="S26" i="5"/>
  <c r="Q28" i="3"/>
  <c r="N27" i="5"/>
  <c r="Q27" i="5"/>
  <c r="L28" i="5"/>
  <c r="AH36" i="6"/>
  <c r="AI36" i="6" s="1"/>
  <c r="AJ36" i="6" s="1"/>
  <c r="AF37" i="6" s="1"/>
  <c r="U31" i="6"/>
  <c r="O27" i="5" l="1"/>
  <c r="P27" i="5"/>
  <c r="K29" i="3"/>
  <c r="AG37" i="6"/>
  <c r="AK37" i="6" s="1"/>
  <c r="Y31" i="6"/>
  <c r="V31" i="6"/>
  <c r="W31" i="6" s="1"/>
  <c r="X31" i="6" s="1"/>
  <c r="T32" i="6" s="1"/>
  <c r="AL36" i="6"/>
  <c r="K28" i="5"/>
  <c r="L30" i="3" l="1"/>
  <c r="L29" i="5"/>
  <c r="S28" i="3"/>
  <c r="R28" i="3"/>
  <c r="N29" i="3"/>
  <c r="Q29" i="3" s="1"/>
  <c r="AH37" i="6"/>
  <c r="AI37" i="6" s="1"/>
  <c r="AJ37" i="6" s="1"/>
  <c r="AF38" i="6" s="1"/>
  <c r="Z31" i="6"/>
  <c r="R27" i="5"/>
  <c r="S27" i="5"/>
  <c r="N28" i="5"/>
  <c r="O29" i="3" l="1"/>
  <c r="P29" i="3"/>
  <c r="O28" i="5"/>
  <c r="P28" i="5"/>
  <c r="Q28" i="5"/>
  <c r="AG38" i="6"/>
  <c r="AK38" i="6" s="1"/>
  <c r="AL37" i="6"/>
  <c r="U32" i="6"/>
  <c r="K30" i="3" l="1"/>
  <c r="Y32" i="6"/>
  <c r="V32" i="6"/>
  <c r="W32" i="6" s="1"/>
  <c r="X32" i="6" s="1"/>
  <c r="T33" i="6" s="1"/>
  <c r="AH38" i="6"/>
  <c r="AI38" i="6" s="1"/>
  <c r="AJ38" i="6" s="1"/>
  <c r="AF39" i="6" s="1"/>
  <c r="K29" i="5"/>
  <c r="L31" i="3" l="1"/>
  <c r="L30" i="5"/>
  <c r="N30" i="3"/>
  <c r="R29" i="3"/>
  <c r="S29" i="3"/>
  <c r="AL38" i="6"/>
  <c r="AG39" i="6"/>
  <c r="AK39" i="6" s="1"/>
  <c r="U33" i="6"/>
  <c r="Y33" i="6" s="1"/>
  <c r="Z32" i="6"/>
  <c r="R28" i="5"/>
  <c r="S28" i="5"/>
  <c r="N29" i="5"/>
  <c r="O30" i="3" l="1"/>
  <c r="P30" i="3"/>
  <c r="Q30" i="3"/>
  <c r="O29" i="5"/>
  <c r="P29" i="5"/>
  <c r="Q29" i="5"/>
  <c r="V33" i="6"/>
  <c r="W33" i="6" s="1"/>
  <c r="X33" i="6" s="1"/>
  <c r="T34" i="6" s="1"/>
  <c r="U34" i="6" s="1"/>
  <c r="Y34" i="6" s="1"/>
  <c r="AH39" i="6"/>
  <c r="AI39" i="6" s="1"/>
  <c r="AJ39" i="6" s="1"/>
  <c r="AF40" i="6" s="1"/>
  <c r="P4" i="9"/>
  <c r="K31" i="3" l="1"/>
  <c r="V34" i="6"/>
  <c r="W34" i="6" s="1"/>
  <c r="X34" i="6" s="1"/>
  <c r="T35" i="6" s="1"/>
  <c r="Z33" i="6"/>
  <c r="AL39" i="6"/>
  <c r="AG40" i="6"/>
  <c r="AK40" i="6" s="1"/>
  <c r="K30" i="5"/>
  <c r="L32" i="3" l="1"/>
  <c r="L31" i="5"/>
  <c r="N31" i="3"/>
  <c r="S30" i="3"/>
  <c r="R30" i="3"/>
  <c r="AH40" i="6"/>
  <c r="Z34" i="6"/>
  <c r="N30" i="5"/>
  <c r="R29" i="5"/>
  <c r="S29" i="5"/>
  <c r="O31" i="3" l="1"/>
  <c r="P31" i="3"/>
  <c r="Q31" i="3"/>
  <c r="O30" i="5"/>
  <c r="P30" i="5"/>
  <c r="Q30" i="5"/>
  <c r="AI40" i="6"/>
  <c r="AJ40" i="6" s="1"/>
  <c r="AF41" i="6" s="1"/>
  <c r="AL40" i="6"/>
  <c r="U35" i="6"/>
  <c r="K32" i="3" l="1"/>
  <c r="Y35" i="6"/>
  <c r="V35" i="6"/>
  <c r="W35" i="6" s="1"/>
  <c r="X35" i="6" s="1"/>
  <c r="T36" i="6" s="1"/>
  <c r="AG41" i="6"/>
  <c r="AK41" i="6" s="1"/>
  <c r="K31" i="5"/>
  <c r="L33" i="3" l="1"/>
  <c r="L32" i="5"/>
  <c r="N32" i="3"/>
  <c r="R31" i="3"/>
  <c r="S31" i="3"/>
  <c r="Z35" i="6"/>
  <c r="AH41" i="6"/>
  <c r="U36" i="6"/>
  <c r="Y36" i="6" s="1"/>
  <c r="S30" i="5"/>
  <c r="R30" i="5"/>
  <c r="N31" i="5"/>
  <c r="O32" i="3" l="1"/>
  <c r="P32" i="3"/>
  <c r="Q32" i="3"/>
  <c r="O31" i="5"/>
  <c r="P31" i="5"/>
  <c r="Q31" i="5"/>
  <c r="R32" i="3"/>
  <c r="AL41" i="6"/>
  <c r="AI41" i="6"/>
  <c r="AJ41" i="6" s="1"/>
  <c r="AF42" i="6" s="1"/>
  <c r="V36" i="6"/>
  <c r="W36" i="6" s="1"/>
  <c r="X36" i="6" s="1"/>
  <c r="T37" i="6" s="1"/>
  <c r="K33" i="3" l="1"/>
  <c r="S32" i="3"/>
  <c r="AG42" i="6"/>
  <c r="AK42" i="6" s="1"/>
  <c r="Z36" i="6"/>
  <c r="K32" i="5"/>
  <c r="N33" i="3" l="1"/>
  <c r="Q33" i="3"/>
  <c r="L34" i="3"/>
  <c r="L33" i="5"/>
  <c r="K34" i="3"/>
  <c r="AH42" i="6"/>
  <c r="AL42" i="6" s="1"/>
  <c r="U37" i="6"/>
  <c r="N32" i="5"/>
  <c r="S31" i="5"/>
  <c r="R31" i="5"/>
  <c r="L35" i="3" l="1"/>
  <c r="O33" i="3"/>
  <c r="P33" i="3"/>
  <c r="S33" i="3" s="1"/>
  <c r="O32" i="5"/>
  <c r="P32" i="5"/>
  <c r="Q32" i="5"/>
  <c r="N34" i="3"/>
  <c r="Q34" i="3" s="1"/>
  <c r="AI42" i="6"/>
  <c r="AJ42" i="6" s="1"/>
  <c r="AF43" i="6" s="1"/>
  <c r="AG43" i="6" s="1"/>
  <c r="AK43" i="6" s="1"/>
  <c r="Y37" i="6"/>
  <c r="V37" i="6"/>
  <c r="W37" i="6" s="1"/>
  <c r="X37" i="6" s="1"/>
  <c r="T38" i="6" s="1"/>
  <c r="R33" i="3" l="1"/>
  <c r="O34" i="3"/>
  <c r="P34" i="3"/>
  <c r="R34" i="3" s="1"/>
  <c r="K35" i="3"/>
  <c r="L36" i="3" s="1"/>
  <c r="AH43" i="6"/>
  <c r="Z37" i="6"/>
  <c r="U38" i="6"/>
  <c r="V38" i="6" s="1"/>
  <c r="W38" i="6" s="1"/>
  <c r="X38" i="6" s="1"/>
  <c r="T39" i="6" s="1"/>
  <c r="K33" i="5"/>
  <c r="S34" i="3" l="1"/>
  <c r="L34" i="5"/>
  <c r="N35" i="3"/>
  <c r="Q35" i="3" s="1"/>
  <c r="AL43" i="6"/>
  <c r="AI43" i="6"/>
  <c r="AJ43" i="6" s="1"/>
  <c r="AF44" i="6" s="1"/>
  <c r="Y38" i="6"/>
  <c r="N33" i="5"/>
  <c r="S32" i="5"/>
  <c r="R32" i="5"/>
  <c r="O35" i="3" l="1"/>
  <c r="P35" i="3"/>
  <c r="R35" i="3" s="1"/>
  <c r="O33" i="5"/>
  <c r="P33" i="5"/>
  <c r="Q33" i="5"/>
  <c r="K36" i="3"/>
  <c r="S35" i="3"/>
  <c r="AG44" i="6"/>
  <c r="AK44" i="6" s="1"/>
  <c r="Z38" i="6"/>
  <c r="L37" i="3" l="1"/>
  <c r="N36" i="3"/>
  <c r="Q36" i="3" s="1"/>
  <c r="AH44" i="6"/>
  <c r="U39" i="6"/>
  <c r="K34" i="5"/>
  <c r="O36" i="3" l="1"/>
  <c r="P36" i="3"/>
  <c r="R36" i="3" s="1"/>
  <c r="L35" i="5"/>
  <c r="K37" i="3"/>
  <c r="Y39" i="6"/>
  <c r="V39" i="6"/>
  <c r="W39" i="6" s="1"/>
  <c r="X39" i="6" s="1"/>
  <c r="T40" i="6" s="1"/>
  <c r="AL44" i="6"/>
  <c r="AI44" i="6"/>
  <c r="AJ44" i="6" s="1"/>
  <c r="AF45" i="6" s="1"/>
  <c r="N34" i="5"/>
  <c r="S33" i="5"/>
  <c r="R33" i="5"/>
  <c r="S36" i="3" l="1"/>
  <c r="N37" i="3"/>
  <c r="Q37" i="3" s="1"/>
  <c r="O34" i="5"/>
  <c r="P34" i="5"/>
  <c r="Q34" i="5"/>
  <c r="Z39" i="6"/>
  <c r="AG45" i="6"/>
  <c r="AK45" i="6" s="1"/>
  <c r="O4" i="9"/>
  <c r="C4" i="9" l="1"/>
  <c r="F4" i="7"/>
  <c r="O37" i="3"/>
  <c r="P37" i="3"/>
  <c r="R37" i="3" s="1"/>
  <c r="AH45" i="6"/>
  <c r="U40" i="6"/>
  <c r="K35" i="5"/>
  <c r="S37" i="3" l="1"/>
  <c r="L36" i="5"/>
  <c r="I4" i="9"/>
  <c r="Y40" i="6"/>
  <c r="V40" i="6"/>
  <c r="W40" i="6" s="1"/>
  <c r="X40" i="6" s="1"/>
  <c r="T41" i="6" s="1"/>
  <c r="AL45" i="6"/>
  <c r="AI45" i="6"/>
  <c r="AJ45" i="6" s="1"/>
  <c r="AF46" i="6" s="1"/>
  <c r="N35" i="5"/>
  <c r="S34" i="5"/>
  <c r="R34" i="5"/>
  <c r="O35" i="5" l="1"/>
  <c r="P35" i="5"/>
  <c r="Q35" i="5"/>
  <c r="Z40" i="6"/>
  <c r="AG46" i="6"/>
  <c r="AK46" i="6" s="1"/>
  <c r="U41" i="6"/>
  <c r="Y41" i="6" s="1"/>
  <c r="V41" i="6" l="1"/>
  <c r="W41" i="6" s="1"/>
  <c r="X41" i="6" s="1"/>
  <c r="T42" i="6" s="1"/>
  <c r="AH46" i="6"/>
  <c r="K36" i="5"/>
  <c r="L37" i="5" l="1"/>
  <c r="Z41" i="6"/>
  <c r="AL46" i="6"/>
  <c r="AI46" i="6"/>
  <c r="AJ46" i="6" s="1"/>
  <c r="AF47" i="6" s="1"/>
  <c r="U42" i="6"/>
  <c r="R35" i="5"/>
  <c r="S35" i="5"/>
  <c r="N36" i="5"/>
  <c r="O36" i="5" l="1"/>
  <c r="P36" i="5"/>
  <c r="Q36" i="5"/>
  <c r="Y42" i="6"/>
  <c r="V42" i="6"/>
  <c r="W42" i="6" s="1"/>
  <c r="X42" i="6" s="1"/>
  <c r="T43" i="6" s="1"/>
  <c r="AG47" i="6"/>
  <c r="AK47" i="6" s="1"/>
  <c r="AH47" i="6" l="1"/>
  <c r="AI47" i="6" s="1"/>
  <c r="AJ47" i="6" s="1"/>
  <c r="AF48" i="6" s="1"/>
  <c r="AG48" i="6" s="1"/>
  <c r="AK48" i="6" s="1"/>
  <c r="Z42" i="6"/>
  <c r="U43" i="6"/>
  <c r="V43" i="6" s="1"/>
  <c r="W43" i="6" s="1"/>
  <c r="X43" i="6" s="1"/>
  <c r="T44" i="6" s="1"/>
  <c r="K37" i="5"/>
  <c r="AL47" i="6" l="1"/>
  <c r="AH48" i="6"/>
  <c r="AI48" i="6" s="1"/>
  <c r="AJ48" i="6" s="1"/>
  <c r="AF49" i="6" s="1"/>
  <c r="Y43" i="6"/>
  <c r="R36" i="5"/>
  <c r="S36" i="5"/>
  <c r="N37" i="5"/>
  <c r="O37" i="5" l="1"/>
  <c r="P37" i="5"/>
  <c r="Q37" i="5"/>
  <c r="AG49" i="6"/>
  <c r="AK49" i="6" s="1"/>
  <c r="AL48" i="6"/>
  <c r="Z43" i="6"/>
  <c r="D4" i="9" l="1"/>
  <c r="F4" i="8"/>
  <c r="AH49" i="6"/>
  <c r="AI49" i="6" s="1"/>
  <c r="AJ49" i="6" s="1"/>
  <c r="AF50" i="6" s="1"/>
  <c r="U44" i="6"/>
  <c r="Y44" i="6" l="1"/>
  <c r="V44" i="6"/>
  <c r="W44" i="6" s="1"/>
  <c r="X44" i="6" s="1"/>
  <c r="T45" i="6" s="1"/>
  <c r="U45" i="6" s="1"/>
  <c r="AG50" i="6"/>
  <c r="AK50" i="6" s="1"/>
  <c r="AL49" i="6"/>
  <c r="T4" i="8"/>
  <c r="U4" i="8" s="1"/>
  <c r="R37" i="5"/>
  <c r="S37" i="5"/>
  <c r="Y45" i="6" l="1"/>
  <c r="AH50" i="6"/>
  <c r="AI50" i="6" s="1"/>
  <c r="AJ50" i="6" s="1"/>
  <c r="AF51" i="6" s="1"/>
  <c r="AG51" i="6" s="1"/>
  <c r="AH51" i="6" s="1"/>
  <c r="V45" i="6"/>
  <c r="W45" i="6" s="1"/>
  <c r="X45" i="6" s="1"/>
  <c r="T46" i="6" s="1"/>
  <c r="V4" i="8"/>
  <c r="Z44" i="6"/>
  <c r="J4" i="9"/>
  <c r="K4" i="9" s="1"/>
  <c r="AL50" i="6" l="1"/>
  <c r="AL51" i="6" s="1"/>
  <c r="AI51" i="6"/>
  <c r="AJ51" i="6" s="1"/>
  <c r="AK51" i="6"/>
  <c r="W4" i="8"/>
  <c r="Z45" i="6"/>
  <c r="AF52" i="6" l="1"/>
  <c r="P5" i="9"/>
  <c r="X4" i="8"/>
  <c r="Y4" i="8" s="1"/>
  <c r="U46" i="6"/>
  <c r="Y46" i="6" l="1"/>
  <c r="V46" i="6"/>
  <c r="W46" i="6" s="1"/>
  <c r="X46" i="6" s="1"/>
  <c r="T47" i="6" s="1"/>
  <c r="AG52" i="6"/>
  <c r="AK52" i="6" s="1"/>
  <c r="AH52" i="6" l="1"/>
  <c r="Z46" i="6"/>
  <c r="U47" i="6"/>
  <c r="Y47" i="6" s="1"/>
  <c r="V47" i="6" l="1"/>
  <c r="W47" i="6" s="1"/>
  <c r="X47" i="6" s="1"/>
  <c r="T48" i="6" s="1"/>
  <c r="AL52" i="6"/>
  <c r="AI52" i="6"/>
  <c r="AJ52" i="6" s="1"/>
  <c r="AF53" i="6" s="1"/>
  <c r="AG53" i="6" l="1"/>
  <c r="AK53" i="6" s="1"/>
  <c r="Z47" i="6"/>
  <c r="U48" i="6"/>
  <c r="Y48" i="6" s="1"/>
  <c r="AH53" i="6" l="1"/>
  <c r="AI53" i="6" s="1"/>
  <c r="AJ53" i="6" s="1"/>
  <c r="AF54" i="6" s="1"/>
  <c r="V48" i="6"/>
  <c r="W48" i="6" s="1"/>
  <c r="X48" i="6" s="1"/>
  <c r="T49" i="6" s="1"/>
  <c r="AG54" i="6" l="1"/>
  <c r="AK54" i="6" s="1"/>
  <c r="AL53" i="6"/>
  <c r="Z48" i="6"/>
  <c r="AH54" i="6" l="1"/>
  <c r="AI54" i="6" s="1"/>
  <c r="AJ54" i="6" s="1"/>
  <c r="AF55" i="6" s="1"/>
  <c r="AG55" i="6" s="1"/>
  <c r="AK55" i="6" s="1"/>
  <c r="U49" i="6"/>
  <c r="AH55" i="6" l="1"/>
  <c r="AI55" i="6" s="1"/>
  <c r="AJ55" i="6" s="1"/>
  <c r="AF56" i="6" s="1"/>
  <c r="AG56" i="6" s="1"/>
  <c r="AK56" i="6" s="1"/>
  <c r="AL54" i="6"/>
  <c r="Y49" i="6"/>
  <c r="V49" i="6"/>
  <c r="W49" i="6" s="1"/>
  <c r="X49" i="6" s="1"/>
  <c r="T50" i="6" s="1"/>
  <c r="AL55" i="6" l="1"/>
  <c r="AH56" i="6"/>
  <c r="AI56" i="6" s="1"/>
  <c r="AJ56" i="6" s="1"/>
  <c r="AF57" i="6" s="1"/>
  <c r="Z49" i="6"/>
  <c r="AG57" i="6" l="1"/>
  <c r="AK57" i="6" s="1"/>
  <c r="AL56" i="6"/>
  <c r="U50" i="6"/>
  <c r="Y50" i="6" l="1"/>
  <c r="V50" i="6"/>
  <c r="W50" i="6" s="1"/>
  <c r="X50" i="6" s="1"/>
  <c r="T51" i="6" s="1"/>
  <c r="AH57" i="6"/>
  <c r="AI57" i="6" s="1"/>
  <c r="AJ57" i="6" s="1"/>
  <c r="AF58" i="6" s="1"/>
  <c r="AG58" i="6" l="1"/>
  <c r="AK58" i="6" s="1"/>
  <c r="AL57" i="6"/>
  <c r="Z50" i="6"/>
  <c r="AH58" i="6" l="1"/>
  <c r="AI58" i="6" s="1"/>
  <c r="AJ58" i="6" s="1"/>
  <c r="AF59" i="6" s="1"/>
  <c r="AG59" i="6" s="1"/>
  <c r="AK59" i="6" s="1"/>
  <c r="U51" i="6"/>
  <c r="AL58" i="6" l="1"/>
  <c r="Y51" i="6"/>
  <c r="V51" i="6"/>
  <c r="W51" i="6" s="1"/>
  <c r="X51" i="6" s="1"/>
  <c r="T52" i="6" s="1"/>
  <c r="AH59" i="6"/>
  <c r="AI59" i="6" s="1"/>
  <c r="AJ59" i="6" s="1"/>
  <c r="AF60" i="6" s="1"/>
  <c r="AG60" i="6" l="1"/>
  <c r="AK60" i="6" s="1"/>
  <c r="AL59" i="6"/>
  <c r="Z51" i="6"/>
  <c r="AH60" i="6" l="1"/>
  <c r="AI60" i="6" s="1"/>
  <c r="AJ60" i="6" s="1"/>
  <c r="AF61" i="6" s="1"/>
  <c r="O5" i="9"/>
  <c r="AL60" i="6" l="1"/>
  <c r="AG61" i="6"/>
  <c r="AK61" i="6" s="1"/>
  <c r="U52" i="6"/>
  <c r="AH61" i="6" l="1"/>
  <c r="AI61" i="6" s="1"/>
  <c r="AJ61" i="6" s="1"/>
  <c r="AF62" i="6" s="1"/>
  <c r="Y52" i="6"/>
  <c r="V52" i="6"/>
  <c r="W52" i="6" s="1"/>
  <c r="X52" i="6" s="1"/>
  <c r="T53" i="6" s="1"/>
  <c r="Z52" i="6" l="1"/>
  <c r="AG62" i="6"/>
  <c r="AK62" i="6" s="1"/>
  <c r="AL61" i="6"/>
  <c r="U53" i="6"/>
  <c r="Y53" i="6" s="1"/>
  <c r="AH62" i="6" l="1"/>
  <c r="AI62" i="6" s="1"/>
  <c r="AJ62" i="6" s="1"/>
  <c r="AF63" i="6" s="1"/>
  <c r="AG63" i="6" s="1"/>
  <c r="AH63" i="6" s="1"/>
  <c r="AI63" i="6" s="1"/>
  <c r="AJ63" i="6" s="1"/>
  <c r="AF64" i="6" s="1"/>
  <c r="AG64" i="6" s="1"/>
  <c r="P6" i="9"/>
  <c r="V53" i="6"/>
  <c r="W53" i="6" s="1"/>
  <c r="X53" i="6" s="1"/>
  <c r="T54" i="6" s="1"/>
  <c r="AL62" i="6" l="1"/>
  <c r="AL63" i="6" s="1"/>
  <c r="AK63" i="6"/>
  <c r="AK64" i="6" s="1"/>
  <c r="Z53" i="6"/>
  <c r="AH64" i="6"/>
  <c r="AI64" i="6" s="1"/>
  <c r="AJ64" i="6" s="1"/>
  <c r="AF65" i="6" s="1"/>
  <c r="U54" i="6"/>
  <c r="Y54" i="6" s="1"/>
  <c r="V54" i="6" l="1"/>
  <c r="W54" i="6" s="1"/>
  <c r="X54" i="6" s="1"/>
  <c r="T55" i="6" s="1"/>
  <c r="AL64" i="6"/>
  <c r="Z54" i="6" l="1"/>
  <c r="U55" i="6"/>
  <c r="Y55" i="6" s="1"/>
  <c r="AG65" i="6"/>
  <c r="AK65" i="6" l="1"/>
  <c r="AH65" i="6"/>
  <c r="AI65" i="6" s="1"/>
  <c r="AJ65" i="6" s="1"/>
  <c r="AF66" i="6" s="1"/>
  <c r="AG66" i="6" s="1"/>
  <c r="V55" i="6"/>
  <c r="W55" i="6" s="1"/>
  <c r="X55" i="6" s="1"/>
  <c r="T56" i="6" s="1"/>
  <c r="Z55" i="6" l="1"/>
  <c r="AH66" i="6"/>
  <c r="AI66" i="6" s="1"/>
  <c r="AJ66" i="6" s="1"/>
  <c r="AF67" i="6" s="1"/>
  <c r="AL65" i="6"/>
  <c r="AK66" i="6"/>
  <c r="U56" i="6"/>
  <c r="Y56" i="6" s="1"/>
  <c r="AG67" i="6" l="1"/>
  <c r="AH67" i="6" s="1"/>
  <c r="AI67" i="6" s="1"/>
  <c r="AJ67" i="6" s="1"/>
  <c r="AF68" i="6" s="1"/>
  <c r="AL66" i="6"/>
  <c r="V56" i="6"/>
  <c r="W56" i="6" s="1"/>
  <c r="X56" i="6" s="1"/>
  <c r="T57" i="6" s="1"/>
  <c r="AG68" i="6" l="1"/>
  <c r="AH68" i="6" s="1"/>
  <c r="AI68" i="6" s="1"/>
  <c r="AJ68" i="6" s="1"/>
  <c r="AF69" i="6" s="1"/>
  <c r="AK67" i="6"/>
  <c r="AL67" i="6"/>
  <c r="Z56" i="6"/>
  <c r="AL68" i="6" l="1"/>
  <c r="AK68" i="6"/>
  <c r="AG69" i="6"/>
  <c r="U57" i="6"/>
  <c r="AK69" i="6" l="1"/>
  <c r="Y57" i="6"/>
  <c r="V57" i="6"/>
  <c r="W57" i="6" s="1"/>
  <c r="X57" i="6" s="1"/>
  <c r="T58" i="6" s="1"/>
  <c r="AH69" i="6"/>
  <c r="AI69" i="6" l="1"/>
  <c r="AJ69" i="6" s="1"/>
  <c r="AF70" i="6" s="1"/>
  <c r="AL69" i="6"/>
  <c r="Z57" i="6"/>
  <c r="AG70" i="6" l="1"/>
  <c r="U58" i="6"/>
  <c r="AK70" i="6" l="1"/>
  <c r="Y58" i="6"/>
  <c r="V58" i="6"/>
  <c r="W58" i="6" s="1"/>
  <c r="X58" i="6" s="1"/>
  <c r="T59" i="6" s="1"/>
  <c r="AH70" i="6"/>
  <c r="AI70" i="6" l="1"/>
  <c r="AJ70" i="6" s="1"/>
  <c r="AF71" i="6" s="1"/>
  <c r="AL70" i="6"/>
  <c r="Z58" i="6"/>
  <c r="AG71" i="6" l="1"/>
  <c r="U59" i="6"/>
  <c r="Y59" i="6" l="1"/>
  <c r="V59" i="6"/>
  <c r="W59" i="6" s="1"/>
  <c r="X59" i="6" s="1"/>
  <c r="T60" i="6" s="1"/>
  <c r="AK71" i="6"/>
  <c r="AH71" i="6"/>
  <c r="AL71" i="6" l="1"/>
  <c r="AI71" i="6"/>
  <c r="AJ71" i="6" s="1"/>
  <c r="AF72" i="6" s="1"/>
  <c r="Z59" i="6"/>
  <c r="AG72" i="6" l="1"/>
  <c r="AK72" i="6" s="1"/>
  <c r="U60" i="6"/>
  <c r="AH72" i="6" l="1"/>
  <c r="Y60" i="6"/>
  <c r="V60" i="6"/>
  <c r="W60" i="6" s="1"/>
  <c r="X60" i="6" s="1"/>
  <c r="T61" i="6" s="1"/>
  <c r="AI72" i="6" l="1"/>
  <c r="AJ72" i="6" s="1"/>
  <c r="AF73" i="6" s="1"/>
  <c r="AL72" i="6"/>
  <c r="Z60" i="6"/>
  <c r="AG73" i="6" l="1"/>
  <c r="AK73" i="6" s="1"/>
  <c r="U61" i="6"/>
  <c r="Y61" i="6" l="1"/>
  <c r="V61" i="6"/>
  <c r="W61" i="6" s="1"/>
  <c r="X61" i="6" s="1"/>
  <c r="T62" i="6" s="1"/>
  <c r="AH73" i="6"/>
  <c r="AI73" i="6" l="1"/>
  <c r="AJ73" i="6" s="1"/>
  <c r="AF74" i="6" s="1"/>
  <c r="AL73" i="6"/>
  <c r="U62" i="6"/>
  <c r="V62" i="6" s="1"/>
  <c r="W62" i="6" s="1"/>
  <c r="X62" i="6" s="1"/>
  <c r="T63" i="6" s="1"/>
  <c r="Z61" i="6"/>
  <c r="AG74" i="6" l="1"/>
  <c r="AK74" i="6" s="1"/>
  <c r="Y62" i="6"/>
  <c r="AH74" i="6" l="1"/>
  <c r="AI74" i="6" s="1"/>
  <c r="AJ74" i="6" s="1"/>
  <c r="AF75" i="6" s="1"/>
  <c r="AG75" i="6" s="1"/>
  <c r="AH75" i="6" s="1"/>
  <c r="AI75" i="6" s="1"/>
  <c r="AJ75" i="6" s="1"/>
  <c r="Z62" i="6"/>
  <c r="U63" i="6"/>
  <c r="V63" i="6" s="1"/>
  <c r="W63" i="6" s="1"/>
  <c r="X63" i="6" s="1"/>
  <c r="T64" i="6" s="1"/>
  <c r="AL74" i="6" l="1"/>
  <c r="AL75" i="6" s="1"/>
  <c r="AK75" i="6"/>
  <c r="AF76" i="6"/>
  <c r="P7" i="9"/>
  <c r="Y63" i="6"/>
  <c r="O6" i="9"/>
  <c r="Z63" i="6"/>
  <c r="AG76" i="6" l="1"/>
  <c r="AK76" i="6" s="1"/>
  <c r="U64" i="6"/>
  <c r="AH76" i="6" l="1"/>
  <c r="AI76" i="6" s="1"/>
  <c r="AJ76" i="6" s="1"/>
  <c r="AF77" i="6" s="1"/>
  <c r="AG77" i="6" s="1"/>
  <c r="AK77" i="6" s="1"/>
  <c r="Y64" i="6"/>
  <c r="V64" i="6"/>
  <c r="W64" i="6" s="1"/>
  <c r="X64" i="6" s="1"/>
  <c r="T65" i="6" s="1"/>
  <c r="AL76" i="6" l="1"/>
  <c r="Z64" i="6"/>
  <c r="AH77" i="6"/>
  <c r="AI77" i="6" s="1"/>
  <c r="AJ77" i="6" s="1"/>
  <c r="AF78" i="6" s="1"/>
  <c r="U65" i="6"/>
  <c r="Y65" i="6" s="1"/>
  <c r="V65" i="6" l="1"/>
  <c r="W65" i="6" s="1"/>
  <c r="X65" i="6" s="1"/>
  <c r="T66" i="6" s="1"/>
  <c r="AG78" i="6"/>
  <c r="AK78" i="6" s="1"/>
  <c r="AL77" i="6"/>
  <c r="AH78" i="6" l="1"/>
  <c r="AI78" i="6" s="1"/>
  <c r="AJ78" i="6" s="1"/>
  <c r="AF79" i="6" s="1"/>
  <c r="AG79" i="6" s="1"/>
  <c r="AK79" i="6" s="1"/>
  <c r="Z65" i="6"/>
  <c r="AL78" i="6" l="1"/>
  <c r="AH79" i="6"/>
  <c r="AI79" i="6" s="1"/>
  <c r="AJ79" i="6" s="1"/>
  <c r="AF80" i="6" s="1"/>
  <c r="U66" i="6"/>
  <c r="Y66" i="6" l="1"/>
  <c r="V66" i="6"/>
  <c r="W66" i="6" s="1"/>
  <c r="X66" i="6" s="1"/>
  <c r="T67" i="6" s="1"/>
  <c r="AG80" i="6"/>
  <c r="AK80" i="6" s="1"/>
  <c r="AL79" i="6"/>
  <c r="Z66" i="6" l="1"/>
  <c r="AH80" i="6"/>
  <c r="AI80" i="6" s="1"/>
  <c r="AJ80" i="6" s="1"/>
  <c r="AF81" i="6" s="1"/>
  <c r="U67" i="6"/>
  <c r="Y67" i="6" s="1"/>
  <c r="V67" i="6" l="1"/>
  <c r="W67" i="6" s="1"/>
  <c r="X67" i="6" s="1"/>
  <c r="T68" i="6" s="1"/>
  <c r="AG81" i="6"/>
  <c r="AK81" i="6" s="1"/>
  <c r="AL80" i="6"/>
  <c r="AH81" i="6" l="1"/>
  <c r="AI81" i="6" s="1"/>
  <c r="AJ81" i="6" s="1"/>
  <c r="AF82" i="6" s="1"/>
  <c r="Z67" i="6"/>
  <c r="AG82" i="6" l="1"/>
  <c r="AK82" i="6" s="1"/>
  <c r="AL81" i="6"/>
  <c r="U68" i="6"/>
  <c r="Y68" i="6" l="1"/>
  <c r="V68" i="6"/>
  <c r="W68" i="6" s="1"/>
  <c r="X68" i="6" s="1"/>
  <c r="T69" i="6" s="1"/>
  <c r="AH82" i="6"/>
  <c r="AI82" i="6" s="1"/>
  <c r="AJ82" i="6" s="1"/>
  <c r="AF83" i="6" s="1"/>
  <c r="Z68" i="6" l="1"/>
  <c r="AL82" i="6"/>
  <c r="AG83" i="6"/>
  <c r="AK83" i="6" s="1"/>
  <c r="U69" i="6"/>
  <c r="Y69" i="6" s="1"/>
  <c r="V69" i="6" l="1"/>
  <c r="W69" i="6" s="1"/>
  <c r="X69" i="6" s="1"/>
  <c r="T70" i="6" s="1"/>
  <c r="U70" i="6" s="1"/>
  <c r="V70" i="6" s="1"/>
  <c r="W70" i="6" s="1"/>
  <c r="X70" i="6" s="1"/>
  <c r="T71" i="6" s="1"/>
  <c r="AH83" i="6"/>
  <c r="AI83" i="6" s="1"/>
  <c r="AJ83" i="6" s="1"/>
  <c r="AF84" i="6" s="1"/>
  <c r="Z69" i="6" l="1"/>
  <c r="AL83" i="6"/>
  <c r="AG84" i="6"/>
  <c r="AK84" i="6" s="1"/>
  <c r="Y70" i="6"/>
  <c r="AH84" i="6" l="1"/>
  <c r="AI84" i="6" s="1"/>
  <c r="AJ84" i="6" s="1"/>
  <c r="AF85" i="6" s="1"/>
  <c r="Z70" i="6"/>
  <c r="U71" i="6"/>
  <c r="AL84" i="6" l="1"/>
  <c r="AG85" i="6"/>
  <c r="AK85" i="6" s="1"/>
  <c r="Y71" i="6"/>
  <c r="V71" i="6"/>
  <c r="W71" i="6" s="1"/>
  <c r="X71" i="6" s="1"/>
  <c r="T72" i="6" s="1"/>
  <c r="U72" i="6" s="1"/>
  <c r="AH85" i="6" l="1"/>
  <c r="AI85" i="6" s="1"/>
  <c r="AJ85" i="6" s="1"/>
  <c r="AF86" i="6" s="1"/>
  <c r="AG86" i="6" s="1"/>
  <c r="AK86" i="6" s="1"/>
  <c r="V72" i="6"/>
  <c r="W72" i="6" s="1"/>
  <c r="X72" i="6" s="1"/>
  <c r="T73" i="6" s="1"/>
  <c r="Z71" i="6"/>
  <c r="Y72" i="6"/>
  <c r="AL85" i="6" l="1"/>
  <c r="AH86" i="6"/>
  <c r="U73" i="6"/>
  <c r="Y73" i="6" s="1"/>
  <c r="Z72" i="6"/>
  <c r="AL86" i="6" l="1"/>
  <c r="AI86" i="6"/>
  <c r="AJ86" i="6" s="1"/>
  <c r="AF87" i="6" s="1"/>
  <c r="V73" i="6"/>
  <c r="W73" i="6" s="1"/>
  <c r="X73" i="6" s="1"/>
  <c r="T74" i="6" s="1"/>
  <c r="U74" i="6" s="1"/>
  <c r="Z73" i="6" l="1"/>
  <c r="AG87" i="6"/>
  <c r="AK87" i="6" s="1"/>
  <c r="Y74" i="6"/>
  <c r="V74" i="6"/>
  <c r="Z74" i="6" l="1"/>
  <c r="AH87" i="6"/>
  <c r="AI87" i="6" s="1"/>
  <c r="AJ87" i="6" s="1"/>
  <c r="AF88" i="6" s="1"/>
  <c r="P8" i="9"/>
  <c r="W74" i="6"/>
  <c r="X74" i="6" s="1"/>
  <c r="T75" i="6" s="1"/>
  <c r="AL87" i="6" l="1"/>
  <c r="AG88" i="6"/>
  <c r="AK88" i="6" s="1"/>
  <c r="U75" i="6"/>
  <c r="Y75" i="6" s="1"/>
  <c r="AH88" i="6" l="1"/>
  <c r="AL88" i="6" s="1"/>
  <c r="V75" i="6"/>
  <c r="AI88" i="6" l="1"/>
  <c r="AJ88" i="6" s="1"/>
  <c r="AF89" i="6" s="1"/>
  <c r="AG89" i="6" s="1"/>
  <c r="AK89" i="6" s="1"/>
  <c r="Z75" i="6"/>
  <c r="W75" i="6"/>
  <c r="X75" i="6" s="1"/>
  <c r="AH89" i="6" l="1"/>
  <c r="AL89" i="6" s="1"/>
  <c r="T76" i="6"/>
  <c r="O7" i="9"/>
  <c r="AI89" i="6" l="1"/>
  <c r="AJ89" i="6" s="1"/>
  <c r="AF90" i="6" s="1"/>
  <c r="AG90" i="6" s="1"/>
  <c r="AK90" i="6" s="1"/>
  <c r="U76" i="6"/>
  <c r="Y76" i="6" s="1"/>
  <c r="AH90" i="6" l="1"/>
  <c r="AI90" i="6" s="1"/>
  <c r="AJ90" i="6" s="1"/>
  <c r="AF91" i="6" s="1"/>
  <c r="AG91" i="6" s="1"/>
  <c r="V76" i="6"/>
  <c r="Z76" i="6" s="1"/>
  <c r="AL90" i="6" l="1"/>
  <c r="W76" i="6"/>
  <c r="X76" i="6" s="1"/>
  <c r="T77" i="6" s="1"/>
  <c r="U77" i="6" s="1"/>
  <c r="Y77" i="6" s="1"/>
  <c r="AK91" i="6"/>
  <c r="AH91" i="6"/>
  <c r="AI91" i="6" l="1"/>
  <c r="AJ91" i="6" s="1"/>
  <c r="AF92" i="6" s="1"/>
  <c r="AL91" i="6"/>
  <c r="V77" i="6"/>
  <c r="AG92" i="6" l="1"/>
  <c r="AH92" i="6" s="1"/>
  <c r="AL92" i="6" s="1"/>
  <c r="Z77" i="6"/>
  <c r="W77" i="6"/>
  <c r="X77" i="6" s="1"/>
  <c r="T78" i="6" s="1"/>
  <c r="U78" i="6" l="1"/>
  <c r="Y78" i="6" s="1"/>
  <c r="AI92" i="6"/>
  <c r="AJ92" i="6" s="1"/>
  <c r="AF93" i="6" s="1"/>
  <c r="AG93" i="6" s="1"/>
  <c r="AK92" i="6"/>
  <c r="AK93" i="6" l="1"/>
  <c r="AH93" i="6"/>
  <c r="AL93" i="6" s="1"/>
  <c r="V78" i="6"/>
  <c r="W78" i="6" l="1"/>
  <c r="X78" i="6" s="1"/>
  <c r="T79" i="6" s="1"/>
  <c r="Z78" i="6"/>
  <c r="AI93" i="6"/>
  <c r="AJ93" i="6" s="1"/>
  <c r="AF94" i="6" s="1"/>
  <c r="AG94" i="6" l="1"/>
  <c r="AH94" i="6" s="1"/>
  <c r="AL94" i="6" s="1"/>
  <c r="U79" i="6"/>
  <c r="Y79" i="6" s="1"/>
  <c r="AK94" i="6" l="1"/>
  <c r="AI94" i="6"/>
  <c r="AJ94" i="6" s="1"/>
  <c r="AF95" i="6" s="1"/>
  <c r="V79" i="6"/>
  <c r="Z79" i="6" l="1"/>
  <c r="W79" i="6"/>
  <c r="X79" i="6" s="1"/>
  <c r="T80" i="6" s="1"/>
  <c r="AG95" i="6"/>
  <c r="AH95" i="6" s="1"/>
  <c r="AL95" i="6" s="1"/>
  <c r="AI95" i="6" l="1"/>
  <c r="AJ95" i="6" s="1"/>
  <c r="AF96" i="6" s="1"/>
  <c r="AG96" i="6" s="1"/>
  <c r="U80" i="6"/>
  <c r="Y80" i="6" s="1"/>
  <c r="AK95" i="6"/>
  <c r="V80" i="6" l="1"/>
  <c r="Z80" i="6" s="1"/>
  <c r="AK96" i="6"/>
  <c r="AH96" i="6"/>
  <c r="AL96" i="6" s="1"/>
  <c r="W80" i="6" l="1"/>
  <c r="X80" i="6" s="1"/>
  <c r="T81" i="6" s="1"/>
  <c r="U81" i="6" s="1"/>
  <c r="Y81" i="6" s="1"/>
  <c r="AI96" i="6"/>
  <c r="AJ96" i="6" s="1"/>
  <c r="AF97" i="6" s="1"/>
  <c r="AG97" i="6" l="1"/>
  <c r="AK97" i="6" s="1"/>
  <c r="V81" i="6"/>
  <c r="Z81" i="6" l="1"/>
  <c r="W81" i="6"/>
  <c r="X81" i="6" s="1"/>
  <c r="T82" i="6" s="1"/>
  <c r="AH97" i="6"/>
  <c r="U82" i="6" l="1"/>
  <c r="Y82" i="6" s="1"/>
  <c r="AL97" i="6"/>
  <c r="AI97" i="6"/>
  <c r="AJ97" i="6" s="1"/>
  <c r="AF98" i="6" s="1"/>
  <c r="V82" i="6" l="1"/>
  <c r="Z82" i="6" s="1"/>
  <c r="AG98" i="6"/>
  <c r="AK98" i="6" s="1"/>
  <c r="AH98" i="6" l="1"/>
  <c r="AL98" i="6" s="1"/>
  <c r="W82" i="6"/>
  <c r="X82" i="6" s="1"/>
  <c r="T83" i="6" s="1"/>
  <c r="U83" i="6" s="1"/>
  <c r="Y83" i="6" s="1"/>
  <c r="AI98" i="6" l="1"/>
  <c r="AJ98" i="6" s="1"/>
  <c r="AF99" i="6" s="1"/>
  <c r="AG99" i="6" s="1"/>
  <c r="AK99" i="6" s="1"/>
  <c r="V83" i="6"/>
  <c r="AH99" i="6" l="1"/>
  <c r="AL99" i="6" s="1"/>
  <c r="Z83" i="6"/>
  <c r="W83" i="6"/>
  <c r="X83" i="6" s="1"/>
  <c r="T84" i="6" s="1"/>
  <c r="AI99" i="6" l="1"/>
  <c r="AJ99" i="6" s="1"/>
  <c r="AF100" i="6" s="1"/>
  <c r="P9" i="9"/>
  <c r="U84" i="6"/>
  <c r="Y84" i="6" s="1"/>
  <c r="V84" i="6" l="1"/>
  <c r="AG100" i="6"/>
  <c r="AK100" i="6" s="1"/>
  <c r="AH100" i="6" l="1"/>
  <c r="AL100" i="6" s="1"/>
  <c r="Z84" i="6"/>
  <c r="W84" i="6"/>
  <c r="X84" i="6" s="1"/>
  <c r="T85" i="6" s="1"/>
  <c r="AI100" i="6" l="1"/>
  <c r="AJ100" i="6" s="1"/>
  <c r="AF101" i="6" s="1"/>
  <c r="U85" i="6"/>
  <c r="Y85" i="6" s="1"/>
  <c r="AG101" i="6" l="1"/>
  <c r="AK101" i="6" s="1"/>
  <c r="V85" i="6"/>
  <c r="AH101" i="6" l="1"/>
  <c r="Z85" i="6"/>
  <c r="W85" i="6"/>
  <c r="X85" i="6" s="1"/>
  <c r="T86" i="6" s="1"/>
  <c r="AL101" i="6" l="1"/>
  <c r="AI101" i="6"/>
  <c r="AJ101" i="6" s="1"/>
  <c r="AF102" i="6" s="1"/>
  <c r="AG102" i="6" s="1"/>
  <c r="AK102" i="6" s="1"/>
  <c r="U86" i="6"/>
  <c r="Y86" i="6" s="1"/>
  <c r="AH102" i="6" l="1"/>
  <c r="AI102" i="6" s="1"/>
  <c r="AJ102" i="6" s="1"/>
  <c r="AF103" i="6" s="1"/>
  <c r="V86" i="6"/>
  <c r="AL102" i="6" l="1"/>
  <c r="AG103" i="6"/>
  <c r="AK103" i="6" s="1"/>
  <c r="W86" i="6"/>
  <c r="X86" i="6" s="1"/>
  <c r="T87" i="6" s="1"/>
  <c r="Z86" i="6"/>
  <c r="AH103" i="6" l="1"/>
  <c r="AI103" i="6" s="1"/>
  <c r="AJ103" i="6" s="1"/>
  <c r="AF104" i="6" s="1"/>
  <c r="AG104" i="6" s="1"/>
  <c r="AK104" i="6" s="1"/>
  <c r="U87" i="6"/>
  <c r="Y87" i="6" s="1"/>
  <c r="AL103" i="6" l="1"/>
  <c r="AH104" i="6"/>
  <c r="AI104" i="6" s="1"/>
  <c r="AJ104" i="6" s="1"/>
  <c r="AF105" i="6" s="1"/>
  <c r="V87" i="6"/>
  <c r="W87" i="6" l="1"/>
  <c r="X87" i="6" s="1"/>
  <c r="Z87" i="6"/>
  <c r="AG105" i="6"/>
  <c r="AK105" i="6" s="1"/>
  <c r="AL104" i="6"/>
  <c r="AH105" i="6" l="1"/>
  <c r="AI105" i="6" s="1"/>
  <c r="AJ105" i="6" s="1"/>
  <c r="AF106" i="6" s="1"/>
  <c r="T88" i="6"/>
  <c r="O8" i="9"/>
  <c r="U88" i="6" l="1"/>
  <c r="Y88" i="6" s="1"/>
  <c r="AG106" i="6"/>
  <c r="AK106" i="6" s="1"/>
  <c r="AL105" i="6"/>
  <c r="V88" i="6" l="1"/>
  <c r="Z88" i="6" s="1"/>
  <c r="AH106" i="6"/>
  <c r="AI106" i="6" s="1"/>
  <c r="AJ106" i="6" s="1"/>
  <c r="AF107" i="6" s="1"/>
  <c r="W88" i="6" l="1"/>
  <c r="X88" i="6" s="1"/>
  <c r="T89" i="6" s="1"/>
  <c r="U89" i="6" s="1"/>
  <c r="Y89" i="6" s="1"/>
  <c r="AG107" i="6"/>
  <c r="AK107" i="6" s="1"/>
  <c r="AL106" i="6"/>
  <c r="V89" i="6" l="1"/>
  <c r="AH107" i="6"/>
  <c r="AI107" i="6" s="1"/>
  <c r="AJ107" i="6" s="1"/>
  <c r="AF108" i="6" s="1"/>
  <c r="Z89" i="6" l="1"/>
  <c r="W89" i="6"/>
  <c r="X89" i="6" s="1"/>
  <c r="T90" i="6" s="1"/>
  <c r="AG108" i="6"/>
  <c r="AK108" i="6" s="1"/>
  <c r="AL107" i="6"/>
  <c r="AH108" i="6" l="1"/>
  <c r="AI108" i="6" s="1"/>
  <c r="AJ108" i="6" s="1"/>
  <c r="AF109" i="6" s="1"/>
  <c r="AG109" i="6" s="1"/>
  <c r="U90" i="6"/>
  <c r="Y90" i="6" s="1"/>
  <c r="AH109" i="6" l="1"/>
  <c r="AI109" i="6" s="1"/>
  <c r="AJ109" i="6" s="1"/>
  <c r="AF110" i="6" s="1"/>
  <c r="AG110" i="6" s="1"/>
  <c r="AK110" i="6" s="1"/>
  <c r="AK109" i="6"/>
  <c r="AL108" i="6"/>
  <c r="V90" i="6"/>
  <c r="Z90" i="6" s="1"/>
  <c r="W90" i="6" l="1"/>
  <c r="X90" i="6" s="1"/>
  <c r="T91" i="6" s="1"/>
  <c r="U91" i="6" s="1"/>
  <c r="Y91" i="6" s="1"/>
  <c r="AL109" i="6"/>
  <c r="AH110" i="6"/>
  <c r="AI110" i="6" s="1"/>
  <c r="AJ110" i="6" s="1"/>
  <c r="AF111" i="6" s="1"/>
  <c r="AG111" i="6" s="1"/>
  <c r="AK111" i="6" s="1"/>
  <c r="AL110" i="6" l="1"/>
  <c r="V91" i="6"/>
  <c r="AH111" i="6"/>
  <c r="AI111" i="6" s="1"/>
  <c r="AJ111" i="6" s="1"/>
  <c r="AL111" i="6" l="1"/>
  <c r="Z91" i="6"/>
  <c r="W91" i="6"/>
  <c r="X91" i="6" s="1"/>
  <c r="T92" i="6" s="1"/>
  <c r="AF112" i="6"/>
  <c r="P10" i="9"/>
  <c r="AG112" i="6" l="1"/>
  <c r="AK112" i="6" s="1"/>
  <c r="U92" i="6"/>
  <c r="Y92" i="6" s="1"/>
  <c r="V92" i="6" l="1"/>
  <c r="AH112" i="6"/>
  <c r="Z92" i="6" l="1"/>
  <c r="W92" i="6"/>
  <c r="X92" i="6" s="1"/>
  <c r="T93" i="6" s="1"/>
  <c r="AL112" i="6"/>
  <c r="AI112" i="6"/>
  <c r="AJ112" i="6" s="1"/>
  <c r="AF113" i="6" s="1"/>
  <c r="AG113" i="6" l="1"/>
  <c r="AK113" i="6" s="1"/>
  <c r="U93" i="6"/>
  <c r="Y93" i="6" s="1"/>
  <c r="AH113" i="6" l="1"/>
  <c r="AL113" i="6" s="1"/>
  <c r="V93" i="6"/>
  <c r="AI113" i="6" l="1"/>
  <c r="AJ113" i="6" s="1"/>
  <c r="AF114" i="6" s="1"/>
  <c r="AG114" i="6" s="1"/>
  <c r="AK114" i="6" s="1"/>
  <c r="W93" i="6"/>
  <c r="X93" i="6" s="1"/>
  <c r="T94" i="6" s="1"/>
  <c r="Z93" i="6"/>
  <c r="AH114" i="6" l="1"/>
  <c r="AL114" i="6" s="1"/>
  <c r="U94" i="6"/>
  <c r="Y94" i="6" s="1"/>
  <c r="AI114" i="6" l="1"/>
  <c r="AJ114" i="6" s="1"/>
  <c r="AF115" i="6" s="1"/>
  <c r="AG115" i="6" s="1"/>
  <c r="AK115" i="6" s="1"/>
  <c r="V94" i="6"/>
  <c r="Z94" i="6" l="1"/>
  <c r="W94" i="6"/>
  <c r="X94" i="6" s="1"/>
  <c r="T95" i="6" s="1"/>
  <c r="AH115" i="6"/>
  <c r="U95" i="6" l="1"/>
  <c r="Y95" i="6" s="1"/>
  <c r="AL115" i="6"/>
  <c r="AI115" i="6"/>
  <c r="AJ115" i="6" s="1"/>
  <c r="AF116" i="6" s="1"/>
  <c r="V95" i="6" l="1"/>
  <c r="AG116" i="6"/>
  <c r="AK116" i="6" s="1"/>
  <c r="AH116" i="6" l="1"/>
  <c r="Z95" i="6"/>
  <c r="W95" i="6"/>
  <c r="X95" i="6" s="1"/>
  <c r="T96" i="6" s="1"/>
  <c r="U96" i="6" l="1"/>
  <c r="Y96" i="6" s="1"/>
  <c r="AL116" i="6"/>
  <c r="AI116" i="6"/>
  <c r="AJ116" i="6" s="1"/>
  <c r="AF117" i="6" s="1"/>
  <c r="V96" i="6" l="1"/>
  <c r="W96" i="6" s="1"/>
  <c r="X96" i="6" s="1"/>
  <c r="T97" i="6" s="1"/>
  <c r="U97" i="6" s="1"/>
  <c r="AG117" i="6"/>
  <c r="AK117" i="6" s="1"/>
  <c r="Z96" i="6" l="1"/>
  <c r="AH117" i="6"/>
  <c r="Y97" i="6"/>
  <c r="V97" i="6"/>
  <c r="W97" i="6" s="1"/>
  <c r="X97" i="6" s="1"/>
  <c r="T98" i="6" s="1"/>
  <c r="AL117" i="6" l="1"/>
  <c r="AI117" i="6"/>
  <c r="AJ117" i="6" s="1"/>
  <c r="AF118" i="6" s="1"/>
  <c r="U98" i="6"/>
  <c r="Y98" i="6" s="1"/>
  <c r="Z97" i="6"/>
  <c r="V98" i="6" l="1"/>
  <c r="W98" i="6" s="1"/>
  <c r="X98" i="6" s="1"/>
  <c r="T99" i="6" s="1"/>
  <c r="AG118" i="6"/>
  <c r="AK118" i="6" s="1"/>
  <c r="AH118" i="6" l="1"/>
  <c r="U99" i="6"/>
  <c r="Y99" i="6" s="1"/>
  <c r="Z98" i="6"/>
  <c r="V99" i="6" l="1"/>
  <c r="W99" i="6" s="1"/>
  <c r="X99" i="6" s="1"/>
  <c r="AL118" i="6"/>
  <c r="AI118" i="6"/>
  <c r="AJ118" i="6" s="1"/>
  <c r="AF119" i="6" s="1"/>
  <c r="AG119" i="6" l="1"/>
  <c r="AK119" i="6" s="1"/>
  <c r="T100" i="6"/>
  <c r="O9" i="9"/>
  <c r="Z99" i="6"/>
  <c r="U100" i="6" l="1"/>
  <c r="Y100" i="6" s="1"/>
  <c r="AH119" i="6"/>
  <c r="AI119" i="6" l="1"/>
  <c r="AJ119" i="6" s="1"/>
  <c r="AF120" i="6" s="1"/>
  <c r="AL119" i="6"/>
  <c r="V100" i="6"/>
  <c r="W100" i="6" l="1"/>
  <c r="X100" i="6" s="1"/>
  <c r="T101" i="6" s="1"/>
  <c r="Z100" i="6"/>
  <c r="AG120" i="6"/>
  <c r="AK120" i="6" s="1"/>
  <c r="AH120" i="6" l="1"/>
  <c r="AI120" i="6" s="1"/>
  <c r="AJ120" i="6" s="1"/>
  <c r="AF121" i="6" s="1"/>
  <c r="AG121" i="6" s="1"/>
  <c r="AH121" i="6" s="1"/>
  <c r="AI121" i="6" s="1"/>
  <c r="AJ121" i="6" s="1"/>
  <c r="AF122" i="6" s="1"/>
  <c r="U101" i="6"/>
  <c r="Y101" i="6" s="1"/>
  <c r="AL120" i="6" l="1"/>
  <c r="AL121" i="6" s="1"/>
  <c r="V101" i="6"/>
  <c r="W101" i="6" s="1"/>
  <c r="X101" i="6" s="1"/>
  <c r="T102" i="6" s="1"/>
  <c r="U102" i="6" s="1"/>
  <c r="Y102" i="6" s="1"/>
  <c r="AG122" i="6"/>
  <c r="AH122" i="6" s="1"/>
  <c r="AI122" i="6" s="1"/>
  <c r="AJ122" i="6" s="1"/>
  <c r="AF123" i="6" s="1"/>
  <c r="AK121" i="6"/>
  <c r="Z101" i="6" l="1"/>
  <c r="AG123" i="6"/>
  <c r="AH123" i="6" s="1"/>
  <c r="AI123" i="6" s="1"/>
  <c r="AJ123" i="6" s="1"/>
  <c r="AL122" i="6"/>
  <c r="V102" i="6"/>
  <c r="W102" i="6" s="1"/>
  <c r="X102" i="6" s="1"/>
  <c r="T103" i="6" s="1"/>
  <c r="AK122" i="6"/>
  <c r="AF124" i="6" l="1"/>
  <c r="P11" i="9"/>
  <c r="Z102" i="6"/>
  <c r="U103" i="6"/>
  <c r="Y103" i="6" s="1"/>
  <c r="AL123" i="6"/>
  <c r="AK123" i="6"/>
  <c r="V103" i="6" l="1"/>
  <c r="W103" i="6" s="1"/>
  <c r="X103" i="6" s="1"/>
  <c r="T104" i="6" s="1"/>
  <c r="AG124" i="6"/>
  <c r="AK124" i="6" s="1"/>
  <c r="U104" i="6" l="1"/>
  <c r="Y104" i="6" s="1"/>
  <c r="Z103" i="6"/>
  <c r="AH124" i="6"/>
  <c r="AL124" i="6" l="1"/>
  <c r="AI124" i="6"/>
  <c r="AJ124" i="6" s="1"/>
  <c r="AF125" i="6" s="1"/>
  <c r="V104" i="6"/>
  <c r="W104" i="6" s="1"/>
  <c r="X104" i="6" s="1"/>
  <c r="T105" i="6" s="1"/>
  <c r="AG125" i="6" l="1"/>
  <c r="AK125" i="6" s="1"/>
  <c r="U105" i="6"/>
  <c r="Y105" i="6" s="1"/>
  <c r="Z104" i="6"/>
  <c r="V105" i="6" l="1"/>
  <c r="W105" i="6" s="1"/>
  <c r="X105" i="6" s="1"/>
  <c r="T106" i="6" s="1"/>
  <c r="AH125" i="6"/>
  <c r="Z105" i="6" l="1"/>
  <c r="AL125" i="6"/>
  <c r="AI125" i="6"/>
  <c r="AJ125" i="6" s="1"/>
  <c r="AF126" i="6" s="1"/>
  <c r="U106" i="6"/>
  <c r="Y106" i="6" s="1"/>
  <c r="AG126" i="6" l="1"/>
  <c r="AK126" i="6" s="1"/>
  <c r="V106" i="6"/>
  <c r="Z106" i="6" l="1"/>
  <c r="W106" i="6"/>
  <c r="X106" i="6" s="1"/>
  <c r="T107" i="6" s="1"/>
  <c r="AH126" i="6"/>
  <c r="U107" i="6" l="1"/>
  <c r="Y107" i="6" s="1"/>
  <c r="AI126" i="6"/>
  <c r="AJ126" i="6" s="1"/>
  <c r="AF127" i="6" s="1"/>
  <c r="AL126" i="6"/>
  <c r="AG127" i="6" l="1"/>
  <c r="AK127" i="6" s="1"/>
  <c r="V107" i="6"/>
  <c r="AH127" i="6" l="1"/>
  <c r="W107" i="6"/>
  <c r="X107" i="6" s="1"/>
  <c r="T108" i="6" s="1"/>
  <c r="Z107" i="6"/>
  <c r="U108" i="6" l="1"/>
  <c r="Y108" i="6" s="1"/>
  <c r="AL127" i="6"/>
  <c r="AI127" i="6"/>
  <c r="AJ127" i="6" s="1"/>
  <c r="AF128" i="6" s="1"/>
  <c r="AG128" i="6" l="1"/>
  <c r="AK128" i="6" s="1"/>
  <c r="V108" i="6"/>
  <c r="W108" i="6" l="1"/>
  <c r="X108" i="6" s="1"/>
  <c r="T109" i="6" s="1"/>
  <c r="Z108" i="6"/>
  <c r="AH128" i="6"/>
  <c r="AL128" i="6" l="1"/>
  <c r="AI128" i="6"/>
  <c r="AJ128" i="6" s="1"/>
  <c r="AF129" i="6" s="1"/>
  <c r="U109" i="6"/>
  <c r="Y109" i="6" s="1"/>
  <c r="V109" i="6" l="1"/>
  <c r="AG129" i="6"/>
  <c r="AK129" i="6" s="1"/>
  <c r="Z109" i="6" l="1"/>
  <c r="W109" i="6"/>
  <c r="X109" i="6" s="1"/>
  <c r="T110" i="6" s="1"/>
  <c r="AH129" i="6"/>
  <c r="U110" i="6" l="1"/>
  <c r="Y110" i="6" s="1"/>
  <c r="AL129" i="6"/>
  <c r="AI129" i="6"/>
  <c r="AJ129" i="6" s="1"/>
  <c r="AF130" i="6" s="1"/>
  <c r="AG130" i="6" l="1"/>
  <c r="AK130" i="6" s="1"/>
  <c r="V110" i="6"/>
  <c r="AH130" i="6" l="1"/>
  <c r="AL130" i="6" s="1"/>
  <c r="Z110" i="6"/>
  <c r="W110" i="6"/>
  <c r="X110" i="6" s="1"/>
  <c r="T111" i="6" s="1"/>
  <c r="AI130" i="6" l="1"/>
  <c r="AJ130" i="6" s="1"/>
  <c r="AF131" i="6" s="1"/>
  <c r="AG131" i="6" s="1"/>
  <c r="AK131" i="6" s="1"/>
  <c r="U111" i="6"/>
  <c r="Y111" i="6" s="1"/>
  <c r="AH131" i="6" l="1"/>
  <c r="V111" i="6"/>
  <c r="W111" i="6" l="1"/>
  <c r="X111" i="6" s="1"/>
  <c r="Z111" i="6"/>
  <c r="AL131" i="6"/>
  <c r="AI131" i="6"/>
  <c r="AJ131" i="6" s="1"/>
  <c r="AF132" i="6" s="1"/>
  <c r="AG132" i="6" l="1"/>
  <c r="AK132" i="6" s="1"/>
  <c r="T112" i="6"/>
  <c r="O10" i="9"/>
  <c r="U112" i="6" l="1"/>
  <c r="Y112" i="6" s="1"/>
  <c r="AH132" i="6"/>
  <c r="AL132" i="6" l="1"/>
  <c r="AI132" i="6"/>
  <c r="AJ132" i="6" s="1"/>
  <c r="AF133" i="6" s="1"/>
  <c r="V112" i="6"/>
  <c r="AG133" i="6" l="1"/>
  <c r="AK133" i="6" s="1"/>
  <c r="Z112" i="6"/>
  <c r="W112" i="6"/>
  <c r="X112" i="6" s="1"/>
  <c r="T113" i="6" s="1"/>
  <c r="AH133" i="6" l="1"/>
  <c r="AL133" i="6" s="1"/>
  <c r="U113" i="6"/>
  <c r="Y113" i="6" s="1"/>
  <c r="AI133" i="6" l="1"/>
  <c r="AJ133" i="6" s="1"/>
  <c r="AF134" i="6" s="1"/>
  <c r="AG134" i="6" s="1"/>
  <c r="AK134" i="6" s="1"/>
  <c r="V113" i="6"/>
  <c r="AH134" i="6" l="1"/>
  <c r="AL134" i="6" s="1"/>
  <c r="W113" i="6"/>
  <c r="X113" i="6" s="1"/>
  <c r="T114" i="6" s="1"/>
  <c r="Z113" i="6"/>
  <c r="AI134" i="6" l="1"/>
  <c r="AJ134" i="6" s="1"/>
  <c r="AF135" i="6" s="1"/>
  <c r="AG135" i="6" s="1"/>
  <c r="AK135" i="6" s="1"/>
  <c r="U114" i="6"/>
  <c r="Y114" i="6" s="1"/>
  <c r="V114" i="6" l="1"/>
  <c r="W114" i="6" s="1"/>
  <c r="X114" i="6" s="1"/>
  <c r="T115" i="6" s="1"/>
  <c r="AH135" i="6"/>
  <c r="Z114" i="6" l="1"/>
  <c r="U115" i="6"/>
  <c r="Y115" i="6" s="1"/>
  <c r="AL135" i="6"/>
  <c r="AI135" i="6"/>
  <c r="AJ135" i="6" s="1"/>
  <c r="V115" i="6" l="1"/>
  <c r="AF136" i="6"/>
  <c r="P12" i="9"/>
  <c r="W115" i="6" l="1"/>
  <c r="X115" i="6" s="1"/>
  <c r="T116" i="6" s="1"/>
  <c r="Z115" i="6"/>
  <c r="AG136" i="6"/>
  <c r="AK136" i="6" s="1"/>
  <c r="U116" i="6" l="1"/>
  <c r="Y116" i="6" s="1"/>
  <c r="AH136" i="6"/>
  <c r="V116" i="6" l="1"/>
  <c r="AL136" i="6"/>
  <c r="AI136" i="6"/>
  <c r="AJ136" i="6" s="1"/>
  <c r="AF137" i="6" s="1"/>
  <c r="W116" i="6" l="1"/>
  <c r="X116" i="6" s="1"/>
  <c r="T117" i="6" s="1"/>
  <c r="Z116" i="6"/>
  <c r="AG137" i="6"/>
  <c r="AK137" i="6" s="1"/>
  <c r="U117" i="6" l="1"/>
  <c r="Y117" i="6" s="1"/>
  <c r="AH137" i="6"/>
  <c r="V117" i="6" l="1"/>
  <c r="W117" i="6" s="1"/>
  <c r="X117" i="6" s="1"/>
  <c r="T118" i="6" s="1"/>
  <c r="U118" i="6" s="1"/>
  <c r="Y118" i="6" s="1"/>
  <c r="AI137" i="6"/>
  <c r="AJ137" i="6" s="1"/>
  <c r="AF138" i="6" s="1"/>
  <c r="AL137" i="6"/>
  <c r="Z117" i="6" l="1"/>
  <c r="V118" i="6"/>
  <c r="AG138" i="6"/>
  <c r="AK138" i="6" s="1"/>
  <c r="Z118" i="6" l="1"/>
  <c r="W118" i="6"/>
  <c r="X118" i="6" s="1"/>
  <c r="T119" i="6" s="1"/>
  <c r="AH138" i="6"/>
  <c r="U119" i="6" l="1"/>
  <c r="Y119" i="6" s="1"/>
  <c r="AL138" i="6"/>
  <c r="AI138" i="6"/>
  <c r="AJ138" i="6" s="1"/>
  <c r="AF139" i="6" s="1"/>
  <c r="V119" i="6" l="1"/>
  <c r="AG139" i="6"/>
  <c r="AK139" i="6" s="1"/>
  <c r="Z119" i="6" l="1"/>
  <c r="W119" i="6"/>
  <c r="X119" i="6" s="1"/>
  <c r="T120" i="6" s="1"/>
  <c r="AH139" i="6"/>
  <c r="U120" i="6" l="1"/>
  <c r="Y120" i="6" s="1"/>
  <c r="AI139" i="6"/>
  <c r="AJ139" i="6" s="1"/>
  <c r="AF140" i="6" s="1"/>
  <c r="AL139" i="6"/>
  <c r="V120" i="6" l="1"/>
  <c r="AG140" i="6"/>
  <c r="AK140" i="6" s="1"/>
  <c r="Z120" i="6" l="1"/>
  <c r="W120" i="6"/>
  <c r="X120" i="6" s="1"/>
  <c r="T121" i="6" s="1"/>
  <c r="AH140" i="6"/>
  <c r="U121" i="6" l="1"/>
  <c r="Y121" i="6" s="1"/>
  <c r="AL140" i="6"/>
  <c r="AI140" i="6"/>
  <c r="AJ140" i="6" s="1"/>
  <c r="AF141" i="6" s="1"/>
  <c r="V121" i="6" l="1"/>
  <c r="Z121" i="6" s="1"/>
  <c r="AG141" i="6"/>
  <c r="AK141" i="6" s="1"/>
  <c r="W121" i="6" l="1"/>
  <c r="X121" i="6" s="1"/>
  <c r="T122" i="6" s="1"/>
  <c r="U122" i="6" s="1"/>
  <c r="Y122" i="6" s="1"/>
  <c r="AH141" i="6"/>
  <c r="V122" i="6" l="1"/>
  <c r="W122" i="6" s="1"/>
  <c r="X122" i="6" s="1"/>
  <c r="T123" i="6" s="1"/>
  <c r="U123" i="6" s="1"/>
  <c r="Y123" i="6" s="1"/>
  <c r="AL141" i="6"/>
  <c r="AI141" i="6"/>
  <c r="AJ141" i="6" s="1"/>
  <c r="AF142" i="6" s="1"/>
  <c r="Z122" i="6" l="1"/>
  <c r="AG142" i="6"/>
  <c r="AK142" i="6" s="1"/>
  <c r="V123" i="6"/>
  <c r="AH142" i="6" l="1"/>
  <c r="AI142" i="6" s="1"/>
  <c r="AJ142" i="6" s="1"/>
  <c r="AF143" i="6" s="1"/>
  <c r="W123" i="6"/>
  <c r="X123" i="6" s="1"/>
  <c r="Z123" i="6"/>
  <c r="AL142" i="6" l="1"/>
  <c r="AH143" i="6"/>
  <c r="AI143" i="6" s="1"/>
  <c r="AJ143" i="6" s="1"/>
  <c r="AF144" i="6" s="1"/>
  <c r="AG144" i="6" s="1"/>
  <c r="AG143" i="6"/>
  <c r="AK143" i="6" s="1"/>
  <c r="T124" i="6"/>
  <c r="O11" i="9"/>
  <c r="AK144" i="6" l="1"/>
  <c r="AL143" i="6"/>
  <c r="U124" i="6"/>
  <c r="Y124" i="6" s="1"/>
  <c r="AH144" i="6"/>
  <c r="AI144" i="6" l="1"/>
  <c r="AJ144" i="6" s="1"/>
  <c r="AF145" i="6" s="1"/>
  <c r="AL144" i="6"/>
  <c r="V124" i="6"/>
  <c r="Z124" i="6" l="1"/>
  <c r="W124" i="6"/>
  <c r="X124" i="6" s="1"/>
  <c r="T125" i="6" s="1"/>
  <c r="AG145" i="6"/>
  <c r="AK145" i="6" s="1"/>
  <c r="AH145" i="6" l="1"/>
  <c r="U125" i="6"/>
  <c r="Y125" i="6" s="1"/>
  <c r="V125" i="6" l="1"/>
  <c r="AL145" i="6"/>
  <c r="AI145" i="6"/>
  <c r="AJ145" i="6" s="1"/>
  <c r="AF146" i="6" s="1"/>
  <c r="W125" i="6" l="1"/>
  <c r="X125" i="6" s="1"/>
  <c r="T126" i="6" s="1"/>
  <c r="Z125" i="6"/>
  <c r="AG146" i="6"/>
  <c r="AK146" i="6" s="1"/>
  <c r="AH146" i="6" l="1"/>
  <c r="U126" i="6"/>
  <c r="Y126" i="6" s="1"/>
  <c r="V126" i="6" l="1"/>
  <c r="AI146" i="6"/>
  <c r="AJ146" i="6" s="1"/>
  <c r="AF147" i="6" s="1"/>
  <c r="AL146" i="6"/>
  <c r="Z126" i="6" l="1"/>
  <c r="W126" i="6"/>
  <c r="X126" i="6" s="1"/>
  <c r="T127" i="6" s="1"/>
  <c r="AG147" i="6"/>
  <c r="AK147" i="6" s="1"/>
  <c r="U127" i="6" l="1"/>
  <c r="Y127" i="6" s="1"/>
  <c r="AH147" i="6"/>
  <c r="AL147" i="6" l="1"/>
  <c r="AI147" i="6"/>
  <c r="AJ147" i="6" s="1"/>
  <c r="V127" i="6"/>
  <c r="W127" i="6" l="1"/>
  <c r="X127" i="6" s="1"/>
  <c r="T128" i="6" s="1"/>
  <c r="Z127" i="6"/>
  <c r="AF148" i="6"/>
  <c r="P13" i="9"/>
  <c r="AG148" i="6" l="1"/>
  <c r="AK148" i="6" s="1"/>
  <c r="U128" i="6"/>
  <c r="Y128" i="6" s="1"/>
  <c r="V128" i="6" l="1"/>
  <c r="Z128" i="6" s="1"/>
  <c r="AH148" i="6"/>
  <c r="W128" i="6" l="1"/>
  <c r="X128" i="6" s="1"/>
  <c r="T129" i="6" s="1"/>
  <c r="U129" i="6" s="1"/>
  <c r="Y129" i="6" s="1"/>
  <c r="AL148" i="6"/>
  <c r="AI148" i="6"/>
  <c r="AJ148" i="6" s="1"/>
  <c r="AF149" i="6" s="1"/>
  <c r="V129" i="6" l="1"/>
  <c r="AG149" i="6"/>
  <c r="AK149" i="6" s="1"/>
  <c r="AH149" i="6" l="1"/>
  <c r="Z129" i="6"/>
  <c r="W129" i="6"/>
  <c r="X129" i="6" s="1"/>
  <c r="T130" i="6" s="1"/>
  <c r="AI149" i="6" l="1"/>
  <c r="AJ149" i="6" s="1"/>
  <c r="AF150" i="6" s="1"/>
  <c r="AL149" i="6"/>
  <c r="U130" i="6"/>
  <c r="Y130" i="6" s="1"/>
  <c r="V130" i="6" l="1"/>
  <c r="AG150" i="6"/>
  <c r="AK150" i="6" s="1"/>
  <c r="AH150" i="6" l="1"/>
  <c r="W130" i="6"/>
  <c r="X130" i="6" s="1"/>
  <c r="T131" i="6" s="1"/>
  <c r="Z130" i="6"/>
  <c r="AL150" i="6" l="1"/>
  <c r="AI150" i="6"/>
  <c r="AJ150" i="6" s="1"/>
  <c r="AF151" i="6" s="1"/>
  <c r="U131" i="6"/>
  <c r="Y131" i="6" s="1"/>
  <c r="AH151" i="6" l="1"/>
  <c r="AI151" i="6" s="1"/>
  <c r="AJ151" i="6" s="1"/>
  <c r="AF152" i="6" s="1"/>
  <c r="AG151" i="6"/>
  <c r="AK151" i="6" s="1"/>
  <c r="V131" i="6"/>
  <c r="AG152" i="6" l="1"/>
  <c r="AH152" i="6" s="1"/>
  <c r="AI152" i="6" s="1"/>
  <c r="AJ152" i="6" s="1"/>
  <c r="AF153" i="6" s="1"/>
  <c r="AL151" i="6"/>
  <c r="Z131" i="6"/>
  <c r="W131" i="6"/>
  <c r="X131" i="6" s="1"/>
  <c r="T132" i="6" s="1"/>
  <c r="AK152" i="6" l="1"/>
  <c r="AG153" i="6"/>
  <c r="U132" i="6"/>
  <c r="Y132" i="6" s="1"/>
  <c r="AL152" i="6"/>
  <c r="AK153" i="6" l="1"/>
  <c r="V132" i="6"/>
  <c r="AH153" i="6"/>
  <c r="AI153" i="6" s="1"/>
  <c r="AJ153" i="6" s="1"/>
  <c r="AF154" i="6" s="1"/>
  <c r="AL153" i="6" l="1"/>
  <c r="AG154" i="6"/>
  <c r="AK154" i="6" s="1"/>
  <c r="Z132" i="6"/>
  <c r="W132" i="6"/>
  <c r="X132" i="6" s="1"/>
  <c r="T133" i="6" s="1"/>
  <c r="U133" i="6" l="1"/>
  <c r="Y133" i="6" s="1"/>
  <c r="AH154" i="6"/>
  <c r="AI154" i="6" s="1"/>
  <c r="AJ154" i="6" s="1"/>
  <c r="AF155" i="6" s="1"/>
  <c r="AG155" i="6" l="1"/>
  <c r="AK155" i="6" s="1"/>
  <c r="V133" i="6"/>
  <c r="AL154" i="6"/>
  <c r="AH155" i="6" l="1"/>
  <c r="AI155" i="6" s="1"/>
  <c r="AJ155" i="6" s="1"/>
  <c r="AF156" i="6" s="1"/>
  <c r="Z133" i="6"/>
  <c r="W133" i="6"/>
  <c r="X133" i="6" s="1"/>
  <c r="T134" i="6" s="1"/>
  <c r="U134" i="6" l="1"/>
  <c r="Y134" i="6" s="1"/>
  <c r="AG156" i="6"/>
  <c r="AK156" i="6" s="1"/>
  <c r="AL155" i="6"/>
  <c r="AH156" i="6" l="1"/>
  <c r="AI156" i="6" s="1"/>
  <c r="AJ156" i="6" s="1"/>
  <c r="AF157" i="6" s="1"/>
  <c r="V134" i="6"/>
  <c r="AL156" i="6" l="1"/>
  <c r="AG157" i="6"/>
  <c r="AK157" i="6" s="1"/>
  <c r="W134" i="6"/>
  <c r="X134" i="6" s="1"/>
  <c r="T135" i="6" s="1"/>
  <c r="Z134" i="6"/>
  <c r="AH157" i="6" l="1"/>
  <c r="U135" i="6"/>
  <c r="Y135" i="6" s="1"/>
  <c r="E3" i="4"/>
  <c r="F3" i="4"/>
  <c r="L3" i="4"/>
  <c r="M3" i="4"/>
  <c r="E4" i="4"/>
  <c r="F4" i="4"/>
  <c r="L4" i="4"/>
  <c r="M4" i="4"/>
  <c r="E5" i="4"/>
  <c r="F5" i="4"/>
  <c r="L5" i="4"/>
  <c r="M5" i="4"/>
  <c r="E6" i="4"/>
  <c r="F6" i="4"/>
  <c r="L6" i="4"/>
  <c r="M6" i="4"/>
  <c r="E7" i="4"/>
  <c r="F7" i="4"/>
  <c r="L7" i="4"/>
  <c r="M7" i="4"/>
  <c r="E8" i="4"/>
  <c r="F8" i="4"/>
  <c r="L8" i="4"/>
  <c r="M8" i="4"/>
  <c r="E9" i="4"/>
  <c r="F9" i="4"/>
  <c r="L9" i="4"/>
  <c r="M9" i="4"/>
  <c r="E10" i="4"/>
  <c r="F10" i="4"/>
  <c r="L10" i="4"/>
  <c r="M10" i="4"/>
  <c r="E11" i="4"/>
  <c r="F11" i="4"/>
  <c r="L11" i="4"/>
  <c r="M11" i="4"/>
  <c r="E12" i="4"/>
  <c r="F12" i="4"/>
  <c r="L12" i="4"/>
  <c r="M12" i="4"/>
  <c r="E13" i="4"/>
  <c r="F13" i="4"/>
  <c r="L13" i="4"/>
  <c r="M13" i="4"/>
  <c r="E14" i="4"/>
  <c r="F14" i="4"/>
  <c r="L14" i="4"/>
  <c r="M14" i="4"/>
  <c r="E15" i="4"/>
  <c r="F15" i="4"/>
  <c r="L15" i="4"/>
  <c r="M15" i="4"/>
  <c r="E16" i="4"/>
  <c r="F16" i="4"/>
  <c r="L16" i="4"/>
  <c r="M16" i="4"/>
  <c r="E17" i="4"/>
  <c r="F17" i="4"/>
  <c r="L17" i="4"/>
  <c r="M17" i="4"/>
  <c r="E18" i="4"/>
  <c r="F18" i="4"/>
  <c r="L18" i="4"/>
  <c r="M18" i="4"/>
  <c r="E19" i="4"/>
  <c r="F19" i="4"/>
  <c r="L19" i="4"/>
  <c r="M19" i="4"/>
  <c r="E20" i="4"/>
  <c r="F20" i="4"/>
  <c r="L20" i="4"/>
  <c r="M20" i="4"/>
  <c r="E21" i="4"/>
  <c r="F21" i="4"/>
  <c r="L21" i="4"/>
  <c r="M21" i="4"/>
  <c r="E22" i="4"/>
  <c r="F22" i="4"/>
  <c r="L22" i="4"/>
  <c r="M22" i="4"/>
  <c r="E23" i="4"/>
  <c r="F23" i="4"/>
  <c r="L23" i="4"/>
  <c r="M23" i="4"/>
  <c r="E24" i="4"/>
  <c r="F24" i="4"/>
  <c r="L24" i="4"/>
  <c r="M24" i="4"/>
  <c r="E25" i="4"/>
  <c r="F25" i="4"/>
  <c r="L25" i="4"/>
  <c r="M25" i="4"/>
  <c r="E26" i="4"/>
  <c r="F26" i="4"/>
  <c r="L26" i="4"/>
  <c r="M26" i="4"/>
  <c r="E27" i="4"/>
  <c r="F27" i="4"/>
  <c r="L27" i="4"/>
  <c r="M27" i="4"/>
  <c r="E28" i="4"/>
  <c r="F28" i="4"/>
  <c r="L28" i="4"/>
  <c r="M28" i="4"/>
  <c r="E29" i="4"/>
  <c r="F29" i="4"/>
  <c r="L29" i="4"/>
  <c r="M29" i="4"/>
  <c r="E30" i="4"/>
  <c r="F30" i="4"/>
  <c r="L30" i="4"/>
  <c r="M30" i="4"/>
  <c r="E31" i="4"/>
  <c r="F31" i="4"/>
  <c r="L31" i="4"/>
  <c r="M31" i="4"/>
  <c r="E32" i="4"/>
  <c r="F32" i="4"/>
  <c r="L32" i="4"/>
  <c r="M32" i="4"/>
  <c r="E33" i="4"/>
  <c r="F33" i="4"/>
  <c r="L33" i="4"/>
  <c r="M33" i="4"/>
  <c r="E34" i="4"/>
  <c r="F34" i="4"/>
  <c r="L34" i="4"/>
  <c r="M34" i="4"/>
  <c r="E35" i="4"/>
  <c r="F35" i="4"/>
  <c r="L35" i="4"/>
  <c r="M35" i="4"/>
  <c r="E36" i="4"/>
  <c r="F36" i="4"/>
  <c r="L36" i="4"/>
  <c r="M36" i="4"/>
  <c r="E37" i="4"/>
  <c r="F37" i="4"/>
  <c r="L37" i="4"/>
  <c r="M37" i="4"/>
  <c r="E38" i="4"/>
  <c r="F38" i="4"/>
  <c r="L38" i="4"/>
  <c r="M38" i="4"/>
  <c r="F4" i="9"/>
  <c r="F3" i="9"/>
  <c r="F2" i="9"/>
  <c r="G4" i="9"/>
  <c r="G3" i="9"/>
  <c r="G2" i="9"/>
  <c r="AI157" i="6" l="1"/>
  <c r="AJ157" i="6" s="1"/>
  <c r="AF158" i="6" s="1"/>
  <c r="AL157" i="6"/>
  <c r="V135" i="6"/>
  <c r="Z5" i="7"/>
  <c r="Z5" i="8" s="1" a="1"/>
  <c r="Z5" i="8" s="1"/>
  <c r="AA5" i="8" s="1"/>
  <c r="Z4" i="7"/>
  <c r="Z4" i="8" s="1" a="1"/>
  <c r="Z4" i="8" s="1"/>
  <c r="AA4" i="8" s="1"/>
  <c r="AB4" i="8" s="1"/>
  <c r="T4" i="7"/>
  <c r="U4" i="7" s="1"/>
  <c r="H2" i="9"/>
  <c r="G36" i="4"/>
  <c r="G21" i="4"/>
  <c r="G19" i="4"/>
  <c r="G13" i="4"/>
  <c r="G11" i="4"/>
  <c r="G9" i="4"/>
  <c r="G7" i="4"/>
  <c r="G3" i="4"/>
  <c r="I3" i="4" s="1"/>
  <c r="N3" i="4" s="1"/>
  <c r="O3" i="4" s="1"/>
  <c r="G18" i="4"/>
  <c r="G33" i="4"/>
  <c r="G31" i="4"/>
  <c r="E3" i="9"/>
  <c r="H4" i="9"/>
  <c r="G28" i="4"/>
  <c r="G16" i="4"/>
  <c r="G27" i="4"/>
  <c r="I27" i="4" s="1"/>
  <c r="N27" i="4" s="1"/>
  <c r="G37" i="4"/>
  <c r="G35" i="4"/>
  <c r="G29" i="4"/>
  <c r="H3" i="9"/>
  <c r="G8" i="4"/>
  <c r="G4" i="4"/>
  <c r="G5" i="4"/>
  <c r="E4" i="9"/>
  <c r="G22" i="4"/>
  <c r="G26" i="4"/>
  <c r="G24" i="4"/>
  <c r="G30" i="4"/>
  <c r="G17" i="4"/>
  <c r="G15" i="4"/>
  <c r="I15" i="4" s="1"/>
  <c r="N15" i="4" s="1"/>
  <c r="G20" i="4"/>
  <c r="G14" i="4"/>
  <c r="G38" i="4"/>
  <c r="G34" i="4"/>
  <c r="G25" i="4"/>
  <c r="G23" i="4"/>
  <c r="G12" i="4"/>
  <c r="G10" i="4"/>
  <c r="G6" i="4"/>
  <c r="E2" i="9"/>
  <c r="G32" i="4"/>
  <c r="X3" i="9" l="1"/>
  <c r="X4" i="9"/>
  <c r="AH2" i="9"/>
  <c r="AH4" i="9"/>
  <c r="X2" i="9"/>
  <c r="AH3" i="9"/>
  <c r="AG158" i="6"/>
  <c r="AK158" i="6" s="1"/>
  <c r="AH158" i="6"/>
  <c r="W135" i="6"/>
  <c r="X135" i="6" s="1"/>
  <c r="Z135" i="6"/>
  <c r="E4" i="6"/>
  <c r="F4" i="6" s="1"/>
  <c r="G4" i="6" s="1"/>
  <c r="AA4" i="7"/>
  <c r="L4" i="8"/>
  <c r="M4" i="8" s="1"/>
  <c r="Z4" i="9" s="1"/>
  <c r="G4" i="8"/>
  <c r="AG4" i="9"/>
  <c r="V4" i="7"/>
  <c r="W4" i="7" s="1"/>
  <c r="K27" i="4"/>
  <c r="H28" i="4" s="1"/>
  <c r="I28" i="4" s="1"/>
  <c r="E29" i="6" s="1"/>
  <c r="K3" i="4"/>
  <c r="H4" i="4" s="1"/>
  <c r="I4" i="4" s="1"/>
  <c r="E16" i="6"/>
  <c r="E28" i="6"/>
  <c r="F26" i="1"/>
  <c r="K15" i="4"/>
  <c r="H16" i="4" s="1"/>
  <c r="I16" i="4" s="1"/>
  <c r="K16" i="4" s="1"/>
  <c r="H17" i="4" s="1"/>
  <c r="I17" i="4" s="1"/>
  <c r="AD4" i="9" l="1"/>
  <c r="E5" i="8"/>
  <c r="K4" i="8"/>
  <c r="J5" i="8" s="1"/>
  <c r="L4" i="7"/>
  <c r="M4" i="7" s="1"/>
  <c r="Y4" i="9" s="1"/>
  <c r="G4" i="7"/>
  <c r="E5" i="7" s="1"/>
  <c r="AF4" i="9"/>
  <c r="AI158" i="6"/>
  <c r="AJ158" i="6" s="1"/>
  <c r="AF159" i="6" s="1"/>
  <c r="AL158" i="6"/>
  <c r="T136" i="6"/>
  <c r="O12" i="9"/>
  <c r="K4" i="6"/>
  <c r="L4" i="6" s="1"/>
  <c r="N5" i="8"/>
  <c r="O6" i="8" s="1"/>
  <c r="P7" i="8" s="1"/>
  <c r="Q8" i="8" s="1"/>
  <c r="R9" i="8" s="1"/>
  <c r="S10" i="8" s="1"/>
  <c r="X4" i="7"/>
  <c r="Y4" i="7" s="1"/>
  <c r="N28" i="4"/>
  <c r="K28" i="4"/>
  <c r="H29" i="4" s="1"/>
  <c r="I29" i="4" s="1"/>
  <c r="N29" i="4" s="1"/>
  <c r="K4" i="4"/>
  <c r="H5" i="4" s="1"/>
  <c r="I5" i="4" s="1"/>
  <c r="E6" i="6" s="1"/>
  <c r="E5" i="6"/>
  <c r="N4" i="4"/>
  <c r="O4" i="4" s="1"/>
  <c r="N16" i="4"/>
  <c r="E17" i="6"/>
  <c r="N5" i="7"/>
  <c r="K17" i="4"/>
  <c r="H18" i="4" s="1"/>
  <c r="I18" i="4" s="1"/>
  <c r="E18" i="6"/>
  <c r="N17" i="4"/>
  <c r="H4" i="6"/>
  <c r="M4" i="6"/>
  <c r="AC4" i="9" l="1"/>
  <c r="H49" i="3"/>
  <c r="H42" i="3"/>
  <c r="H43" i="3"/>
  <c r="H39" i="3"/>
  <c r="H40" i="3"/>
  <c r="H44" i="3"/>
  <c r="H41" i="3"/>
  <c r="H38" i="3"/>
  <c r="H46" i="3"/>
  <c r="H47" i="3"/>
  <c r="I5" i="7"/>
  <c r="H48" i="3"/>
  <c r="H45" i="3"/>
  <c r="H45" i="5"/>
  <c r="H47" i="5"/>
  <c r="H43" i="5"/>
  <c r="H46" i="5"/>
  <c r="H39" i="5"/>
  <c r="I5" i="8"/>
  <c r="H49" i="5"/>
  <c r="H48" i="5"/>
  <c r="H41" i="5"/>
  <c r="H40" i="5"/>
  <c r="H44" i="5"/>
  <c r="H42" i="5"/>
  <c r="H38" i="5"/>
  <c r="K4" i="7"/>
  <c r="L4" i="9" s="1"/>
  <c r="M4" i="9"/>
  <c r="AG159" i="6"/>
  <c r="AK159" i="6" s="1"/>
  <c r="AH159" i="6"/>
  <c r="U136" i="6"/>
  <c r="Y136" i="6" s="1"/>
  <c r="O6" i="7"/>
  <c r="P7" i="7" s="1"/>
  <c r="Q8" i="7" s="1"/>
  <c r="R9" i="7" s="1"/>
  <c r="S10" i="7" s="1"/>
  <c r="E30" i="6"/>
  <c r="K29" i="4"/>
  <c r="H30" i="4" s="1"/>
  <c r="I30" i="4" s="1"/>
  <c r="K30" i="4" s="1"/>
  <c r="H31" i="4" s="1"/>
  <c r="I31" i="4" s="1"/>
  <c r="N5" i="4"/>
  <c r="O5" i="4" s="1"/>
  <c r="K5" i="4"/>
  <c r="H6" i="4" s="1"/>
  <c r="I6" i="4" s="1"/>
  <c r="N6" i="4" s="1"/>
  <c r="I4" i="6"/>
  <c r="N4" i="6"/>
  <c r="K18" i="4"/>
  <c r="H19" i="4" s="1"/>
  <c r="I19" i="4" s="1"/>
  <c r="E19" i="6"/>
  <c r="N18" i="4"/>
  <c r="J46" i="3" l="1"/>
  <c r="J39" i="3"/>
  <c r="J47" i="3"/>
  <c r="J43" i="3"/>
  <c r="J49" i="3"/>
  <c r="J40" i="3"/>
  <c r="J48" i="3"/>
  <c r="J44" i="3"/>
  <c r="J45" i="3"/>
  <c r="J41" i="3"/>
  <c r="J42" i="3"/>
  <c r="J38" i="3"/>
  <c r="J38" i="5"/>
  <c r="J47" i="5"/>
  <c r="J39" i="5"/>
  <c r="J49" i="5"/>
  <c r="J43" i="5"/>
  <c r="J45" i="5"/>
  <c r="J42" i="5"/>
  <c r="J41" i="5"/>
  <c r="J44" i="5"/>
  <c r="J48" i="5"/>
  <c r="J46" i="5"/>
  <c r="J40" i="5"/>
  <c r="J5" i="7"/>
  <c r="N4" i="9"/>
  <c r="AI159" i="6"/>
  <c r="AJ159" i="6" s="1"/>
  <c r="AF160" i="6" s="1"/>
  <c r="AL159" i="6"/>
  <c r="V136" i="6"/>
  <c r="E31" i="6"/>
  <c r="N30" i="4"/>
  <c r="E7" i="6"/>
  <c r="K6" i="4"/>
  <c r="H7" i="4" s="1"/>
  <c r="I7" i="4" s="1"/>
  <c r="K7" i="4" s="1"/>
  <c r="H8" i="4" s="1"/>
  <c r="I8" i="4" s="1"/>
  <c r="O6" i="4"/>
  <c r="J4" i="6"/>
  <c r="E20" i="6"/>
  <c r="K19" i="4"/>
  <c r="H20" i="4" s="1"/>
  <c r="I20" i="4" s="1"/>
  <c r="N19" i="4"/>
  <c r="K31" i="4"/>
  <c r="H32" i="4" s="1"/>
  <c r="I32" i="4" s="1"/>
  <c r="E32" i="6"/>
  <c r="N31" i="4"/>
  <c r="N38" i="3" l="1"/>
  <c r="L39" i="3"/>
  <c r="N38" i="5"/>
  <c r="L39" i="5"/>
  <c r="AG160" i="6"/>
  <c r="AK160" i="6" s="1"/>
  <c r="AH160" i="6"/>
  <c r="AL160" i="6" s="1"/>
  <c r="AJ160" i="6"/>
  <c r="AF161" i="6" s="1"/>
  <c r="AI160" i="6"/>
  <c r="AF184" i="6"/>
  <c r="P14" i="9"/>
  <c r="Z136" i="6"/>
  <c r="W136" i="6"/>
  <c r="X136" i="6" s="1"/>
  <c r="T137" i="6" s="1"/>
  <c r="E8" i="6"/>
  <c r="N7" i="4"/>
  <c r="O7" i="4" s="1"/>
  <c r="K32" i="4"/>
  <c r="H33" i="4" s="1"/>
  <c r="I33" i="4" s="1"/>
  <c r="E33" i="6"/>
  <c r="N32" i="4"/>
  <c r="K8" i="4"/>
  <c r="H9" i="4" s="1"/>
  <c r="I9" i="4" s="1"/>
  <c r="E9" i="6"/>
  <c r="N8" i="4"/>
  <c r="K20" i="4"/>
  <c r="H21" i="4" s="1"/>
  <c r="I21" i="4" s="1"/>
  <c r="E21" i="6"/>
  <c r="N20" i="4"/>
  <c r="D5" i="6"/>
  <c r="O38" i="3" l="1"/>
  <c r="P38" i="3"/>
  <c r="R38" i="3" s="1"/>
  <c r="Q38" i="3"/>
  <c r="K39" i="3" s="1"/>
  <c r="O38" i="5"/>
  <c r="P38" i="5"/>
  <c r="R38" i="5" s="1"/>
  <c r="Q38" i="5"/>
  <c r="K39" i="5" s="1"/>
  <c r="AI161" i="6"/>
  <c r="AG161" i="6"/>
  <c r="AK161" i="6" s="1"/>
  <c r="AH161" i="6"/>
  <c r="AL161" i="6" s="1"/>
  <c r="AJ161" i="6"/>
  <c r="AF162" i="6" s="1"/>
  <c r="AG184" i="6"/>
  <c r="AK184" i="6" s="1"/>
  <c r="AH184" i="6"/>
  <c r="U137" i="6"/>
  <c r="Y137" i="6" s="1"/>
  <c r="O8" i="4"/>
  <c r="K9" i="4"/>
  <c r="H10" i="4" s="1"/>
  <c r="I10" i="4" s="1"/>
  <c r="E10" i="6"/>
  <c r="N9" i="4"/>
  <c r="K21" i="4"/>
  <c r="H22" i="4" s="1"/>
  <c r="I22" i="4" s="1"/>
  <c r="E22" i="6"/>
  <c r="N21" i="4"/>
  <c r="F5" i="6"/>
  <c r="G5" i="6" s="1"/>
  <c r="K5" i="6"/>
  <c r="E34" i="6"/>
  <c r="K33" i="4"/>
  <c r="H34" i="4" s="1"/>
  <c r="I34" i="4" s="1"/>
  <c r="N33" i="4"/>
  <c r="S38" i="3" l="1"/>
  <c r="N39" i="3"/>
  <c r="L40" i="3"/>
  <c r="N39" i="5"/>
  <c r="Q39" i="5" s="1"/>
  <c r="S38" i="5"/>
  <c r="L40" i="5"/>
  <c r="AG162" i="6"/>
  <c r="AK162" i="6" s="1"/>
  <c r="AH162" i="6"/>
  <c r="AL162" i="6" s="1"/>
  <c r="AI162" i="6"/>
  <c r="AJ162" i="6"/>
  <c r="AF163" i="6" s="1"/>
  <c r="AI184" i="6"/>
  <c r="AJ184" i="6" s="1"/>
  <c r="AF185" i="6" s="1"/>
  <c r="AG185" i="6" s="1"/>
  <c r="AK185" i="6" s="1"/>
  <c r="AL184" i="6"/>
  <c r="V137" i="6"/>
  <c r="O9" i="4"/>
  <c r="L5" i="6"/>
  <c r="M5" i="6"/>
  <c r="K22" i="4"/>
  <c r="H23" i="4" s="1"/>
  <c r="I23" i="4" s="1"/>
  <c r="E23" i="6"/>
  <c r="N22" i="4"/>
  <c r="K34" i="4"/>
  <c r="H35" i="4" s="1"/>
  <c r="I35" i="4" s="1"/>
  <c r="E35" i="6"/>
  <c r="N34" i="4"/>
  <c r="K10" i="4"/>
  <c r="H11" i="4" s="1"/>
  <c r="I11" i="4" s="1"/>
  <c r="E11" i="6"/>
  <c r="N10" i="4"/>
  <c r="H5" i="6"/>
  <c r="O39" i="3" l="1"/>
  <c r="P39" i="3"/>
  <c r="Q39" i="3"/>
  <c r="K40" i="3" s="1"/>
  <c r="O39" i="5"/>
  <c r="P39" i="5"/>
  <c r="K40" i="5"/>
  <c r="L41" i="5" s="1"/>
  <c r="AG163" i="6"/>
  <c r="AK163" i="6" s="1"/>
  <c r="AI163" i="6"/>
  <c r="AJ163" i="6"/>
  <c r="AF164" i="6" s="1"/>
  <c r="AH163" i="6"/>
  <c r="AL163" i="6" s="1"/>
  <c r="AH185" i="6"/>
  <c r="AL185" i="6" s="1"/>
  <c r="AI185" i="6"/>
  <c r="AJ185" i="6" s="1"/>
  <c r="AF186" i="6" s="1"/>
  <c r="Z137" i="6"/>
  <c r="W137" i="6"/>
  <c r="X137" i="6" s="1"/>
  <c r="T138" i="6" s="1"/>
  <c r="O10" i="4"/>
  <c r="N5" i="6"/>
  <c r="I5" i="6"/>
  <c r="K11" i="4"/>
  <c r="H12" i="4" s="1"/>
  <c r="I12" i="4" s="1"/>
  <c r="E12" i="6"/>
  <c r="N11" i="4"/>
  <c r="K35" i="4"/>
  <c r="H36" i="4" s="1"/>
  <c r="I36" i="4" s="1"/>
  <c r="E36" i="6"/>
  <c r="N35" i="4"/>
  <c r="K23" i="4"/>
  <c r="H24" i="4" s="1"/>
  <c r="I24" i="4" s="1"/>
  <c r="E24" i="6"/>
  <c r="N23" i="4"/>
  <c r="L41" i="3" l="1"/>
  <c r="N40" i="3"/>
  <c r="S39" i="3"/>
  <c r="R39" i="3"/>
  <c r="N40" i="5"/>
  <c r="S39" i="5"/>
  <c r="R39" i="5"/>
  <c r="AG164" i="6"/>
  <c r="AK164" i="6" s="1"/>
  <c r="AJ164" i="6"/>
  <c r="AF165" i="6" s="1"/>
  <c r="AH164" i="6"/>
  <c r="AL164" i="6" s="1"/>
  <c r="AI164" i="6"/>
  <c r="U138" i="6"/>
  <c r="Y138" i="6" s="1"/>
  <c r="AG186" i="6"/>
  <c r="AK186" i="6" s="1"/>
  <c r="O11" i="4"/>
  <c r="K24" i="4"/>
  <c r="H25" i="4" s="1"/>
  <c r="I25" i="4" s="1"/>
  <c r="E25" i="6"/>
  <c r="N24" i="4"/>
  <c r="K12" i="4"/>
  <c r="H13" i="4" s="1"/>
  <c r="I13" i="4" s="1"/>
  <c r="E13" i="6"/>
  <c r="N12" i="4"/>
  <c r="K36" i="4"/>
  <c r="H37" i="4" s="1"/>
  <c r="I37" i="4" s="1"/>
  <c r="E37" i="6"/>
  <c r="N36" i="4"/>
  <c r="J5" i="6"/>
  <c r="O40" i="3" l="1"/>
  <c r="P40" i="3"/>
  <c r="Q40" i="3"/>
  <c r="O40" i="5"/>
  <c r="P40" i="5"/>
  <c r="Q40" i="5"/>
  <c r="AI165" i="6"/>
  <c r="AG165" i="6"/>
  <c r="AK165" i="6" s="1"/>
  <c r="AJ165" i="6"/>
  <c r="AF166" i="6" s="1"/>
  <c r="AH165" i="6"/>
  <c r="AL165" i="6" s="1"/>
  <c r="V138" i="6"/>
  <c r="AH186" i="6"/>
  <c r="O12" i="4"/>
  <c r="K37" i="4"/>
  <c r="H38" i="4" s="1"/>
  <c r="I38" i="4" s="1"/>
  <c r="E38" i="6"/>
  <c r="N37" i="4"/>
  <c r="K25" i="4"/>
  <c r="H26" i="4" s="1"/>
  <c r="I26" i="4" s="1"/>
  <c r="E26" i="6"/>
  <c r="N25" i="4"/>
  <c r="D6" i="6"/>
  <c r="E14" i="6"/>
  <c r="K13" i="4"/>
  <c r="H14" i="4" s="1"/>
  <c r="I14" i="4" s="1"/>
  <c r="N13" i="4"/>
  <c r="K41" i="3" l="1"/>
  <c r="K41" i="5"/>
  <c r="AJ166" i="6"/>
  <c r="AF167" i="6" s="1"/>
  <c r="AG166" i="6"/>
  <c r="AK166" i="6" s="1"/>
  <c r="AH166" i="6"/>
  <c r="AL166" i="6" s="1"/>
  <c r="AI166" i="6"/>
  <c r="AL186" i="6"/>
  <c r="AI186" i="6"/>
  <c r="AJ186" i="6" s="1"/>
  <c r="AF187" i="6" s="1"/>
  <c r="W138" i="6"/>
  <c r="X138" i="6" s="1"/>
  <c r="T139" i="6" s="1"/>
  <c r="Z138" i="6"/>
  <c r="O13" i="4"/>
  <c r="E27" i="6"/>
  <c r="N26" i="4"/>
  <c r="J26" i="4"/>
  <c r="T3" i="9" s="1"/>
  <c r="F6" i="6"/>
  <c r="G6" i="6" s="1"/>
  <c r="H6" i="6" s="1"/>
  <c r="K6" i="6"/>
  <c r="E15" i="6"/>
  <c r="N14" i="4"/>
  <c r="J14" i="4"/>
  <c r="E39" i="6"/>
  <c r="N38" i="4"/>
  <c r="J38" i="4"/>
  <c r="T4" i="9" s="1"/>
  <c r="L42" i="3" l="1"/>
  <c r="L42" i="5"/>
  <c r="N41" i="3"/>
  <c r="S40" i="3"/>
  <c r="R40" i="3"/>
  <c r="N41" i="5"/>
  <c r="S40" i="5"/>
  <c r="R40" i="5"/>
  <c r="AH167" i="6"/>
  <c r="AL167" i="6" s="1"/>
  <c r="AI167" i="6"/>
  <c r="AJ167" i="6"/>
  <c r="AF168" i="6" s="1"/>
  <c r="AG167" i="6"/>
  <c r="AK167" i="6" s="1"/>
  <c r="I6" i="6"/>
  <c r="J6" i="6" s="1"/>
  <c r="D7" i="6" s="1"/>
  <c r="U139" i="6"/>
  <c r="Y139" i="6" s="1"/>
  <c r="AG187" i="6"/>
  <c r="AK187" i="6" s="1"/>
  <c r="O14" i="4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L6" i="6"/>
  <c r="T2" i="9"/>
  <c r="U2" i="9" s="1"/>
  <c r="U3" i="9" s="1"/>
  <c r="U4" i="9" s="1"/>
  <c r="N6" i="6"/>
  <c r="M6" i="6"/>
  <c r="O41" i="3" l="1"/>
  <c r="P41" i="3"/>
  <c r="Q41" i="3"/>
  <c r="O41" i="5"/>
  <c r="P41" i="5"/>
  <c r="Q41" i="5"/>
  <c r="AG168" i="6"/>
  <c r="AK168" i="6" s="1"/>
  <c r="AH168" i="6"/>
  <c r="AL168" i="6" s="1"/>
  <c r="AI168" i="6"/>
  <c r="AJ168" i="6"/>
  <c r="AF169" i="6" s="1"/>
  <c r="AH187" i="6"/>
  <c r="V139" i="6"/>
  <c r="F7" i="6"/>
  <c r="G7" i="6" s="1"/>
  <c r="K7" i="6"/>
  <c r="L7" i="6" s="1"/>
  <c r="K42" i="3" l="1"/>
  <c r="K42" i="5"/>
  <c r="AI169" i="6"/>
  <c r="AJ169" i="6"/>
  <c r="AF170" i="6" s="1"/>
  <c r="AG169" i="6"/>
  <c r="AK169" i="6" s="1"/>
  <c r="AH169" i="6"/>
  <c r="AL169" i="6" s="1"/>
  <c r="W139" i="6"/>
  <c r="X139" i="6" s="1"/>
  <c r="T140" i="6" s="1"/>
  <c r="Z139" i="6"/>
  <c r="AI187" i="6"/>
  <c r="AJ187" i="6" s="1"/>
  <c r="AF188" i="6" s="1"/>
  <c r="AL187" i="6"/>
  <c r="H7" i="6"/>
  <c r="M7" i="6"/>
  <c r="L43" i="3" l="1"/>
  <c r="L43" i="5"/>
  <c r="N42" i="3"/>
  <c r="S41" i="3"/>
  <c r="R41" i="3"/>
  <c r="N42" i="5"/>
  <c r="S41" i="5"/>
  <c r="R41" i="5"/>
  <c r="AJ170" i="6"/>
  <c r="AF171" i="6" s="1"/>
  <c r="AI170" i="6"/>
  <c r="AG170" i="6"/>
  <c r="AK170" i="6" s="1"/>
  <c r="AH170" i="6"/>
  <c r="AL170" i="6" s="1"/>
  <c r="AH188" i="6"/>
  <c r="AL188" i="6" s="1"/>
  <c r="AG188" i="6"/>
  <c r="AK188" i="6" s="1"/>
  <c r="U140" i="6"/>
  <c r="Y140" i="6" s="1"/>
  <c r="I7" i="6"/>
  <c r="N7" i="6"/>
  <c r="O42" i="3" l="1"/>
  <c r="P42" i="3"/>
  <c r="Q42" i="3"/>
  <c r="O42" i="5"/>
  <c r="P42" i="5"/>
  <c r="Q42" i="5"/>
  <c r="AG171" i="6"/>
  <c r="AK171" i="6" s="1"/>
  <c r="AI171" i="6"/>
  <c r="AJ171" i="6"/>
  <c r="AF172" i="6" s="1"/>
  <c r="AH171" i="6"/>
  <c r="AL171" i="6" s="1"/>
  <c r="V140" i="6"/>
  <c r="AI188" i="6"/>
  <c r="AJ188" i="6" s="1"/>
  <c r="AF189" i="6" s="1"/>
  <c r="J7" i="6"/>
  <c r="K43" i="3" l="1"/>
  <c r="K43" i="5"/>
  <c r="AG172" i="6"/>
  <c r="AK172" i="6" s="1"/>
  <c r="AJ172" i="6"/>
  <c r="AF173" i="6" s="1"/>
  <c r="AH172" i="6"/>
  <c r="AL172" i="6" s="1"/>
  <c r="AI172" i="6"/>
  <c r="Z140" i="6"/>
  <c r="W140" i="6"/>
  <c r="X140" i="6" s="1"/>
  <c r="T141" i="6" s="1"/>
  <c r="AG189" i="6"/>
  <c r="AK189" i="6" s="1"/>
  <c r="D8" i="6"/>
  <c r="L44" i="3" l="1"/>
  <c r="L44" i="5"/>
  <c r="N43" i="3"/>
  <c r="S42" i="3"/>
  <c r="R42" i="3"/>
  <c r="N43" i="5"/>
  <c r="S42" i="5"/>
  <c r="R42" i="5"/>
  <c r="AG173" i="6"/>
  <c r="AK173" i="6" s="1"/>
  <c r="AH173" i="6"/>
  <c r="AL173" i="6" s="1"/>
  <c r="AI173" i="6"/>
  <c r="AJ173" i="6"/>
  <c r="AF174" i="6" s="1"/>
  <c r="U141" i="6"/>
  <c r="Y141" i="6" s="1"/>
  <c r="AH189" i="6"/>
  <c r="F8" i="6"/>
  <c r="G8" i="6" s="1"/>
  <c r="M8" i="6" s="1"/>
  <c r="K8" i="6"/>
  <c r="L8" i="6" s="1"/>
  <c r="O43" i="3" l="1"/>
  <c r="P43" i="3"/>
  <c r="Q43" i="3"/>
  <c r="O43" i="5"/>
  <c r="P43" i="5"/>
  <c r="R43" i="5" s="1"/>
  <c r="Q43" i="5"/>
  <c r="AG174" i="6"/>
  <c r="AK174" i="6" s="1"/>
  <c r="AJ174" i="6"/>
  <c r="AF175" i="6" s="1"/>
  <c r="AH174" i="6"/>
  <c r="AL174" i="6" s="1"/>
  <c r="AI174" i="6"/>
  <c r="V141" i="6"/>
  <c r="Z141" i="6" s="1"/>
  <c r="AL189" i="6"/>
  <c r="AI189" i="6"/>
  <c r="AJ189" i="6" s="1"/>
  <c r="AF190" i="6" s="1"/>
  <c r="H8" i="6"/>
  <c r="K44" i="3" l="1"/>
  <c r="K44" i="5"/>
  <c r="S43" i="5"/>
  <c r="AG175" i="6"/>
  <c r="AK175" i="6" s="1"/>
  <c r="AH175" i="6"/>
  <c r="AL175" i="6" s="1"/>
  <c r="AJ175" i="6"/>
  <c r="AF176" i="6" s="1"/>
  <c r="AI175" i="6"/>
  <c r="W141" i="6"/>
  <c r="X141" i="6" s="1"/>
  <c r="T142" i="6" s="1"/>
  <c r="AH190" i="6"/>
  <c r="AL190" i="6" s="1"/>
  <c r="AG190" i="6"/>
  <c r="AK190" i="6" s="1"/>
  <c r="N8" i="6"/>
  <c r="I8" i="6"/>
  <c r="J8" i="6" s="1"/>
  <c r="L45" i="3" l="1"/>
  <c r="N44" i="5"/>
  <c r="Q44" i="5"/>
  <c r="K45" i="5" s="1"/>
  <c r="L45" i="5"/>
  <c r="S43" i="3"/>
  <c r="R43" i="3"/>
  <c r="N44" i="3"/>
  <c r="AH176" i="6"/>
  <c r="AL176" i="6" s="1"/>
  <c r="AI176" i="6"/>
  <c r="AG176" i="6"/>
  <c r="AK176" i="6" s="1"/>
  <c r="AJ176" i="6"/>
  <c r="AF177" i="6" s="1"/>
  <c r="U142" i="6"/>
  <c r="Y142" i="6" s="1"/>
  <c r="AI190" i="6"/>
  <c r="AJ190" i="6" s="1"/>
  <c r="AF191" i="6" s="1"/>
  <c r="D9" i="6"/>
  <c r="O44" i="3" l="1"/>
  <c r="P44" i="3"/>
  <c r="Q44" i="3"/>
  <c r="L46" i="5"/>
  <c r="O44" i="5"/>
  <c r="P44" i="5"/>
  <c r="N45" i="5"/>
  <c r="V142" i="6"/>
  <c r="AG177" i="6"/>
  <c r="AK177" i="6" s="1"/>
  <c r="AJ177" i="6"/>
  <c r="AF178" i="6" s="1"/>
  <c r="AH177" i="6"/>
  <c r="AL177" i="6" s="1"/>
  <c r="AI177" i="6"/>
  <c r="AH191" i="6"/>
  <c r="AL191" i="6" s="1"/>
  <c r="AG191" i="6"/>
  <c r="AK191" i="6" s="1"/>
  <c r="F9" i="6"/>
  <c r="G9" i="6" s="1"/>
  <c r="M9" i="6" s="1"/>
  <c r="K9" i="6"/>
  <c r="L9" i="6" s="1"/>
  <c r="O45" i="5" l="1"/>
  <c r="R44" i="5"/>
  <c r="S44" i="5"/>
  <c r="P45" i="5"/>
  <c r="Q45" i="5"/>
  <c r="K46" i="5" s="1"/>
  <c r="K45" i="3"/>
  <c r="W142" i="6"/>
  <c r="X142" i="6" s="1"/>
  <c r="T143" i="6" s="1"/>
  <c r="U143" i="6" s="1"/>
  <c r="Y143" i="6" s="1"/>
  <c r="Z142" i="6"/>
  <c r="AI178" i="6"/>
  <c r="AG178" i="6"/>
  <c r="AK178" i="6" s="1"/>
  <c r="AH178" i="6"/>
  <c r="AL178" i="6" s="1"/>
  <c r="AJ178" i="6"/>
  <c r="AF179" i="6" s="1"/>
  <c r="AI191" i="6"/>
  <c r="AJ191" i="6" s="1"/>
  <c r="AF192" i="6" s="1"/>
  <c r="H9" i="6"/>
  <c r="L46" i="3" l="1"/>
  <c r="S45" i="5"/>
  <c r="R45" i="5"/>
  <c r="L47" i="5"/>
  <c r="N45" i="3"/>
  <c r="R44" i="3"/>
  <c r="S44" i="3"/>
  <c r="N46" i="5"/>
  <c r="V143" i="6"/>
  <c r="Z143" i="6" s="1"/>
  <c r="AG179" i="6"/>
  <c r="AK179" i="6" s="1"/>
  <c r="AH179" i="6"/>
  <c r="AL179" i="6" s="1"/>
  <c r="AI179" i="6"/>
  <c r="AJ179" i="6"/>
  <c r="AF180" i="6" s="1"/>
  <c r="AG192" i="6"/>
  <c r="AK192" i="6" s="1"/>
  <c r="N9" i="6"/>
  <c r="I9" i="6"/>
  <c r="J9" i="6" s="1"/>
  <c r="D10" i="6" s="1"/>
  <c r="O45" i="3" l="1"/>
  <c r="P45" i="3"/>
  <c r="Q45" i="3"/>
  <c r="O46" i="5"/>
  <c r="P46" i="5"/>
  <c r="R46" i="5" s="1"/>
  <c r="Q46" i="5"/>
  <c r="K47" i="5" s="1"/>
  <c r="W143" i="6"/>
  <c r="X143" i="6" s="1"/>
  <c r="T144" i="6" s="1"/>
  <c r="U144" i="6" s="1"/>
  <c r="Y144" i="6" s="1"/>
  <c r="AG180" i="6"/>
  <c r="AK180" i="6" s="1"/>
  <c r="AH180" i="6"/>
  <c r="AL180" i="6" s="1"/>
  <c r="AI180" i="6"/>
  <c r="AJ180" i="6"/>
  <c r="AF181" i="6" s="1"/>
  <c r="AH192" i="6"/>
  <c r="F10" i="6"/>
  <c r="G10" i="6" s="1"/>
  <c r="M10" i="6" s="1"/>
  <c r="K10" i="6"/>
  <c r="L10" i="6" s="1"/>
  <c r="S46" i="5" l="1"/>
  <c r="L48" i="5"/>
  <c r="K46" i="3"/>
  <c r="N47" i="5"/>
  <c r="V144" i="6"/>
  <c r="Z144" i="6" s="1"/>
  <c r="AG181" i="6"/>
  <c r="AK181" i="6" s="1"/>
  <c r="AI181" i="6"/>
  <c r="AJ181" i="6"/>
  <c r="AF182" i="6" s="1"/>
  <c r="AH181" i="6"/>
  <c r="AL181" i="6" s="1"/>
  <c r="AL192" i="6"/>
  <c r="AI192" i="6"/>
  <c r="AJ192" i="6" s="1"/>
  <c r="AF193" i="6" s="1"/>
  <c r="H10" i="6"/>
  <c r="L47" i="3" l="1"/>
  <c r="O47" i="5"/>
  <c r="P47" i="5"/>
  <c r="S47" i="5" s="1"/>
  <c r="Q47" i="5"/>
  <c r="K48" i="5" s="1"/>
  <c r="N46" i="3"/>
  <c r="R45" i="3"/>
  <c r="S45" i="3"/>
  <c r="W144" i="6"/>
  <c r="X144" i="6" s="1"/>
  <c r="T145" i="6" s="1"/>
  <c r="U145" i="6" s="1"/>
  <c r="Y145" i="6" s="1"/>
  <c r="AH182" i="6"/>
  <c r="AL182" i="6" s="1"/>
  <c r="AI182" i="6"/>
  <c r="AG182" i="6"/>
  <c r="AK182" i="6" s="1"/>
  <c r="AJ182" i="6"/>
  <c r="AF183" i="6" s="1"/>
  <c r="AG193" i="6"/>
  <c r="AK193" i="6" s="1"/>
  <c r="I10" i="6"/>
  <c r="J10" i="6" s="1"/>
  <c r="D11" i="6" s="1"/>
  <c r="N10" i="6"/>
  <c r="O46" i="3" l="1"/>
  <c r="P46" i="3"/>
  <c r="R47" i="5"/>
  <c r="Q46" i="3"/>
  <c r="L49" i="5"/>
  <c r="N48" i="5"/>
  <c r="Q48" i="5" s="1"/>
  <c r="V145" i="6"/>
  <c r="Z145" i="6" s="1"/>
  <c r="AG183" i="6"/>
  <c r="AK183" i="6" s="1"/>
  <c r="AH183" i="6"/>
  <c r="AL183" i="6" s="1"/>
  <c r="AI183" i="6"/>
  <c r="AJ183" i="6"/>
  <c r="AH193" i="6"/>
  <c r="F11" i="6"/>
  <c r="G11" i="6" s="1"/>
  <c r="M11" i="6" s="1"/>
  <c r="K11" i="6"/>
  <c r="L11" i="6" s="1"/>
  <c r="O48" i="5" l="1"/>
  <c r="P48" i="5"/>
  <c r="R48" i="5" s="1"/>
  <c r="K47" i="3"/>
  <c r="W145" i="6"/>
  <c r="X145" i="6" s="1"/>
  <c r="T146" i="6" s="1"/>
  <c r="U146" i="6" s="1"/>
  <c r="Y146" i="6" s="1"/>
  <c r="K49" i="5"/>
  <c r="AI193" i="6"/>
  <c r="AJ193" i="6" s="1"/>
  <c r="AF194" i="6" s="1"/>
  <c r="AL193" i="6"/>
  <c r="H11" i="6"/>
  <c r="S48" i="5" l="1"/>
  <c r="L48" i="3"/>
  <c r="N47" i="3"/>
  <c r="S46" i="3"/>
  <c r="R46" i="3"/>
  <c r="N49" i="5"/>
  <c r="V146" i="6"/>
  <c r="AG194" i="6"/>
  <c r="AK194" i="6" s="1"/>
  <c r="N11" i="6"/>
  <c r="I11" i="6"/>
  <c r="J11" i="6" s="1"/>
  <c r="D12" i="6" s="1"/>
  <c r="O47" i="3" l="1"/>
  <c r="P47" i="3"/>
  <c r="Q47" i="3"/>
  <c r="O49" i="5"/>
  <c r="P49" i="5"/>
  <c r="R49" i="5" s="1"/>
  <c r="Q49" i="5"/>
  <c r="Z146" i="6"/>
  <c r="W146" i="6"/>
  <c r="X146" i="6" s="1"/>
  <c r="T147" i="6" s="1"/>
  <c r="U147" i="6" s="1"/>
  <c r="Y147" i="6" s="1"/>
  <c r="AH194" i="6"/>
  <c r="F12" i="6"/>
  <c r="G12" i="6" s="1"/>
  <c r="M12" i="6" s="1"/>
  <c r="K12" i="6"/>
  <c r="L12" i="6" s="1"/>
  <c r="S49" i="5" l="1"/>
  <c r="D5" i="9"/>
  <c r="F5" i="8"/>
  <c r="K48" i="3"/>
  <c r="J5" i="9"/>
  <c r="V147" i="6"/>
  <c r="Z147" i="6" s="1"/>
  <c r="AL194" i="6"/>
  <c r="AI194" i="6"/>
  <c r="AJ194" i="6" s="1"/>
  <c r="AF195" i="6" s="1"/>
  <c r="H12" i="6"/>
  <c r="Q48" i="3" l="1"/>
  <c r="L49" i="3"/>
  <c r="N48" i="3"/>
  <c r="R47" i="3"/>
  <c r="S47" i="3"/>
  <c r="W147" i="6"/>
  <c r="X147" i="6" s="1"/>
  <c r="T148" i="6" s="1"/>
  <c r="AG195" i="6"/>
  <c r="AK195" i="6" s="1"/>
  <c r="O13" i="9"/>
  <c r="N12" i="6"/>
  <c r="I12" i="6"/>
  <c r="J12" i="6" s="1"/>
  <c r="D13" i="6" s="1"/>
  <c r="O48" i="3" l="1"/>
  <c r="P48" i="3"/>
  <c r="AH195" i="6"/>
  <c r="AI195" i="6" s="1"/>
  <c r="AJ195" i="6" s="1"/>
  <c r="AF196" i="6" s="1"/>
  <c r="P15" i="9"/>
  <c r="U148" i="6"/>
  <c r="Y148" i="6" s="1"/>
  <c r="F13" i="6"/>
  <c r="G13" i="6" s="1"/>
  <c r="M13" i="6" s="1"/>
  <c r="K13" i="6"/>
  <c r="L13" i="6" s="1"/>
  <c r="K49" i="3" l="1"/>
  <c r="AL195" i="6"/>
  <c r="V148" i="6"/>
  <c r="AG196" i="6"/>
  <c r="AK196" i="6" s="1"/>
  <c r="H13" i="6"/>
  <c r="N49" i="3" l="1"/>
  <c r="R48" i="3"/>
  <c r="S48" i="3"/>
  <c r="AH196" i="6"/>
  <c r="Z148" i="6"/>
  <c r="W148" i="6"/>
  <c r="X148" i="6" s="1"/>
  <c r="T149" i="6" s="1"/>
  <c r="N13" i="6"/>
  <c r="I13" i="6"/>
  <c r="J13" i="6" s="1"/>
  <c r="D14" i="6" s="1"/>
  <c r="O49" i="3" l="1"/>
  <c r="P49" i="3"/>
  <c r="Q49" i="3"/>
  <c r="U149" i="6"/>
  <c r="Y149" i="6" s="1"/>
  <c r="AL196" i="6"/>
  <c r="AI196" i="6"/>
  <c r="AJ196" i="6" s="1"/>
  <c r="AF197" i="6" s="1"/>
  <c r="F14" i="6"/>
  <c r="G14" i="6" s="1"/>
  <c r="M14" i="6" s="1"/>
  <c r="K14" i="6"/>
  <c r="L14" i="6" s="1"/>
  <c r="C5" i="9" l="1"/>
  <c r="F5" i="7"/>
  <c r="AG197" i="6"/>
  <c r="AK197" i="6" s="1"/>
  <c r="V149" i="6"/>
  <c r="H14" i="6"/>
  <c r="S49" i="3" l="1"/>
  <c r="R49" i="3"/>
  <c r="AH197" i="6"/>
  <c r="AL197" i="6" s="1"/>
  <c r="Z149" i="6"/>
  <c r="W149" i="6"/>
  <c r="X149" i="6" s="1"/>
  <c r="T150" i="6" s="1"/>
  <c r="I14" i="6"/>
  <c r="J14" i="6" s="1"/>
  <c r="D15" i="6" s="1"/>
  <c r="N14" i="6"/>
  <c r="I5" i="9" l="1"/>
  <c r="K5" i="9" s="1"/>
  <c r="AI197" i="6"/>
  <c r="AJ197" i="6" s="1"/>
  <c r="AF198" i="6" s="1"/>
  <c r="U150" i="6"/>
  <c r="Y150" i="6" s="1"/>
  <c r="F15" i="6"/>
  <c r="G15" i="6" s="1"/>
  <c r="M15" i="6" s="1"/>
  <c r="K15" i="6"/>
  <c r="L15" i="6" s="1"/>
  <c r="AG198" i="6" l="1"/>
  <c r="AK198" i="6" s="1"/>
  <c r="V150" i="6"/>
  <c r="Z6" i="7"/>
  <c r="Z6" i="8" s="1" a="1"/>
  <c r="Z6" i="8" s="1"/>
  <c r="AA6" i="8" s="1"/>
  <c r="S2" i="9"/>
  <c r="H15" i="6"/>
  <c r="AH198" i="6" l="1"/>
  <c r="Z150" i="6"/>
  <c r="W150" i="6"/>
  <c r="X150" i="6" s="1"/>
  <c r="T151" i="6" s="1"/>
  <c r="N15" i="6"/>
  <c r="I15" i="6"/>
  <c r="J15" i="6" s="1"/>
  <c r="AL198" i="6" l="1"/>
  <c r="AI198" i="6"/>
  <c r="AJ198" i="6" s="1"/>
  <c r="AF199" i="6" s="1"/>
  <c r="U151" i="6"/>
  <c r="Y151" i="6" s="1"/>
  <c r="D16" i="6"/>
  <c r="Q2" i="9"/>
  <c r="AH199" i="6" l="1"/>
  <c r="AL199" i="6" s="1"/>
  <c r="AG199" i="6"/>
  <c r="AK199" i="6" s="1"/>
  <c r="V151" i="6"/>
  <c r="F16" i="6"/>
  <c r="G16" i="6" s="1"/>
  <c r="M16" i="6" s="1"/>
  <c r="K16" i="6"/>
  <c r="AI199" i="6" l="1"/>
  <c r="AJ199" i="6" s="1"/>
  <c r="AF200" i="6" s="1"/>
  <c r="AG200" i="6" s="1"/>
  <c r="AK200" i="6" s="1"/>
  <c r="Z151" i="6"/>
  <c r="W151" i="6"/>
  <c r="X151" i="6" s="1"/>
  <c r="T152" i="6" s="1"/>
  <c r="H16" i="6"/>
  <c r="L16" i="6"/>
  <c r="AH200" i="6" l="1"/>
  <c r="AL200" i="6" s="1"/>
  <c r="U152" i="6"/>
  <c r="Y152" i="6" s="1"/>
  <c r="AI200" i="6"/>
  <c r="AJ200" i="6" s="1"/>
  <c r="AF201" i="6" s="1"/>
  <c r="N16" i="6"/>
  <c r="I16" i="6"/>
  <c r="J16" i="6" s="1"/>
  <c r="D17" i="6" s="1"/>
  <c r="AG201" i="6" l="1"/>
  <c r="AK201" i="6" s="1"/>
  <c r="V152" i="6"/>
  <c r="F17" i="6"/>
  <c r="G17" i="6" s="1"/>
  <c r="M17" i="6" s="1"/>
  <c r="K17" i="6"/>
  <c r="Z152" i="6" l="1"/>
  <c r="W152" i="6"/>
  <c r="X152" i="6" s="1"/>
  <c r="T153" i="6" s="1"/>
  <c r="AH201" i="6"/>
  <c r="L17" i="6"/>
  <c r="H17" i="6"/>
  <c r="U153" i="6" l="1"/>
  <c r="Y153" i="6" s="1"/>
  <c r="AI201" i="6"/>
  <c r="AJ201" i="6" s="1"/>
  <c r="AF202" i="6" s="1"/>
  <c r="AL201" i="6"/>
  <c r="I17" i="6"/>
  <c r="J17" i="6" s="1"/>
  <c r="D18" i="6" s="1"/>
  <c r="N17" i="6"/>
  <c r="AG202" i="6" l="1"/>
  <c r="AK202" i="6" s="1"/>
  <c r="V153" i="6"/>
  <c r="F18" i="6"/>
  <c r="G18" i="6" s="1"/>
  <c r="M18" i="6" s="1"/>
  <c r="K18" i="6"/>
  <c r="AH202" i="6" l="1"/>
  <c r="W153" i="6"/>
  <c r="X153" i="6" s="1"/>
  <c r="T154" i="6" s="1"/>
  <c r="Z153" i="6"/>
  <c r="H18" i="6"/>
  <c r="I18" i="6" s="1"/>
  <c r="J18" i="6" s="1"/>
  <c r="D19" i="6" s="1"/>
  <c r="F19" i="6" s="1"/>
  <c r="G19" i="6" s="1"/>
  <c r="M19" i="6" s="1"/>
  <c r="L18" i="6"/>
  <c r="AI202" i="6" l="1"/>
  <c r="AJ202" i="6" s="1"/>
  <c r="AF203" i="6" s="1"/>
  <c r="AG203" i="6" s="1"/>
  <c r="AK203" i="6" s="1"/>
  <c r="AL202" i="6"/>
  <c r="U154" i="6"/>
  <c r="Y154" i="6" s="1"/>
  <c r="K19" i="6"/>
  <c r="L19" i="6" s="1"/>
  <c r="H19" i="6"/>
  <c r="I19" i="6" s="1"/>
  <c r="J19" i="6" s="1"/>
  <c r="D20" i="6" s="1"/>
  <c r="F20" i="6" s="1"/>
  <c r="G20" i="6" s="1"/>
  <c r="M20" i="6" s="1"/>
  <c r="N18" i="6"/>
  <c r="AH203" i="6" l="1"/>
  <c r="AL203" i="6" s="1"/>
  <c r="V154" i="6"/>
  <c r="N19" i="6"/>
  <c r="K20" i="6"/>
  <c r="L20" i="6" s="1"/>
  <c r="H20" i="6"/>
  <c r="I20" i="6" s="1"/>
  <c r="J20" i="6" s="1"/>
  <c r="D21" i="6" s="1"/>
  <c r="F21" i="6" s="1"/>
  <c r="G21" i="6" s="1"/>
  <c r="H21" i="6" s="1"/>
  <c r="AI203" i="6" l="1"/>
  <c r="AJ203" i="6" s="1"/>
  <c r="AF204" i="6" s="1"/>
  <c r="AG204" i="6" s="1"/>
  <c r="AK204" i="6" s="1"/>
  <c r="W154" i="6"/>
  <c r="X154" i="6" s="1"/>
  <c r="T155" i="6" s="1"/>
  <c r="Z154" i="6"/>
  <c r="N20" i="6"/>
  <c r="N21" i="6" s="1"/>
  <c r="K21" i="6"/>
  <c r="L21" i="6" s="1"/>
  <c r="I21" i="6"/>
  <c r="J21" i="6" s="1"/>
  <c r="D22" i="6" s="1"/>
  <c r="M21" i="6"/>
  <c r="U155" i="6" l="1"/>
  <c r="Y155" i="6" s="1"/>
  <c r="AH204" i="6"/>
  <c r="F22" i="6"/>
  <c r="G22" i="6" s="1"/>
  <c r="H22" i="6" s="1"/>
  <c r="K22" i="6"/>
  <c r="L22" i="6" s="1"/>
  <c r="V155" i="6" l="1"/>
  <c r="AI204" i="6"/>
  <c r="AJ204" i="6" s="1"/>
  <c r="AF205" i="6" s="1"/>
  <c r="AL204" i="6"/>
  <c r="I22" i="6"/>
  <c r="J22" i="6" s="1"/>
  <c r="D23" i="6" s="1"/>
  <c r="N22" i="6"/>
  <c r="M22" i="6"/>
  <c r="W155" i="6" l="1"/>
  <c r="X155" i="6" s="1"/>
  <c r="T156" i="6" s="1"/>
  <c r="U156" i="6" s="1"/>
  <c r="Y156" i="6" s="1"/>
  <c r="Z155" i="6"/>
  <c r="AG205" i="6"/>
  <c r="AK205" i="6" s="1"/>
  <c r="F23" i="6"/>
  <c r="G23" i="6" s="1"/>
  <c r="M23" i="6" s="1"/>
  <c r="K23" i="6"/>
  <c r="L23" i="6" s="1"/>
  <c r="V156" i="6" l="1"/>
  <c r="W156" i="6" s="1"/>
  <c r="X156" i="6" s="1"/>
  <c r="T157" i="6" s="1"/>
  <c r="AH205" i="6"/>
  <c r="AI205" i="6" s="1"/>
  <c r="AJ205" i="6" s="1"/>
  <c r="AF206" i="6" s="1"/>
  <c r="AG206" i="6" s="1"/>
  <c r="AK206" i="6" s="1"/>
  <c r="H23" i="6"/>
  <c r="AL205" i="6" l="1"/>
  <c r="Z156" i="6"/>
  <c r="AH206" i="6"/>
  <c r="AI206" i="6" s="1"/>
  <c r="AJ206" i="6" s="1"/>
  <c r="AF207" i="6" s="1"/>
  <c r="U157" i="6"/>
  <c r="Y157" i="6" s="1"/>
  <c r="N23" i="6"/>
  <c r="I23" i="6"/>
  <c r="J23" i="6" s="1"/>
  <c r="D24" i="6" s="1"/>
  <c r="AL206" i="6" l="1"/>
  <c r="V157" i="6"/>
  <c r="AH207" i="6"/>
  <c r="AI207" i="6" s="1"/>
  <c r="AJ207" i="6" s="1"/>
  <c r="AG207" i="6"/>
  <c r="AK207" i="6" s="1"/>
  <c r="F24" i="6"/>
  <c r="G24" i="6" s="1"/>
  <c r="M24" i="6" s="1"/>
  <c r="K24" i="6"/>
  <c r="L24" i="6" s="1"/>
  <c r="AF208" i="6" l="1"/>
  <c r="P16" i="9"/>
  <c r="W157" i="6"/>
  <c r="X157" i="6" s="1"/>
  <c r="T158" i="6" s="1"/>
  <c r="Z157" i="6"/>
  <c r="AL207" i="6"/>
  <c r="H24" i="6"/>
  <c r="I24" i="6" s="1"/>
  <c r="J24" i="6" s="1"/>
  <c r="D25" i="6" s="1"/>
  <c r="F25" i="6" s="1"/>
  <c r="G25" i="6" s="1"/>
  <c r="AG208" i="6" l="1"/>
  <c r="AK208" i="6" s="1"/>
  <c r="U158" i="6"/>
  <c r="Y158" i="6" s="1"/>
  <c r="H25" i="6"/>
  <c r="I25" i="6" s="1"/>
  <c r="J25" i="6" s="1"/>
  <c r="D26" i="6" s="1"/>
  <c r="M25" i="6"/>
  <c r="K25" i="6"/>
  <c r="L25" i="6" s="1"/>
  <c r="N24" i="6"/>
  <c r="AH208" i="6" l="1"/>
  <c r="AI208" i="6" s="1"/>
  <c r="AJ208" i="6" s="1"/>
  <c r="AF209" i="6" s="1"/>
  <c r="AG209" i="6" s="1"/>
  <c r="AK209" i="6" s="1"/>
  <c r="V158" i="6"/>
  <c r="N25" i="6"/>
  <c r="F26" i="6"/>
  <c r="G26" i="6" s="1"/>
  <c r="M26" i="6" s="1"/>
  <c r="K26" i="6"/>
  <c r="L26" i="6" s="1"/>
  <c r="AL208" i="6" l="1"/>
  <c r="Z158" i="6"/>
  <c r="W158" i="6"/>
  <c r="X158" i="6" s="1"/>
  <c r="T159" i="6" s="1"/>
  <c r="AH209" i="6"/>
  <c r="AI209" i="6" s="1"/>
  <c r="AJ209" i="6" s="1"/>
  <c r="AF210" i="6" s="1"/>
  <c r="H26" i="6"/>
  <c r="I26" i="6" s="1"/>
  <c r="J26" i="6" s="1"/>
  <c r="D27" i="6" s="1"/>
  <c r="F27" i="6" s="1"/>
  <c r="G27" i="6" s="1"/>
  <c r="H27" i="6" s="1"/>
  <c r="I27" i="6" s="1"/>
  <c r="J27" i="6" s="1"/>
  <c r="AL209" i="6" l="1"/>
  <c r="U159" i="6"/>
  <c r="Y159" i="6" s="1"/>
  <c r="AH210" i="6"/>
  <c r="AI210" i="6" s="1"/>
  <c r="AJ210" i="6" s="1"/>
  <c r="AF211" i="6" s="1"/>
  <c r="AG210" i="6"/>
  <c r="AK210" i="6" s="1"/>
  <c r="K27" i="6"/>
  <c r="L27" i="6" s="1"/>
  <c r="N26" i="6"/>
  <c r="N27" i="6" s="1"/>
  <c r="S3" i="9"/>
  <c r="D28" i="6"/>
  <c r="Q3" i="9"/>
  <c r="M27" i="6"/>
  <c r="V159" i="6" l="1"/>
  <c r="W159" i="6" s="1"/>
  <c r="X159" i="6" s="1"/>
  <c r="T160" i="6" s="1"/>
  <c r="AH211" i="6"/>
  <c r="AI211" i="6" s="1"/>
  <c r="AJ211" i="6" s="1"/>
  <c r="AF212" i="6" s="1"/>
  <c r="AG211" i="6"/>
  <c r="AK211" i="6" s="1"/>
  <c r="AL210" i="6"/>
  <c r="F28" i="6"/>
  <c r="G28" i="6" s="1"/>
  <c r="M28" i="6" s="1"/>
  <c r="K28" i="6"/>
  <c r="W160" i="6" l="1"/>
  <c r="U160" i="6"/>
  <c r="Y160" i="6" s="1"/>
  <c r="V160" i="6"/>
  <c r="X160" i="6"/>
  <c r="T161" i="6" s="1"/>
  <c r="Z159" i="6"/>
  <c r="AG212" i="6"/>
  <c r="AK212" i="6" s="1"/>
  <c r="AL211" i="6"/>
  <c r="T184" i="6"/>
  <c r="O14" i="9"/>
  <c r="H28" i="6"/>
  <c r="L28" i="6"/>
  <c r="U161" i="6" l="1"/>
  <c r="Y161" i="6" s="1"/>
  <c r="V161" i="6"/>
  <c r="X161" i="6"/>
  <c r="T162" i="6" s="1"/>
  <c r="W161" i="6"/>
  <c r="Z160" i="6"/>
  <c r="AH212" i="6"/>
  <c r="AI212" i="6" s="1"/>
  <c r="AJ212" i="6" s="1"/>
  <c r="AF213" i="6" s="1"/>
  <c r="AG213" i="6" s="1"/>
  <c r="U184" i="6"/>
  <c r="Y184" i="6" s="1"/>
  <c r="N28" i="6"/>
  <c r="I28" i="6"/>
  <c r="J28" i="6" s="1"/>
  <c r="D29" i="6" s="1"/>
  <c r="Z161" i="6" l="1"/>
  <c r="V162" i="6"/>
  <c r="U162" i="6"/>
  <c r="Y162" i="6" s="1"/>
  <c r="W162" i="6"/>
  <c r="X162" i="6"/>
  <c r="T163" i="6" s="1"/>
  <c r="AH213" i="6"/>
  <c r="AI213" i="6" s="1"/>
  <c r="AJ213" i="6" s="1"/>
  <c r="AF214" i="6" s="1"/>
  <c r="AG214" i="6" s="1"/>
  <c r="AK213" i="6"/>
  <c r="AL212" i="6"/>
  <c r="V184" i="6"/>
  <c r="Z184" i="6" s="1"/>
  <c r="W184" i="6"/>
  <c r="X184" i="6" s="1"/>
  <c r="T185" i="6" s="1"/>
  <c r="F29" i="6"/>
  <c r="G29" i="6" s="1"/>
  <c r="M29" i="6" s="1"/>
  <c r="K29" i="6"/>
  <c r="X163" i="6" l="1"/>
  <c r="T164" i="6" s="1"/>
  <c r="V163" i="6"/>
  <c r="W163" i="6"/>
  <c r="U163" i="6"/>
  <c r="Y163" i="6" s="1"/>
  <c r="Z162" i="6"/>
  <c r="AK214" i="6"/>
  <c r="AL213" i="6"/>
  <c r="U185" i="6"/>
  <c r="Y185" i="6" s="1"/>
  <c r="AH214" i="6"/>
  <c r="AI214" i="6" s="1"/>
  <c r="AJ214" i="6" s="1"/>
  <c r="AF215" i="6" s="1"/>
  <c r="L29" i="6"/>
  <c r="H29" i="6"/>
  <c r="V164" i="6" l="1"/>
  <c r="U164" i="6"/>
  <c r="Y164" i="6" s="1"/>
  <c r="X164" i="6"/>
  <c r="T165" i="6" s="1"/>
  <c r="W164" i="6"/>
  <c r="Z163" i="6"/>
  <c r="V185" i="6"/>
  <c r="AG215" i="6"/>
  <c r="AK215" i="6" s="1"/>
  <c r="AL214" i="6"/>
  <c r="N29" i="6"/>
  <c r="I29" i="6"/>
  <c r="J29" i="6" s="1"/>
  <c r="D30" i="6" s="1"/>
  <c r="W165" i="6" l="1"/>
  <c r="X165" i="6"/>
  <c r="T166" i="6" s="1"/>
  <c r="U165" i="6"/>
  <c r="Y165" i="6" s="1"/>
  <c r="V165" i="6"/>
  <c r="Z164" i="6"/>
  <c r="AH215" i="6"/>
  <c r="AI215" i="6" s="1"/>
  <c r="AJ215" i="6" s="1"/>
  <c r="AF216" i="6" s="1"/>
  <c r="Z185" i="6"/>
  <c r="W185" i="6"/>
  <c r="X185" i="6" s="1"/>
  <c r="T186" i="6" s="1"/>
  <c r="F30" i="6"/>
  <c r="G30" i="6" s="1"/>
  <c r="M30" i="6" s="1"/>
  <c r="K30" i="6"/>
  <c r="Z165" i="6" l="1"/>
  <c r="U166" i="6"/>
  <c r="Y166" i="6" s="1"/>
  <c r="W166" i="6"/>
  <c r="X166" i="6"/>
  <c r="T167" i="6" s="1"/>
  <c r="V166" i="6"/>
  <c r="U186" i="6"/>
  <c r="Y186" i="6" s="1"/>
  <c r="AL215" i="6"/>
  <c r="AH216" i="6"/>
  <c r="AI216" i="6" s="1"/>
  <c r="AJ216" i="6" s="1"/>
  <c r="AF217" i="6" s="1"/>
  <c r="AG216" i="6"/>
  <c r="AK216" i="6" s="1"/>
  <c r="L30" i="6"/>
  <c r="H30" i="6"/>
  <c r="Z166" i="6" l="1"/>
  <c r="X167" i="6"/>
  <c r="T168" i="6" s="1"/>
  <c r="V167" i="6"/>
  <c r="W167" i="6"/>
  <c r="U167" i="6"/>
  <c r="Y167" i="6" s="1"/>
  <c r="AG217" i="6"/>
  <c r="AK217" i="6" s="1"/>
  <c r="V186" i="6"/>
  <c r="AL216" i="6"/>
  <c r="N30" i="6"/>
  <c r="I30" i="6"/>
  <c r="J30" i="6" s="1"/>
  <c r="D31" i="6" s="1"/>
  <c r="Z167" i="6" l="1"/>
  <c r="U168" i="6"/>
  <c r="Y168" i="6" s="1"/>
  <c r="V168" i="6"/>
  <c r="X168" i="6"/>
  <c r="T169" i="6" s="1"/>
  <c r="W168" i="6"/>
  <c r="Z186" i="6"/>
  <c r="W186" i="6"/>
  <c r="X186" i="6" s="1"/>
  <c r="T187" i="6" s="1"/>
  <c r="AH217" i="6"/>
  <c r="AI217" i="6" s="1"/>
  <c r="AJ217" i="6" s="1"/>
  <c r="AF218" i="6" s="1"/>
  <c r="F31" i="6"/>
  <c r="G31" i="6" s="1"/>
  <c r="M31" i="6" s="1"/>
  <c r="K31" i="6"/>
  <c r="Z168" i="6" l="1"/>
  <c r="U169" i="6"/>
  <c r="Y169" i="6" s="1"/>
  <c r="V169" i="6"/>
  <c r="X169" i="6"/>
  <c r="T170" i="6" s="1"/>
  <c r="W169" i="6"/>
  <c r="AL217" i="6"/>
  <c r="U187" i="6"/>
  <c r="Y187" i="6" s="1"/>
  <c r="AG218" i="6"/>
  <c r="AK218" i="6" s="1"/>
  <c r="L31" i="6"/>
  <c r="H31" i="6"/>
  <c r="Z169" i="6" l="1"/>
  <c r="V170" i="6"/>
  <c r="U170" i="6"/>
  <c r="Y170" i="6" s="1"/>
  <c r="W170" i="6"/>
  <c r="X170" i="6"/>
  <c r="T171" i="6" s="1"/>
  <c r="AH218" i="6"/>
  <c r="AI218" i="6" s="1"/>
  <c r="AJ218" i="6" s="1"/>
  <c r="AF219" i="6" s="1"/>
  <c r="V187" i="6"/>
  <c r="N31" i="6"/>
  <c r="I31" i="6"/>
  <c r="J31" i="6" s="1"/>
  <c r="D32" i="6" s="1"/>
  <c r="Z170" i="6" l="1"/>
  <c r="X171" i="6"/>
  <c r="T172" i="6" s="1"/>
  <c r="V171" i="6"/>
  <c r="U171" i="6"/>
  <c r="Y171" i="6" s="1"/>
  <c r="W171" i="6"/>
  <c r="W187" i="6"/>
  <c r="X187" i="6" s="1"/>
  <c r="T188" i="6" s="1"/>
  <c r="Z187" i="6"/>
  <c r="AH219" i="6"/>
  <c r="AI219" i="6" s="1"/>
  <c r="AJ219" i="6" s="1"/>
  <c r="AG219" i="6"/>
  <c r="AK219" i="6" s="1"/>
  <c r="AL218" i="6"/>
  <c r="F32" i="6"/>
  <c r="G32" i="6" s="1"/>
  <c r="M32" i="6" s="1"/>
  <c r="K32" i="6"/>
  <c r="Z171" i="6" l="1"/>
  <c r="V172" i="6"/>
  <c r="U172" i="6"/>
  <c r="Y172" i="6" s="1"/>
  <c r="X172" i="6"/>
  <c r="T173" i="6" s="1"/>
  <c r="W172" i="6"/>
  <c r="AL219" i="6"/>
  <c r="AF220" i="6"/>
  <c r="U188" i="6"/>
  <c r="Y188" i="6" s="1"/>
  <c r="L32" i="6"/>
  <c r="H32" i="6"/>
  <c r="Z172" i="6" l="1"/>
  <c r="V173" i="6"/>
  <c r="W173" i="6"/>
  <c r="X173" i="6"/>
  <c r="T174" i="6" s="1"/>
  <c r="U173" i="6"/>
  <c r="Y173" i="6" s="1"/>
  <c r="V188" i="6"/>
  <c r="AH220" i="6"/>
  <c r="AL220" i="6" s="1"/>
  <c r="AG220" i="6"/>
  <c r="AK220" i="6" s="1"/>
  <c r="I32" i="6"/>
  <c r="J32" i="6" s="1"/>
  <c r="D33" i="6" s="1"/>
  <c r="N32" i="6"/>
  <c r="Z173" i="6" l="1"/>
  <c r="V174" i="6"/>
  <c r="W174" i="6"/>
  <c r="U174" i="6"/>
  <c r="Y174" i="6" s="1"/>
  <c r="X174" i="6"/>
  <c r="T175" i="6" s="1"/>
  <c r="Z188" i="6"/>
  <c r="W188" i="6"/>
  <c r="X188" i="6" s="1"/>
  <c r="T189" i="6" s="1"/>
  <c r="AI220" i="6"/>
  <c r="AJ220" i="6" s="1"/>
  <c r="AF221" i="6" s="1"/>
  <c r="F33" i="6"/>
  <c r="G33" i="6" s="1"/>
  <c r="M33" i="6" s="1"/>
  <c r="K33" i="6"/>
  <c r="L33" i="6" s="1"/>
  <c r="Z174" i="6" l="1"/>
  <c r="X175" i="6"/>
  <c r="T176" i="6" s="1"/>
  <c r="W175" i="6"/>
  <c r="V175" i="6"/>
  <c r="U175" i="6"/>
  <c r="Y175" i="6" s="1"/>
  <c r="AG221" i="6"/>
  <c r="AK221" i="6" s="1"/>
  <c r="U189" i="6"/>
  <c r="Y189" i="6" s="1"/>
  <c r="H33" i="6"/>
  <c r="Z175" i="6" l="1"/>
  <c r="U176" i="6"/>
  <c r="Y176" i="6" s="1"/>
  <c r="X176" i="6"/>
  <c r="T177" i="6" s="1"/>
  <c r="W176" i="6"/>
  <c r="V176" i="6"/>
  <c r="V189" i="6"/>
  <c r="AH221" i="6"/>
  <c r="N33" i="6"/>
  <c r="I33" i="6"/>
  <c r="J33" i="6" s="1"/>
  <c r="D34" i="6" s="1"/>
  <c r="Z176" i="6" l="1"/>
  <c r="U177" i="6"/>
  <c r="Y177" i="6" s="1"/>
  <c r="W177" i="6"/>
  <c r="V177" i="6"/>
  <c r="X177" i="6"/>
  <c r="T178" i="6" s="1"/>
  <c r="Z189" i="6"/>
  <c r="W189" i="6"/>
  <c r="X189" i="6" s="1"/>
  <c r="T190" i="6" s="1"/>
  <c r="AL221" i="6"/>
  <c r="AI221" i="6"/>
  <c r="AJ221" i="6" s="1"/>
  <c r="AF222" i="6" s="1"/>
  <c r="F34" i="6"/>
  <c r="G34" i="6" s="1"/>
  <c r="M34" i="6" s="1"/>
  <c r="K34" i="6"/>
  <c r="L34" i="6" s="1"/>
  <c r="Z177" i="6" l="1"/>
  <c r="U178" i="6"/>
  <c r="Y178" i="6" s="1"/>
  <c r="W178" i="6"/>
  <c r="X178" i="6"/>
  <c r="T179" i="6" s="1"/>
  <c r="V178" i="6"/>
  <c r="U190" i="6"/>
  <c r="Y190" i="6" s="1"/>
  <c r="AG222" i="6"/>
  <c r="AK222" i="6" s="1"/>
  <c r="H34" i="6"/>
  <c r="Z178" i="6" l="1"/>
  <c r="W179" i="6"/>
  <c r="X179" i="6"/>
  <c r="T180" i="6" s="1"/>
  <c r="U179" i="6"/>
  <c r="Y179" i="6" s="1"/>
  <c r="V179" i="6"/>
  <c r="AH222" i="6"/>
  <c r="AL222" i="6" s="1"/>
  <c r="V190" i="6"/>
  <c r="I34" i="6"/>
  <c r="J34" i="6" s="1"/>
  <c r="D35" i="6" s="1"/>
  <c r="N34" i="6"/>
  <c r="Z179" i="6" l="1"/>
  <c r="U180" i="6"/>
  <c r="Y180" i="6" s="1"/>
  <c r="X180" i="6"/>
  <c r="T181" i="6" s="1"/>
  <c r="W180" i="6"/>
  <c r="V180" i="6"/>
  <c r="AI222" i="6"/>
  <c r="AJ222" i="6" s="1"/>
  <c r="AF223" i="6" s="1"/>
  <c r="W190" i="6"/>
  <c r="X190" i="6" s="1"/>
  <c r="T191" i="6" s="1"/>
  <c r="Z190" i="6"/>
  <c r="F35" i="6"/>
  <c r="G35" i="6" s="1"/>
  <c r="M35" i="6" s="1"/>
  <c r="K35" i="6"/>
  <c r="L35" i="6" s="1"/>
  <c r="Z180" i="6" l="1"/>
  <c r="V181" i="6"/>
  <c r="W181" i="6"/>
  <c r="U181" i="6"/>
  <c r="Y181" i="6" s="1"/>
  <c r="X181" i="6"/>
  <c r="T182" i="6" s="1"/>
  <c r="AG223" i="6"/>
  <c r="AK223" i="6" s="1"/>
  <c r="U191" i="6"/>
  <c r="Y191" i="6" s="1"/>
  <c r="H35" i="6"/>
  <c r="Z181" i="6" l="1"/>
  <c r="V182" i="6"/>
  <c r="Z182" i="6" s="1"/>
  <c r="U182" i="6"/>
  <c r="Y182" i="6" s="1"/>
  <c r="W182" i="6"/>
  <c r="X182" i="6"/>
  <c r="T183" i="6" s="1"/>
  <c r="AH223" i="6"/>
  <c r="V191" i="6"/>
  <c r="I35" i="6"/>
  <c r="J35" i="6" s="1"/>
  <c r="D36" i="6" s="1"/>
  <c r="N35" i="6"/>
  <c r="X183" i="6" l="1"/>
  <c r="U183" i="6"/>
  <c r="Y183" i="6" s="1"/>
  <c r="W183" i="6"/>
  <c r="V183" i="6"/>
  <c r="Z183" i="6" s="1"/>
  <c r="AL223" i="6"/>
  <c r="AI223" i="6"/>
  <c r="AJ223" i="6" s="1"/>
  <c r="AF224" i="6" s="1"/>
  <c r="Z191" i="6"/>
  <c r="W191" i="6"/>
  <c r="X191" i="6" s="1"/>
  <c r="T192" i="6" s="1"/>
  <c r="F36" i="6"/>
  <c r="G36" i="6" s="1"/>
  <c r="M36" i="6" s="1"/>
  <c r="K36" i="6"/>
  <c r="L36" i="6" s="1"/>
  <c r="AH224" i="6" l="1"/>
  <c r="AL224" i="6" s="1"/>
  <c r="AG224" i="6"/>
  <c r="AK224" i="6" s="1"/>
  <c r="U192" i="6"/>
  <c r="Y192" i="6" s="1"/>
  <c r="H36" i="6"/>
  <c r="AI224" i="6" l="1"/>
  <c r="AJ224" i="6" s="1"/>
  <c r="AF225" i="6" s="1"/>
  <c r="V192" i="6"/>
  <c r="I36" i="6"/>
  <c r="J36" i="6" s="1"/>
  <c r="D37" i="6" s="1"/>
  <c r="N36" i="6"/>
  <c r="AH225" i="6" l="1"/>
  <c r="AL225" i="6" s="1"/>
  <c r="AG225" i="6"/>
  <c r="AK225" i="6" s="1"/>
  <c r="W192" i="6"/>
  <c r="X192" i="6" s="1"/>
  <c r="T193" i="6" s="1"/>
  <c r="Z192" i="6"/>
  <c r="F37" i="6"/>
  <c r="G37" i="6" s="1"/>
  <c r="M37" i="6" s="1"/>
  <c r="K37" i="6"/>
  <c r="L37" i="6" s="1"/>
  <c r="AI225" i="6" l="1"/>
  <c r="AJ225" i="6" s="1"/>
  <c r="AF226" i="6" s="1"/>
  <c r="U193" i="6"/>
  <c r="Y193" i="6" s="1"/>
  <c r="H37" i="6"/>
  <c r="AG226" i="6" l="1"/>
  <c r="AK226" i="6" s="1"/>
  <c r="AH226" i="6"/>
  <c r="AL226" i="6" s="1"/>
  <c r="V193" i="6"/>
  <c r="N37" i="6"/>
  <c r="I37" i="6"/>
  <c r="J37" i="6" s="1"/>
  <c r="D38" i="6" s="1"/>
  <c r="AI226" i="6" l="1"/>
  <c r="AJ226" i="6" s="1"/>
  <c r="AF227" i="6" s="1"/>
  <c r="W193" i="6"/>
  <c r="X193" i="6" s="1"/>
  <c r="T194" i="6" s="1"/>
  <c r="Z193" i="6"/>
  <c r="F38" i="6"/>
  <c r="G38" i="6" s="1"/>
  <c r="M38" i="6" s="1"/>
  <c r="K38" i="6"/>
  <c r="L38" i="6" s="1"/>
  <c r="AG227" i="6" l="1"/>
  <c r="AK227" i="6" s="1"/>
  <c r="U194" i="6"/>
  <c r="Y194" i="6" s="1"/>
  <c r="H38" i="6"/>
  <c r="V194" i="6" l="1"/>
  <c r="W194" i="6" s="1"/>
  <c r="X194" i="6" s="1"/>
  <c r="T195" i="6" s="1"/>
  <c r="U195" i="6" s="1"/>
  <c r="Y195" i="6" s="1"/>
  <c r="AH227" i="6"/>
  <c r="N38" i="6"/>
  <c r="I38" i="6"/>
  <c r="J38" i="6" s="1"/>
  <c r="D39" i="6" s="1"/>
  <c r="Z194" i="6" l="1"/>
  <c r="AL227" i="6"/>
  <c r="AI227" i="6"/>
  <c r="AJ227" i="6" s="1"/>
  <c r="AF228" i="6" s="1"/>
  <c r="V195" i="6"/>
  <c r="W195" i="6" s="1"/>
  <c r="X195" i="6" s="1"/>
  <c r="F39" i="6"/>
  <c r="G39" i="6" s="1"/>
  <c r="M39" i="6" s="1"/>
  <c r="K39" i="6"/>
  <c r="L39" i="6" s="1"/>
  <c r="Z195" i="6" l="1"/>
  <c r="AG228" i="6"/>
  <c r="AK228" i="6" s="1"/>
  <c r="AH228" i="6"/>
  <c r="AL228" i="6" s="1"/>
  <c r="T196" i="6"/>
  <c r="O15" i="9"/>
  <c r="H39" i="6"/>
  <c r="S4" i="9"/>
  <c r="AI228" i="6" l="1"/>
  <c r="AJ228" i="6" s="1"/>
  <c r="AF229" i="6" s="1"/>
  <c r="U196" i="6"/>
  <c r="Y196" i="6" s="1"/>
  <c r="N39" i="6"/>
  <c r="I39" i="6"/>
  <c r="J39" i="6" s="1"/>
  <c r="AG229" i="6" l="1"/>
  <c r="AK229" i="6" s="1"/>
  <c r="AH229" i="6"/>
  <c r="AL229" i="6" s="1"/>
  <c r="V196" i="6"/>
  <c r="D40" i="6"/>
  <c r="Q4" i="9"/>
  <c r="AI229" i="6" l="1"/>
  <c r="AJ229" i="6" s="1"/>
  <c r="AF230" i="6" s="1"/>
  <c r="Z196" i="6"/>
  <c r="W196" i="6"/>
  <c r="X196" i="6" s="1"/>
  <c r="T197" i="6" s="1"/>
  <c r="AH230" i="6" l="1"/>
  <c r="AG230" i="6"/>
  <c r="AK230" i="6" s="1"/>
  <c r="U197" i="6"/>
  <c r="Y197" i="6" s="1"/>
  <c r="V197" i="6" l="1"/>
  <c r="Z197" i="6" s="1"/>
  <c r="AI230" i="6"/>
  <c r="AJ230" i="6" s="1"/>
  <c r="AF231" i="6" s="1"/>
  <c r="AG231" i="6" s="1"/>
  <c r="AH231" i="6" s="1"/>
  <c r="AI231" i="6" s="1"/>
  <c r="AJ231" i="6" s="1"/>
  <c r="AL230" i="6"/>
  <c r="AL231" i="6" l="1"/>
  <c r="W197" i="6"/>
  <c r="X197" i="6" s="1"/>
  <c r="T198" i="6" s="1"/>
  <c r="U198" i="6" s="1"/>
  <c r="Y198" i="6" s="1"/>
  <c r="AK231" i="6"/>
  <c r="AF232" i="6"/>
  <c r="AG232" i="6" s="1"/>
  <c r="AK232" i="6" l="1"/>
  <c r="AH232" i="6"/>
  <c r="AL232" i="6" s="1"/>
  <c r="V198" i="6"/>
  <c r="AI232" i="6" l="1"/>
  <c r="AJ232" i="6" s="1"/>
  <c r="AF233" i="6" s="1"/>
  <c r="AG233" i="6" s="1"/>
  <c r="AK233" i="6" s="1"/>
  <c r="Z198" i="6"/>
  <c r="W198" i="6"/>
  <c r="X198" i="6" s="1"/>
  <c r="T199" i="6" s="1"/>
  <c r="U199" i="6" l="1"/>
  <c r="Y199" i="6" s="1"/>
  <c r="AH233" i="6"/>
  <c r="AL233" i="6" l="1"/>
  <c r="AI233" i="6"/>
  <c r="AJ233" i="6" s="1"/>
  <c r="AF234" i="6" s="1"/>
  <c r="V199" i="6"/>
  <c r="AG234" i="6" l="1"/>
  <c r="AK234" i="6" s="1"/>
  <c r="Z199" i="6"/>
  <c r="W199" i="6"/>
  <c r="X199" i="6" s="1"/>
  <c r="T200" i="6" s="1"/>
  <c r="U200" i="6" l="1"/>
  <c r="Y200" i="6" s="1"/>
  <c r="AH234" i="6"/>
  <c r="AI234" i="6" l="1"/>
  <c r="AJ234" i="6" s="1"/>
  <c r="AF235" i="6" s="1"/>
  <c r="AL234" i="6"/>
  <c r="V200" i="6"/>
  <c r="Z200" i="6" l="1"/>
  <c r="W200" i="6"/>
  <c r="X200" i="6" s="1"/>
  <c r="T201" i="6" s="1"/>
  <c r="AH235" i="6"/>
  <c r="AL235" i="6" s="1"/>
  <c r="AG235" i="6"/>
  <c r="AK235" i="6" s="1"/>
  <c r="AI235" i="6" l="1"/>
  <c r="AJ235" i="6" s="1"/>
  <c r="AF236" i="6" s="1"/>
  <c r="U201" i="6"/>
  <c r="Y201" i="6" s="1"/>
  <c r="V201" i="6" l="1"/>
  <c r="AG236" i="6"/>
  <c r="AK236" i="6" s="1"/>
  <c r="AH236" i="6" l="1"/>
  <c r="AL236" i="6" s="1"/>
  <c r="Z201" i="6"/>
  <c r="W201" i="6"/>
  <c r="X201" i="6" s="1"/>
  <c r="T202" i="6" s="1"/>
  <c r="AI236" i="6" l="1"/>
  <c r="AJ236" i="6" s="1"/>
  <c r="AF237" i="6" s="1"/>
  <c r="U202" i="6"/>
  <c r="Y202" i="6" s="1"/>
  <c r="AH237" i="6" l="1"/>
  <c r="AL237" i="6" s="1"/>
  <c r="AG237" i="6"/>
  <c r="AK237" i="6" s="1"/>
  <c r="V202" i="6"/>
  <c r="AI237" i="6" l="1"/>
  <c r="AJ237" i="6" s="1"/>
  <c r="AF238" i="6" s="1"/>
  <c r="AG238" i="6" s="1"/>
  <c r="AK238" i="6" s="1"/>
  <c r="Z202" i="6"/>
  <c r="W202" i="6"/>
  <c r="X202" i="6" s="1"/>
  <c r="T203" i="6" s="1"/>
  <c r="AH238" i="6" l="1"/>
  <c r="U203" i="6"/>
  <c r="Y203" i="6" s="1"/>
  <c r="V203" i="6" l="1"/>
  <c r="AL238" i="6"/>
  <c r="AI238" i="6"/>
  <c r="AJ238" i="6" s="1"/>
  <c r="AF239" i="6" s="1"/>
  <c r="AG239" i="6" l="1"/>
  <c r="AK239" i="6" s="1"/>
  <c r="Z203" i="6"/>
  <c r="W203" i="6"/>
  <c r="X203" i="6" s="1"/>
  <c r="T204" i="6" s="1"/>
  <c r="U204" i="6" l="1"/>
  <c r="Y204" i="6" s="1"/>
  <c r="AH239" i="6"/>
  <c r="V204" i="6" l="1"/>
  <c r="AL239" i="6"/>
  <c r="AI239" i="6"/>
  <c r="AJ239" i="6" s="1"/>
  <c r="AF240" i="6" s="1"/>
  <c r="R4" i="9"/>
  <c r="R3" i="9"/>
  <c r="R2" i="9"/>
  <c r="V4" i="9"/>
  <c r="V3" i="9"/>
  <c r="V2" i="9"/>
  <c r="AG240" i="6" l="1"/>
  <c r="AK240" i="6" s="1"/>
  <c r="Z204" i="6"/>
  <c r="W204" i="6"/>
  <c r="X204" i="6" s="1"/>
  <c r="T205" i="6" s="1"/>
  <c r="U205" i="6" l="1"/>
  <c r="Y205" i="6" s="1"/>
  <c r="AH240" i="6"/>
  <c r="AL240" i="6" l="1"/>
  <c r="AI240" i="6"/>
  <c r="AJ240" i="6" s="1"/>
  <c r="AF241" i="6" s="1"/>
  <c r="V205" i="6"/>
  <c r="Z205" i="6" l="1"/>
  <c r="W205" i="6"/>
  <c r="X205" i="6" s="1"/>
  <c r="T206" i="6" s="1"/>
  <c r="AG241" i="6"/>
  <c r="AK241" i="6" s="1"/>
  <c r="AH241" i="6" l="1"/>
  <c r="AL241" i="6" s="1"/>
  <c r="U206" i="6"/>
  <c r="Y206" i="6" s="1"/>
  <c r="AI241" i="6" l="1"/>
  <c r="AJ241" i="6" s="1"/>
  <c r="AF242" i="6" s="1"/>
  <c r="AH242" i="6" s="1"/>
  <c r="AL242" i="6" s="1"/>
  <c r="V206" i="6"/>
  <c r="AG242" i="6" l="1"/>
  <c r="AK242" i="6" s="1"/>
  <c r="AI242" i="6"/>
  <c r="AJ242" i="6" s="1"/>
  <c r="AF243" i="6" s="1"/>
  <c r="W206" i="6"/>
  <c r="X206" i="6" s="1"/>
  <c r="T207" i="6" s="1"/>
  <c r="Z206" i="6"/>
  <c r="U207" i="6" l="1"/>
  <c r="Y207" i="6" s="1"/>
  <c r="AG243" i="6"/>
  <c r="AK243" i="6" s="1"/>
  <c r="AH243" i="6" l="1"/>
  <c r="AL243" i="6" s="1"/>
  <c r="V207" i="6"/>
  <c r="AI243" i="6" l="1"/>
  <c r="AJ243" i="6" s="1"/>
  <c r="AF244" i="6" s="1"/>
  <c r="Z207" i="6"/>
  <c r="W207" i="6"/>
  <c r="X207" i="6" s="1"/>
  <c r="AG244" i="6" l="1"/>
  <c r="AK244" i="6" s="1"/>
  <c r="T208" i="6"/>
  <c r="O16" i="9"/>
  <c r="U208" i="6" l="1"/>
  <c r="Y208" i="6" s="1"/>
  <c r="AH244" i="6"/>
  <c r="AL244" i="6" l="1"/>
  <c r="AI244" i="6"/>
  <c r="AJ244" i="6" s="1"/>
  <c r="AF245" i="6" s="1"/>
  <c r="V208" i="6"/>
  <c r="Z208" i="6" l="1"/>
  <c r="W208" i="6"/>
  <c r="X208" i="6" s="1"/>
  <c r="T209" i="6" s="1"/>
  <c r="AH245" i="6"/>
  <c r="AL245" i="6" s="1"/>
  <c r="AG245" i="6"/>
  <c r="AK245" i="6" s="1"/>
  <c r="U209" i="6" l="1"/>
  <c r="Y209" i="6" s="1"/>
  <c r="AI245" i="6"/>
  <c r="AJ245" i="6" s="1"/>
  <c r="AF246" i="6" s="1"/>
  <c r="AG246" i="6" l="1"/>
  <c r="AK246" i="6" s="1"/>
  <c r="V209" i="6"/>
  <c r="AH246" i="6" l="1"/>
  <c r="W209" i="6"/>
  <c r="X209" i="6" s="1"/>
  <c r="T210" i="6" s="1"/>
  <c r="Z209" i="6"/>
  <c r="AL246" i="6" l="1"/>
  <c r="AI246" i="6"/>
  <c r="AJ246" i="6" s="1"/>
  <c r="AF247" i="6" s="1"/>
  <c r="U210" i="6"/>
  <c r="Y210" i="6" s="1"/>
  <c r="V210" i="6" l="1"/>
  <c r="AH247" i="6"/>
  <c r="AI247" i="6" s="1"/>
  <c r="AJ247" i="6" s="1"/>
  <c r="AF248" i="6" s="1"/>
  <c r="AG247" i="6"/>
  <c r="AK247" i="6" s="1"/>
  <c r="AG248" i="6" l="1"/>
  <c r="AH248" i="6" s="1"/>
  <c r="AI248" i="6" s="1"/>
  <c r="AJ248" i="6" s="1"/>
  <c r="AF249" i="6" s="1"/>
  <c r="AL247" i="6"/>
  <c r="Z210" i="6"/>
  <c r="W210" i="6"/>
  <c r="X210" i="6" s="1"/>
  <c r="T211" i="6" s="1"/>
  <c r="AK248" i="6" l="1"/>
  <c r="AG249" i="6"/>
  <c r="AH249" i="6" s="1"/>
  <c r="AI249" i="6" s="1"/>
  <c r="AJ249" i="6" s="1"/>
  <c r="AF250" i="6" s="1"/>
  <c r="AL248" i="6"/>
  <c r="U211" i="6"/>
  <c r="Y211" i="6" s="1"/>
  <c r="AG250" i="6" l="1"/>
  <c r="AH250" i="6" s="1"/>
  <c r="AI250" i="6" s="1"/>
  <c r="AJ250" i="6" s="1"/>
  <c r="AF251" i="6" s="1"/>
  <c r="AK249" i="6"/>
  <c r="V211" i="6"/>
  <c r="AL249" i="6"/>
  <c r="AK250" i="6" l="1"/>
  <c r="AG251" i="6"/>
  <c r="AH251" i="6" s="1"/>
  <c r="AI251" i="6" s="1"/>
  <c r="AJ251" i="6" s="1"/>
  <c r="AF252" i="6" s="1"/>
  <c r="W211" i="6"/>
  <c r="X211" i="6" s="1"/>
  <c r="T212" i="6" s="1"/>
  <c r="Z211" i="6"/>
  <c r="AL250" i="6"/>
  <c r="AK251" i="6" l="1"/>
  <c r="AG252" i="6"/>
  <c r="AH252" i="6" s="1"/>
  <c r="AI252" i="6" s="1"/>
  <c r="AJ252" i="6" s="1"/>
  <c r="AF253" i="6" s="1"/>
  <c r="U212" i="6"/>
  <c r="Y212" i="6" s="1"/>
  <c r="AL251" i="6"/>
  <c r="V212" i="6" l="1"/>
  <c r="Z212" i="6" s="1"/>
  <c r="AG253" i="6"/>
  <c r="W212" i="6"/>
  <c r="X212" i="6" s="1"/>
  <c r="T213" i="6" s="1"/>
  <c r="AL252" i="6"/>
  <c r="AK252" i="6"/>
  <c r="AK253" i="6" l="1"/>
  <c r="U213" i="6"/>
  <c r="Y213" i="6" s="1"/>
  <c r="AH253" i="6"/>
  <c r="AI253" i="6" s="1"/>
  <c r="AJ253" i="6" s="1"/>
  <c r="AF254" i="6" s="1"/>
  <c r="AG254" i="6" l="1"/>
  <c r="AK254" i="6" s="1"/>
  <c r="V213" i="6"/>
  <c r="AL253" i="6"/>
  <c r="Z213" i="6" l="1"/>
  <c r="W213" i="6"/>
  <c r="X213" i="6" s="1"/>
  <c r="T214" i="6" s="1"/>
  <c r="AH254" i="6"/>
  <c r="AI254" i="6" s="1"/>
  <c r="AJ254" i="6" s="1"/>
  <c r="AF255" i="6" s="1"/>
  <c r="AL254" i="6" l="1"/>
  <c r="AH255" i="6"/>
  <c r="AI255" i="6" s="1"/>
  <c r="AJ255" i="6" s="1"/>
  <c r="AG255" i="6"/>
  <c r="AK255" i="6" s="1"/>
  <c r="U214" i="6"/>
  <c r="Y214" i="6" s="1"/>
  <c r="V214" i="6" l="1"/>
  <c r="Z214" i="6" s="1"/>
  <c r="AF256" i="6"/>
  <c r="W214" i="6"/>
  <c r="X214" i="6" s="1"/>
  <c r="T215" i="6" s="1"/>
  <c r="AL255" i="6"/>
  <c r="AH256" i="6" l="1"/>
  <c r="AL256" i="6" s="1"/>
  <c r="AG256" i="6"/>
  <c r="AK256" i="6" s="1"/>
  <c r="U215" i="6"/>
  <c r="Y215" i="6" s="1"/>
  <c r="V215" i="6" l="1"/>
  <c r="AI256" i="6"/>
  <c r="AJ256" i="6" s="1"/>
  <c r="AF257" i="6" s="1"/>
  <c r="Z215" i="6" l="1"/>
  <c r="W215" i="6"/>
  <c r="X215" i="6" s="1"/>
  <c r="T216" i="6" s="1"/>
  <c r="AG257" i="6"/>
  <c r="AK257" i="6" s="1"/>
  <c r="AH257" i="6" l="1"/>
  <c r="U216" i="6"/>
  <c r="Y216" i="6" s="1"/>
  <c r="AL257" i="6" l="1"/>
  <c r="AI257" i="6"/>
  <c r="AJ257" i="6" s="1"/>
  <c r="AF258" i="6" s="1"/>
  <c r="V216" i="6"/>
  <c r="AG258" i="6" l="1"/>
  <c r="AK258" i="6" s="1"/>
  <c r="Z216" i="6"/>
  <c r="W216" i="6"/>
  <c r="X216" i="6" s="1"/>
  <c r="T217" i="6" s="1"/>
  <c r="AH258" i="6" l="1"/>
  <c r="U217" i="6"/>
  <c r="Y217" i="6" s="1"/>
  <c r="V217" i="6" l="1"/>
  <c r="W217" i="6" s="1"/>
  <c r="X217" i="6" s="1"/>
  <c r="T218" i="6" s="1"/>
  <c r="AL258" i="6"/>
  <c r="AI258" i="6"/>
  <c r="AJ258" i="6" s="1"/>
  <c r="AF259" i="6" s="1"/>
  <c r="Z217" i="6" l="1"/>
  <c r="AG259" i="6"/>
  <c r="AK259" i="6" s="1"/>
  <c r="AH259" i="6"/>
  <c r="AL259" i="6" s="1"/>
  <c r="U218" i="6"/>
  <c r="Y218" i="6" s="1"/>
  <c r="AI259" i="6" l="1"/>
  <c r="AJ259" i="6" s="1"/>
  <c r="AF260" i="6" s="1"/>
  <c r="V218" i="6"/>
  <c r="W218" i="6" l="1"/>
  <c r="X218" i="6" s="1"/>
  <c r="T219" i="6" s="1"/>
  <c r="Z218" i="6"/>
  <c r="AG260" i="6"/>
  <c r="AK260" i="6" s="1"/>
  <c r="AH260" i="6"/>
  <c r="AL260" i="6" l="1"/>
  <c r="AI260" i="6"/>
  <c r="AJ260" i="6" s="1"/>
  <c r="AF261" i="6" s="1"/>
  <c r="U219" i="6"/>
  <c r="Y219" i="6" s="1"/>
  <c r="V219" i="6" l="1"/>
  <c r="AG261" i="6"/>
  <c r="AK261" i="6" s="1"/>
  <c r="AH261" i="6" l="1"/>
  <c r="W219" i="6"/>
  <c r="X219" i="6" s="1"/>
  <c r="Z219" i="6"/>
  <c r="T220" i="6" l="1"/>
  <c r="AI261" i="6"/>
  <c r="AJ261" i="6" s="1"/>
  <c r="AF262" i="6" s="1"/>
  <c r="AL261" i="6"/>
  <c r="AG262" i="6" l="1"/>
  <c r="AK262" i="6" s="1"/>
  <c r="V220" i="6"/>
  <c r="Z220" i="6" s="1"/>
  <c r="U220" i="6"/>
  <c r="Y220" i="6" s="1"/>
  <c r="W220" i="6" l="1"/>
  <c r="X220" i="6" s="1"/>
  <c r="T221" i="6" s="1"/>
  <c r="AH262" i="6"/>
  <c r="AI262" i="6" l="1"/>
  <c r="AJ262" i="6" s="1"/>
  <c r="AF263" i="6" s="1"/>
  <c r="AL262" i="6"/>
  <c r="U221" i="6"/>
  <c r="Y221" i="6" s="1"/>
  <c r="AG263" i="6" l="1"/>
  <c r="AK263" i="6" s="1"/>
  <c r="V221" i="6"/>
  <c r="Z221" i="6" l="1"/>
  <c r="W221" i="6"/>
  <c r="X221" i="6" s="1"/>
  <c r="T222" i="6" s="1"/>
  <c r="AH263" i="6"/>
  <c r="U222" i="6" l="1"/>
  <c r="Y222" i="6" s="1"/>
  <c r="AI263" i="6"/>
  <c r="AJ263" i="6" s="1"/>
  <c r="AF264" i="6" s="1"/>
  <c r="AL263" i="6"/>
  <c r="AG264" i="6" l="1"/>
  <c r="AK264" i="6" s="1"/>
  <c r="AH264" i="6"/>
  <c r="AI264" i="6" s="1"/>
  <c r="AJ264" i="6" s="1"/>
  <c r="AF265" i="6" s="1"/>
  <c r="V222" i="6"/>
  <c r="AG265" i="6" l="1"/>
  <c r="AK265" i="6" s="1"/>
  <c r="AL264" i="6"/>
  <c r="Z222" i="6"/>
  <c r="W222" i="6"/>
  <c r="X222" i="6" s="1"/>
  <c r="T223" i="6" s="1"/>
  <c r="AH265" i="6" l="1"/>
  <c r="AI265" i="6" s="1"/>
  <c r="AJ265" i="6" s="1"/>
  <c r="AF266" i="6" s="1"/>
  <c r="U223" i="6"/>
  <c r="Y223" i="6" s="1"/>
  <c r="V223" i="6" l="1"/>
  <c r="AG266" i="6"/>
  <c r="AK266" i="6" s="1"/>
  <c r="AH266" i="6"/>
  <c r="AI266" i="6" s="1"/>
  <c r="AJ266" i="6" s="1"/>
  <c r="AF267" i="6" s="1"/>
  <c r="AL265" i="6"/>
  <c r="AL266" i="6" l="1"/>
  <c r="Z223" i="6"/>
  <c r="W223" i="6"/>
  <c r="X223" i="6" s="1"/>
  <c r="T224" i="6" s="1"/>
  <c r="AG267" i="6"/>
  <c r="AK267" i="6" s="1"/>
  <c r="AH267" i="6"/>
  <c r="AI267" i="6" s="1"/>
  <c r="AJ267" i="6" s="1"/>
  <c r="AF268" i="6" l="1"/>
  <c r="V224" i="6"/>
  <c r="Z224" i="6" s="1"/>
  <c r="U224" i="6"/>
  <c r="Y224" i="6" s="1"/>
  <c r="AL267" i="6"/>
  <c r="W224" i="6" l="1"/>
  <c r="X224" i="6" s="1"/>
  <c r="T225" i="6" s="1"/>
  <c r="AG268" i="6"/>
  <c r="AK268" i="6" s="1"/>
  <c r="AH268" i="6" l="1"/>
  <c r="U225" i="6"/>
  <c r="Y225" i="6" s="1"/>
  <c r="AI268" i="6" l="1"/>
  <c r="AJ268" i="6" s="1"/>
  <c r="AF269" i="6" s="1"/>
  <c r="AL268" i="6"/>
  <c r="V225" i="6"/>
  <c r="AG269" i="6" l="1"/>
  <c r="AK269" i="6" s="1"/>
  <c r="AH269" i="6"/>
  <c r="AI269" i="6" s="1"/>
  <c r="AJ269" i="6" s="1"/>
  <c r="AF270" i="6" s="1"/>
  <c r="Z225" i="6"/>
  <c r="W225" i="6"/>
  <c r="X225" i="6" s="1"/>
  <c r="T226" i="6" s="1"/>
  <c r="AL269" i="6" l="1"/>
  <c r="U226" i="6"/>
  <c r="Y226" i="6" s="1"/>
  <c r="V226" i="6"/>
  <c r="Z226" i="6" s="1"/>
  <c r="AG270" i="6"/>
  <c r="AK270" i="6" s="1"/>
  <c r="AH270" i="6" l="1"/>
  <c r="AI270" i="6" s="1"/>
  <c r="AJ270" i="6" s="1"/>
  <c r="AF271" i="6" s="1"/>
  <c r="W226" i="6"/>
  <c r="X226" i="6" s="1"/>
  <c r="T227" i="6" s="1"/>
  <c r="AL270" i="6" l="1"/>
  <c r="U227" i="6"/>
  <c r="Y227" i="6" s="1"/>
  <c r="AG271" i="6"/>
  <c r="AK271" i="6" s="1"/>
  <c r="AH271" i="6"/>
  <c r="AI271" i="6" s="1"/>
  <c r="AJ271" i="6" s="1"/>
  <c r="AF272" i="6" s="1"/>
  <c r="AH272" i="6" l="1"/>
  <c r="AI272" i="6" s="1"/>
  <c r="AJ272" i="6" s="1"/>
  <c r="AF273" i="6" s="1"/>
  <c r="AG272" i="6"/>
  <c r="AK272" i="6" s="1"/>
  <c r="V227" i="6"/>
  <c r="AL271" i="6"/>
  <c r="AL272" i="6" l="1"/>
  <c r="AG273" i="6"/>
  <c r="AK273" i="6" s="1"/>
  <c r="AH273" i="6"/>
  <c r="AI273" i="6" s="1"/>
  <c r="AJ273" i="6" s="1"/>
  <c r="AF274" i="6" s="1"/>
  <c r="Z227" i="6"/>
  <c r="W227" i="6"/>
  <c r="X227" i="6" s="1"/>
  <c r="T228" i="6" s="1"/>
  <c r="AG274" i="6" l="1"/>
  <c r="AK274" i="6" s="1"/>
  <c r="AH274" i="6"/>
  <c r="AI274" i="6" s="1"/>
  <c r="AJ274" i="6" s="1"/>
  <c r="AF275" i="6" s="1"/>
  <c r="U228" i="6"/>
  <c r="Y228" i="6" s="1"/>
  <c r="AL273" i="6"/>
  <c r="AG275" i="6" l="1"/>
  <c r="AK275" i="6" s="1"/>
  <c r="AH275" i="6"/>
  <c r="AI275" i="6" s="1"/>
  <c r="AJ275" i="6" s="1"/>
  <c r="AF276" i="6" s="1"/>
  <c r="AG276" i="6" s="1"/>
  <c r="AK276" i="6" s="1"/>
  <c r="AL274" i="6"/>
  <c r="V228" i="6"/>
  <c r="AH276" i="6" l="1"/>
  <c r="AI276" i="6" s="1"/>
  <c r="AJ276" i="6" s="1"/>
  <c r="AF277" i="6" s="1"/>
  <c r="AG277" i="6" s="1"/>
  <c r="AK277" i="6" s="1"/>
  <c r="AL275" i="6"/>
  <c r="W228" i="6"/>
  <c r="X228" i="6" s="1"/>
  <c r="T229" i="6" s="1"/>
  <c r="Z228" i="6"/>
  <c r="AH277" i="6" l="1"/>
  <c r="AI277" i="6" s="1"/>
  <c r="AJ277" i="6" s="1"/>
  <c r="AF278" i="6" s="1"/>
  <c r="AG278" i="6" s="1"/>
  <c r="AK278" i="6" s="1"/>
  <c r="U229" i="6"/>
  <c r="Y229" i="6" s="1"/>
  <c r="V229" i="6"/>
  <c r="Z229" i="6" s="1"/>
  <c r="AL276" i="6"/>
  <c r="AL277" i="6" l="1"/>
  <c r="W229" i="6"/>
  <c r="X229" i="6" s="1"/>
  <c r="T230" i="6" s="1"/>
  <c r="AH278" i="6"/>
  <c r="AI278" i="6" s="1"/>
  <c r="AJ278" i="6" s="1"/>
  <c r="AF279" i="6" s="1"/>
  <c r="AL278" i="6" l="1"/>
  <c r="U230" i="6"/>
  <c r="Y230" i="6" s="1"/>
  <c r="AG279" i="6"/>
  <c r="V230" i="6" l="1"/>
  <c r="AT4" i="6"/>
  <c r="AK279" i="6"/>
  <c r="AT15" i="6" s="1"/>
  <c r="AH279" i="6"/>
  <c r="AT13" i="6" s="1"/>
  <c r="Z230" i="6" l="1"/>
  <c r="W230" i="6"/>
  <c r="X230" i="6" s="1"/>
  <c r="T231" i="6" s="1"/>
  <c r="AI279" i="6"/>
  <c r="AL279" i="6"/>
  <c r="U231" i="6" l="1"/>
  <c r="Y231" i="6" s="1"/>
  <c r="AT5" i="6"/>
  <c r="AJ279" i="6"/>
  <c r="V231" i="6" l="1"/>
  <c r="AT6" i="6"/>
  <c r="AT7" i="6" a="1"/>
  <c r="AT7" i="6" s="1"/>
  <c r="AT8" i="6" s="1"/>
  <c r="W231" i="6" l="1"/>
  <c r="X231" i="6" s="1"/>
  <c r="Z231" i="6"/>
  <c r="T232" i="6" l="1"/>
  <c r="U232" i="6" l="1"/>
  <c r="Y232" i="6" s="1"/>
  <c r="V232" i="6"/>
  <c r="Z232" i="6" s="1"/>
  <c r="W232" i="6" l="1"/>
  <c r="X232" i="6" s="1"/>
  <c r="T233" i="6" s="1"/>
  <c r="U233" i="6" l="1"/>
  <c r="Y233" i="6" s="1"/>
  <c r="V233" i="6"/>
  <c r="Z233" i="6" s="1"/>
  <c r="W233" i="6" l="1"/>
  <c r="X233" i="6" s="1"/>
  <c r="T234" i="6" s="1"/>
  <c r="U234" i="6" l="1"/>
  <c r="Y234" i="6" s="1"/>
  <c r="V234" i="6" l="1"/>
  <c r="Z234" i="6" l="1"/>
  <c r="W234" i="6"/>
  <c r="X234" i="6" s="1"/>
  <c r="T235" i="6" s="1"/>
  <c r="U235" i="6" l="1"/>
  <c r="Y235" i="6" s="1"/>
  <c r="V235" i="6" l="1"/>
  <c r="W235" i="6" l="1"/>
  <c r="X235" i="6" s="1"/>
  <c r="T236" i="6" s="1"/>
  <c r="Z235" i="6"/>
  <c r="U236" i="6" l="1"/>
  <c r="Y236" i="6" s="1"/>
  <c r="V236" i="6" l="1"/>
  <c r="S15" i="7"/>
  <c r="Z236" i="6" l="1"/>
  <c r="W236" i="6"/>
  <c r="X236" i="6" s="1"/>
  <c r="T237" i="6" s="1"/>
  <c r="R15" i="7"/>
  <c r="S16" i="7" s="1"/>
  <c r="U237" i="6" l="1"/>
  <c r="Y237" i="6" s="1"/>
  <c r="V237" i="6" l="1"/>
  <c r="W237" i="6" l="1"/>
  <c r="X237" i="6" s="1"/>
  <c r="T238" i="6" s="1"/>
  <c r="Z237" i="6"/>
  <c r="U238" i="6" l="1"/>
  <c r="Y238" i="6" s="1"/>
  <c r="V238" i="6"/>
  <c r="W238" i="6" s="1"/>
  <c r="X238" i="6" s="1"/>
  <c r="T239" i="6" s="1"/>
  <c r="U239" i="6" l="1"/>
  <c r="Y239" i="6" s="1"/>
  <c r="V239" i="6"/>
  <c r="W239" i="6" s="1"/>
  <c r="X239" i="6" s="1"/>
  <c r="T240" i="6" s="1"/>
  <c r="Z238" i="6"/>
  <c r="U240" i="6" l="1"/>
  <c r="Y240" i="6" s="1"/>
  <c r="Z239" i="6"/>
  <c r="V240" i="6" l="1"/>
  <c r="Z240" i="6" l="1"/>
  <c r="W240" i="6"/>
  <c r="X240" i="6" s="1"/>
  <c r="T241" i="6" s="1"/>
  <c r="U241" i="6" s="1"/>
  <c r="Y241" i="6" s="1"/>
  <c r="V241" i="6" l="1"/>
  <c r="Z241" i="6" s="1"/>
  <c r="W241" i="6"/>
  <c r="X241" i="6" s="1"/>
  <c r="T242" i="6" s="1"/>
  <c r="U242" i="6" l="1"/>
  <c r="Y242" i="6" s="1"/>
  <c r="V242" i="6" l="1"/>
  <c r="W242" i="6" l="1"/>
  <c r="X242" i="6" s="1"/>
  <c r="T243" i="6" s="1"/>
  <c r="Z242" i="6"/>
  <c r="U243" i="6" l="1"/>
  <c r="Y243" i="6" s="1"/>
  <c r="V243" i="6" l="1"/>
  <c r="Z243" i="6" l="1"/>
  <c r="W243" i="6"/>
  <c r="X243" i="6" s="1"/>
  <c r="T244" i="6" l="1"/>
  <c r="U244" i="6" l="1"/>
  <c r="Y244" i="6" s="1"/>
  <c r="V244" i="6" l="1"/>
  <c r="Z244" i="6" l="1"/>
  <c r="W244" i="6"/>
  <c r="X244" i="6" s="1"/>
  <c r="T245" i="6" s="1"/>
  <c r="U245" i="6" l="1"/>
  <c r="Y245" i="6" s="1"/>
  <c r="V245" i="6" l="1"/>
  <c r="Z245" i="6" l="1"/>
  <c r="W245" i="6"/>
  <c r="X245" i="6" s="1"/>
  <c r="T246" i="6" s="1"/>
  <c r="U246" i="6" l="1"/>
  <c r="Y246" i="6" s="1"/>
  <c r="V246" i="6" l="1"/>
  <c r="W246" i="6" l="1"/>
  <c r="X246" i="6" s="1"/>
  <c r="T247" i="6" s="1"/>
  <c r="Z246" i="6"/>
  <c r="U247" i="6" l="1"/>
  <c r="Y247" i="6" s="1"/>
  <c r="V247" i="6" l="1"/>
  <c r="Z247" i="6" l="1"/>
  <c r="W247" i="6"/>
  <c r="X247" i="6" s="1"/>
  <c r="T248" i="6" s="1"/>
  <c r="U248" i="6" l="1"/>
  <c r="Y248" i="6" s="1"/>
  <c r="V248" i="6" l="1"/>
  <c r="W248" i="6" l="1"/>
  <c r="X248" i="6" s="1"/>
  <c r="T249" i="6" s="1"/>
  <c r="Z248" i="6"/>
  <c r="U249" i="6" l="1"/>
  <c r="Y249" i="6" s="1"/>
  <c r="V249" i="6" l="1"/>
  <c r="W249" i="6" s="1"/>
  <c r="X249" i="6" s="1"/>
  <c r="T250" i="6" s="1"/>
  <c r="U250" i="6" s="1"/>
  <c r="V250" i="6" s="1"/>
  <c r="W250" i="6" s="1"/>
  <c r="X250" i="6" s="1"/>
  <c r="T251" i="6" s="1"/>
  <c r="Z249" i="6" l="1"/>
  <c r="Z250" i="6" s="1"/>
  <c r="U251" i="6"/>
  <c r="V251" i="6" s="1"/>
  <c r="W251" i="6" s="1"/>
  <c r="X251" i="6" s="1"/>
  <c r="T252" i="6" s="1"/>
  <c r="Y250" i="6"/>
  <c r="U252" i="6" l="1"/>
  <c r="V252" i="6" s="1"/>
  <c r="W252" i="6" s="1"/>
  <c r="X252" i="6" s="1"/>
  <c r="T253" i="6" s="1"/>
  <c r="Z251" i="6"/>
  <c r="Y251" i="6"/>
  <c r="Y252" i="6" l="1"/>
  <c r="U253" i="6"/>
  <c r="V253" i="6" s="1"/>
  <c r="W253" i="6" s="1"/>
  <c r="X253" i="6" s="1"/>
  <c r="T254" i="6" s="1"/>
  <c r="Z252" i="6"/>
  <c r="U254" i="6" l="1"/>
  <c r="V254" i="6" s="1"/>
  <c r="W254" i="6" s="1"/>
  <c r="X254" i="6" s="1"/>
  <c r="T255" i="6" s="1"/>
  <c r="Z253" i="6"/>
  <c r="Y253" i="6"/>
  <c r="Y254" i="6" l="1"/>
  <c r="U255" i="6"/>
  <c r="V255" i="6" s="1"/>
  <c r="W255" i="6" s="1"/>
  <c r="X255" i="6" s="1"/>
  <c r="Z254" i="6"/>
  <c r="T256" i="6" l="1"/>
  <c r="Z255" i="6"/>
  <c r="Y255" i="6"/>
  <c r="U256" i="6" l="1"/>
  <c r="V256" i="6" s="1"/>
  <c r="W256" i="6" l="1"/>
  <c r="X256" i="6" s="1"/>
  <c r="T257" i="6" s="1"/>
  <c r="Z256" i="6"/>
  <c r="Y256" i="6"/>
  <c r="U257" i="6" l="1"/>
  <c r="Y257" i="6" s="1"/>
  <c r="Q15" i="7"/>
  <c r="R16" i="7" s="1"/>
  <c r="S17" i="7" s="1"/>
  <c r="V257" i="6" l="1"/>
  <c r="W257" i="6" l="1"/>
  <c r="X257" i="6" s="1"/>
  <c r="T258" i="6" s="1"/>
  <c r="Z257" i="6"/>
  <c r="U258" i="6" l="1"/>
  <c r="Y258" i="6" s="1"/>
  <c r="V258" i="6" l="1"/>
  <c r="Z258" i="6" l="1"/>
  <c r="W258" i="6"/>
  <c r="X258" i="6" s="1"/>
  <c r="T259" i="6" s="1"/>
  <c r="U259" i="6" l="1"/>
  <c r="Y259" i="6" s="1"/>
  <c r="V259" i="6" l="1"/>
  <c r="Z259" i="6" l="1"/>
  <c r="W259" i="6"/>
  <c r="X259" i="6" s="1"/>
  <c r="T260" i="6" s="1"/>
  <c r="U260" i="6" l="1"/>
  <c r="Y260" i="6" s="1"/>
  <c r="V260" i="6" l="1"/>
  <c r="W260" i="6" l="1"/>
  <c r="X260" i="6" s="1"/>
  <c r="T261" i="6" s="1"/>
  <c r="Z260" i="6"/>
  <c r="V261" i="6" l="1"/>
  <c r="W261" i="6" s="1"/>
  <c r="X261" i="6" s="1"/>
  <c r="T262" i="6" s="1"/>
  <c r="U261" i="6"/>
  <c r="Y261" i="6" s="1"/>
  <c r="U262" i="6" l="1"/>
  <c r="Y262" i="6" s="1"/>
  <c r="Z261" i="6"/>
  <c r="V262" i="6" l="1"/>
  <c r="W262" i="6" s="1"/>
  <c r="X262" i="6" s="1"/>
  <c r="T263" i="6" s="1"/>
  <c r="Z262" i="6" l="1"/>
  <c r="U263" i="6"/>
  <c r="Y263" i="6" s="1"/>
  <c r="V263" i="6" l="1"/>
  <c r="W263" i="6" s="1"/>
  <c r="X263" i="6" s="1"/>
  <c r="T264" i="6" s="1"/>
  <c r="U264" i="6" l="1"/>
  <c r="Y264" i="6" s="1"/>
  <c r="Z263" i="6"/>
  <c r="V264" i="6" l="1"/>
  <c r="W264" i="6" s="1"/>
  <c r="X264" i="6" s="1"/>
  <c r="T265" i="6" s="1"/>
  <c r="Z264" i="6" l="1"/>
  <c r="U265" i="6"/>
  <c r="Y265" i="6" s="1"/>
  <c r="V265" i="6" l="1"/>
  <c r="W265" i="6" s="1"/>
  <c r="X265" i="6" s="1"/>
  <c r="T266" i="6" s="1"/>
  <c r="U266" i="6" l="1"/>
  <c r="Y266" i="6" s="1"/>
  <c r="Z265" i="6"/>
  <c r="V266" i="6" l="1"/>
  <c r="W266" i="6" s="1"/>
  <c r="X266" i="6" s="1"/>
  <c r="T267" i="6" s="1"/>
  <c r="U267" i="6" l="1"/>
  <c r="Y267" i="6" s="1"/>
  <c r="Z266" i="6"/>
  <c r="V267" i="6" l="1"/>
  <c r="W267" i="6" s="1"/>
  <c r="X267" i="6" s="1"/>
  <c r="Z267" i="6" l="1"/>
  <c r="T268" i="6"/>
  <c r="U268" i="6" l="1"/>
  <c r="Y268" i="6" s="1"/>
  <c r="V268" i="6" l="1"/>
  <c r="Z268" i="6" l="1"/>
  <c r="W268" i="6"/>
  <c r="X268" i="6" s="1"/>
  <c r="T269" i="6" s="1"/>
  <c r="U269" i="6" l="1"/>
  <c r="Y269" i="6" s="1"/>
  <c r="V269" i="6" l="1"/>
  <c r="Z269" i="6" l="1"/>
  <c r="W269" i="6"/>
  <c r="X269" i="6" s="1"/>
  <c r="T270" i="6" s="1"/>
  <c r="U270" i="6" l="1"/>
  <c r="Y270" i="6" s="1"/>
  <c r="V270" i="6" l="1"/>
  <c r="W270" i="6" s="1"/>
  <c r="X270" i="6" s="1"/>
  <c r="T271" i="6" s="1"/>
  <c r="V271" i="6" l="1"/>
  <c r="W271" i="6" s="1"/>
  <c r="X271" i="6" s="1"/>
  <c r="T272" i="6" s="1"/>
  <c r="U272" i="6" s="1"/>
  <c r="Z270" i="6"/>
  <c r="U271" i="6"/>
  <c r="Y271" i="6" s="1"/>
  <c r="Y272" i="6" l="1"/>
  <c r="Z271" i="6"/>
  <c r="V272" i="6"/>
  <c r="W272" i="6" s="1"/>
  <c r="X272" i="6" s="1"/>
  <c r="T273" i="6" s="1"/>
  <c r="E150" i="4"/>
  <c r="E155" i="4"/>
  <c r="E158" i="4"/>
  <c r="E153" i="4"/>
  <c r="E152" i="4"/>
  <c r="E157" i="4"/>
  <c r="E149" i="4"/>
  <c r="E151" i="4"/>
  <c r="E148" i="4"/>
  <c r="E147" i="4"/>
  <c r="E156" i="4"/>
  <c r="E154" i="4"/>
  <c r="Z272" i="6" l="1"/>
  <c r="U273" i="6"/>
  <c r="Y273" i="6" s="1"/>
  <c r="Z14" i="8" a="1"/>
  <c r="Z14" i="8" s="1"/>
  <c r="AA14" i="8" s="1"/>
  <c r="L148" i="4"/>
  <c r="L158" i="4"/>
  <c r="L152" i="4"/>
  <c r="L147" i="4"/>
  <c r="L151" i="4"/>
  <c r="L153" i="4"/>
  <c r="L150" i="4"/>
  <c r="L156" i="4"/>
  <c r="L155" i="4"/>
  <c r="F14" i="9"/>
  <c r="L149" i="4"/>
  <c r="L157" i="4"/>
  <c r="L154" i="4"/>
  <c r="V273" i="6" l="1"/>
  <c r="W273" i="6" s="1"/>
  <c r="X273" i="6" s="1"/>
  <c r="T274" i="6" s="1"/>
  <c r="Y14" i="9"/>
  <c r="Z273" i="6" l="1"/>
  <c r="U274" i="6"/>
  <c r="Y274" i="6" s="1"/>
  <c r="AF14" i="9"/>
  <c r="V274" i="6" l="1"/>
  <c r="W274" i="6" s="1"/>
  <c r="X274" i="6" s="1"/>
  <c r="T275" i="6" s="1"/>
  <c r="O15" i="7"/>
  <c r="P16" i="7" s="1"/>
  <c r="Q17" i="7" s="1"/>
  <c r="R18" i="7" s="1"/>
  <c r="S19" i="7" s="1"/>
  <c r="AC14" i="9"/>
  <c r="Z274" i="6" l="1"/>
  <c r="U275" i="6"/>
  <c r="Y275" i="6" s="1"/>
  <c r="P15" i="7"/>
  <c r="Q16" i="7" s="1"/>
  <c r="R17" i="7" s="1"/>
  <c r="S18" i="7" s="1"/>
  <c r="V275" i="6" l="1"/>
  <c r="Z275" i="6" s="1"/>
  <c r="W275" i="6" l="1"/>
  <c r="X275" i="6" s="1"/>
  <c r="T276" i="6" s="1"/>
  <c r="U276" i="6" s="1"/>
  <c r="Y276" i="6" s="1"/>
  <c r="E15" i="7"/>
  <c r="I14" i="7"/>
  <c r="V276" i="6" l="1"/>
  <c r="I15" i="7"/>
  <c r="Z276" i="6" l="1"/>
  <c r="W276" i="6"/>
  <c r="X276" i="6" s="1"/>
  <c r="T277" i="6" s="1"/>
  <c r="U277" i="6" l="1"/>
  <c r="Y277" i="6" s="1"/>
  <c r="V277" i="6" l="1"/>
  <c r="Z277" i="6" l="1"/>
  <c r="W277" i="6"/>
  <c r="X277" i="6" s="1"/>
  <c r="T278" i="6" s="1"/>
  <c r="U278" i="6" l="1"/>
  <c r="Y278" i="6" s="1"/>
  <c r="V278" i="6" l="1"/>
  <c r="Z278" i="6" l="1"/>
  <c r="W278" i="6"/>
  <c r="X278" i="6" s="1"/>
  <c r="T279" i="6" s="1"/>
  <c r="U279" i="6" l="1"/>
  <c r="V279" i="6" s="1"/>
  <c r="W279" i="6" l="1"/>
  <c r="AR13" i="6"/>
  <c r="AT14" i="6" s="1"/>
  <c r="AR5" i="6"/>
  <c r="X279" i="6"/>
  <c r="Z279" i="6"/>
  <c r="AR4" i="6"/>
  <c r="AT9" i="6" s="1"/>
  <c r="Y279" i="6"/>
  <c r="AR15" i="6" s="1"/>
  <c r="AR6" i="6" l="1"/>
  <c r="AR7" i="6" a="1"/>
  <c r="AR7" i="6" s="1"/>
  <c r="AR8" i="6" l="1"/>
  <c r="F21" i="1" s="1"/>
  <c r="AT10" i="6"/>
  <c r="D184" i="6" l="1"/>
  <c r="E159" i="4" l="1"/>
  <c r="L159" i="4"/>
  <c r="E160" i="4"/>
  <c r="L160" i="4"/>
  <c r="E161" i="4"/>
  <c r="L161" i="4"/>
  <c r="E162" i="4"/>
  <c r="L162" i="4"/>
  <c r="E163" i="4"/>
  <c r="L163" i="4"/>
  <c r="E164" i="4"/>
  <c r="L164" i="4"/>
  <c r="E165" i="4"/>
  <c r="L165" i="4"/>
  <c r="E166" i="4"/>
  <c r="L166" i="4"/>
  <c r="E167" i="4"/>
  <c r="L167" i="4"/>
  <c r="E168" i="4"/>
  <c r="L168" i="4"/>
  <c r="E169" i="4"/>
  <c r="L169" i="4"/>
  <c r="E170" i="4"/>
  <c r="L170" i="4"/>
  <c r="E171" i="4"/>
  <c r="L171" i="4"/>
  <c r="E172" i="4"/>
  <c r="L172" i="4"/>
  <c r="E173" i="4"/>
  <c r="L173" i="4"/>
  <c r="E174" i="4"/>
  <c r="L174" i="4"/>
  <c r="E175" i="4"/>
  <c r="L175" i="4"/>
  <c r="E176" i="4"/>
  <c r="L176" i="4"/>
  <c r="E177" i="4"/>
  <c r="L177" i="4"/>
  <c r="E178" i="4"/>
  <c r="L178" i="4"/>
  <c r="E179" i="4"/>
  <c r="L179" i="4"/>
  <c r="E180" i="4"/>
  <c r="L180" i="4"/>
  <c r="E181" i="4"/>
  <c r="L181" i="4"/>
  <c r="E182" i="4"/>
  <c r="L182" i="4"/>
  <c r="F16" i="9"/>
  <c r="F15" i="9"/>
  <c r="E184" i="6" l="1"/>
  <c r="E196" i="6" l="1"/>
  <c r="K184" i="6"/>
  <c r="F184" i="6"/>
  <c r="G184" i="6" s="1"/>
  <c r="E185" i="6" l="1"/>
  <c r="E197" i="6"/>
  <c r="M184" i="6"/>
  <c r="H184" i="6"/>
  <c r="L184" i="6"/>
  <c r="E186" i="6" l="1"/>
  <c r="E187" i="6"/>
  <c r="N184" i="6"/>
  <c r="I184" i="6"/>
  <c r="J184" i="6" s="1"/>
  <c r="D185" i="6" s="1"/>
  <c r="E198" i="6"/>
  <c r="F185" i="6" l="1"/>
  <c r="G185" i="6" s="1"/>
  <c r="M185" i="6" s="1"/>
  <c r="K185" i="6"/>
  <c r="E188" i="6"/>
  <c r="E199" i="6"/>
  <c r="H185" i="6" l="1"/>
  <c r="E200" i="6"/>
  <c r="L185" i="6"/>
  <c r="E189" i="6"/>
  <c r="E201" i="6" l="1"/>
  <c r="E190" i="6"/>
  <c r="N185" i="6"/>
  <c r="I185" i="6"/>
  <c r="J185" i="6" s="1"/>
  <c r="D186" i="6" s="1"/>
  <c r="E191" i="6" l="1"/>
  <c r="E202" i="6"/>
  <c r="K186" i="6"/>
  <c r="F186" i="6"/>
  <c r="G186" i="6" s="1"/>
  <c r="M186" i="6" s="1"/>
  <c r="E203" i="6" l="1"/>
  <c r="E192" i="6"/>
  <c r="L186" i="6"/>
  <c r="H186" i="6"/>
  <c r="E193" i="6" l="1"/>
  <c r="I186" i="6"/>
  <c r="J186" i="6" s="1"/>
  <c r="D187" i="6" s="1"/>
  <c r="N186" i="6"/>
  <c r="E204" i="6"/>
  <c r="F187" i="6" l="1"/>
  <c r="G187" i="6" s="1"/>
  <c r="M187" i="6" s="1"/>
  <c r="K187" i="6"/>
  <c r="E194" i="6"/>
  <c r="E205" i="6"/>
  <c r="E195" i="6" l="1"/>
  <c r="L187" i="6"/>
  <c r="E206" i="6"/>
  <c r="H187" i="6"/>
  <c r="N187" i="6" l="1"/>
  <c r="I187" i="6"/>
  <c r="J187" i="6" s="1"/>
  <c r="D188" i="6" s="1"/>
  <c r="E207" i="6"/>
  <c r="F188" i="6" l="1"/>
  <c r="G188" i="6" s="1"/>
  <c r="M188" i="6" s="1"/>
  <c r="K188" i="6"/>
  <c r="H188" i="6" l="1"/>
  <c r="L188" i="6"/>
  <c r="I188" i="6" l="1"/>
  <c r="J188" i="6" s="1"/>
  <c r="D189" i="6" s="1"/>
  <c r="N188" i="6"/>
  <c r="K189" i="6" l="1"/>
  <c r="L189" i="6" s="1"/>
  <c r="F189" i="6"/>
  <c r="G189" i="6" s="1"/>
  <c r="M189" i="6" s="1"/>
  <c r="H189" i="6" l="1"/>
  <c r="N189" i="6" s="1"/>
  <c r="I189" i="6" l="1"/>
  <c r="J189" i="6" s="1"/>
  <c r="D190" i="6" s="1"/>
  <c r="F190" i="6" s="1"/>
  <c r="G190" i="6" s="1"/>
  <c r="M190" i="6" s="1"/>
  <c r="K190" i="6" l="1"/>
  <c r="L190" i="6" s="1"/>
  <c r="H190" i="6"/>
  <c r="N190" i="6" l="1"/>
  <c r="I190" i="6"/>
  <c r="J190" i="6" s="1"/>
  <c r="D191" i="6" s="1"/>
  <c r="K191" i="6" l="1"/>
  <c r="L191" i="6" s="1"/>
  <c r="F191" i="6"/>
  <c r="G191" i="6" s="1"/>
  <c r="M191" i="6" s="1"/>
  <c r="H191" i="6" l="1"/>
  <c r="I191" i="6" l="1"/>
  <c r="J191" i="6" s="1"/>
  <c r="D192" i="6" s="1"/>
  <c r="N191" i="6"/>
  <c r="K192" i="6" l="1"/>
  <c r="L192" i="6" s="1"/>
  <c r="F192" i="6"/>
  <c r="G192" i="6" s="1"/>
  <c r="M192" i="6" s="1"/>
  <c r="H192" i="6" l="1"/>
  <c r="N192" i="6" l="1"/>
  <c r="I192" i="6"/>
  <c r="J192" i="6" s="1"/>
  <c r="D193" i="6" s="1"/>
  <c r="F193" i="6" l="1"/>
  <c r="G193" i="6" s="1"/>
  <c r="M193" i="6" s="1"/>
  <c r="K193" i="6"/>
  <c r="L193" i="6" s="1"/>
  <c r="H193" i="6" l="1"/>
  <c r="I193" i="6" l="1"/>
  <c r="J193" i="6" s="1"/>
  <c r="D194" i="6" s="1"/>
  <c r="N193" i="6"/>
  <c r="K194" i="6" l="1"/>
  <c r="L194" i="6" s="1"/>
  <c r="F194" i="6"/>
  <c r="G194" i="6" s="1"/>
  <c r="M194" i="6" s="1"/>
  <c r="H194" i="6" l="1"/>
  <c r="I194" i="6" l="1"/>
  <c r="J194" i="6" s="1"/>
  <c r="D195" i="6" s="1"/>
  <c r="N194" i="6"/>
  <c r="F195" i="6" l="1"/>
  <c r="G195" i="6" s="1"/>
  <c r="M195" i="6" s="1"/>
  <c r="K195" i="6"/>
  <c r="L195" i="6" s="1"/>
  <c r="H195" i="6" l="1"/>
  <c r="N195" i="6" l="1"/>
  <c r="I195" i="6"/>
  <c r="J195" i="6" s="1"/>
  <c r="D196" i="6" l="1"/>
  <c r="K196" i="6" l="1"/>
  <c r="F196" i="6"/>
  <c r="G196" i="6" s="1"/>
  <c r="M196" i="6" s="1"/>
  <c r="H196" i="6" l="1"/>
  <c r="L196" i="6"/>
  <c r="N196" i="6" l="1"/>
  <c r="I196" i="6"/>
  <c r="J196" i="6" s="1"/>
  <c r="D197" i="6" s="1"/>
  <c r="K197" i="6" l="1"/>
  <c r="F197" i="6"/>
  <c r="G197" i="6" s="1"/>
  <c r="M197" i="6" s="1"/>
  <c r="H197" i="6" l="1"/>
  <c r="L197" i="6"/>
  <c r="I197" i="6" l="1"/>
  <c r="J197" i="6" s="1"/>
  <c r="D198" i="6" s="1"/>
  <c r="N197" i="6"/>
  <c r="F198" i="6" l="1"/>
  <c r="G198" i="6" s="1"/>
  <c r="M198" i="6" s="1"/>
  <c r="K198" i="6"/>
  <c r="L198" i="6" l="1"/>
  <c r="H198" i="6"/>
  <c r="I198" i="6" l="1"/>
  <c r="J198" i="6" s="1"/>
  <c r="D199" i="6" s="1"/>
  <c r="N198" i="6"/>
  <c r="F199" i="6" l="1"/>
  <c r="G199" i="6" s="1"/>
  <c r="M199" i="6" s="1"/>
  <c r="K199" i="6"/>
  <c r="H199" i="6" l="1"/>
  <c r="L199" i="6"/>
  <c r="N199" i="6" l="1"/>
  <c r="I199" i="6"/>
  <c r="J199" i="6" s="1"/>
  <c r="D200" i="6" s="1"/>
  <c r="K200" i="6" l="1"/>
  <c r="F200" i="6"/>
  <c r="G200" i="6" s="1"/>
  <c r="M200" i="6" s="1"/>
  <c r="H200" i="6" l="1"/>
  <c r="L200" i="6"/>
  <c r="N200" i="6" l="1"/>
  <c r="I200" i="6"/>
  <c r="J200" i="6" s="1"/>
  <c r="D201" i="6" s="1"/>
  <c r="K201" i="6" l="1"/>
  <c r="L201" i="6" s="1"/>
  <c r="F201" i="6"/>
  <c r="G201" i="6" s="1"/>
  <c r="M201" i="6" s="1"/>
  <c r="H201" i="6" l="1"/>
  <c r="N201" i="6" l="1"/>
  <c r="I201" i="6"/>
  <c r="J201" i="6" s="1"/>
  <c r="D202" i="6" s="1"/>
  <c r="F202" i="6" l="1"/>
  <c r="G202" i="6" s="1"/>
  <c r="M202" i="6" s="1"/>
  <c r="K202" i="6"/>
  <c r="L202" i="6" s="1"/>
  <c r="H202" i="6" l="1"/>
  <c r="N202" i="6" l="1"/>
  <c r="I202" i="6"/>
  <c r="J202" i="6" s="1"/>
  <c r="D203" i="6" s="1"/>
  <c r="F203" i="6" l="1"/>
  <c r="G203" i="6" s="1"/>
  <c r="M203" i="6" s="1"/>
  <c r="K203" i="6"/>
  <c r="L203" i="6" s="1"/>
  <c r="H203" i="6" l="1"/>
  <c r="I203" i="6" l="1"/>
  <c r="J203" i="6" s="1"/>
  <c r="D204" i="6" s="1"/>
  <c r="N203" i="6"/>
  <c r="K204" i="6" l="1"/>
  <c r="L204" i="6" s="1"/>
  <c r="F204" i="6"/>
  <c r="G204" i="6" s="1"/>
  <c r="H204" i="6" l="1"/>
  <c r="M204" i="6"/>
  <c r="N204" i="6" l="1"/>
  <c r="I204" i="6"/>
  <c r="J204" i="6" s="1"/>
  <c r="D205" i="6" s="1"/>
  <c r="K205" i="6" l="1"/>
  <c r="L205" i="6" s="1"/>
  <c r="F205" i="6"/>
  <c r="G205" i="6" s="1"/>
  <c r="M205" i="6" s="1"/>
  <c r="H205" i="6" l="1"/>
  <c r="N205" i="6" l="1"/>
  <c r="I205" i="6"/>
  <c r="J205" i="6" s="1"/>
  <c r="D206" i="6" s="1"/>
  <c r="K206" i="6" l="1"/>
  <c r="L206" i="6" s="1"/>
  <c r="F206" i="6"/>
  <c r="G206" i="6" s="1"/>
  <c r="M206" i="6" s="1"/>
  <c r="H206" i="6" l="1"/>
  <c r="I206" i="6" l="1"/>
  <c r="J206" i="6" s="1"/>
  <c r="D207" i="6" s="1"/>
  <c r="N206" i="6"/>
  <c r="L15" i="7" l="1"/>
  <c r="M15" i="7" s="1"/>
  <c r="G15" i="7"/>
  <c r="F207" i="6"/>
  <c r="G207" i="6" s="1"/>
  <c r="M207" i="6" s="1"/>
  <c r="K207" i="6"/>
  <c r="L14" i="7"/>
  <c r="M14" i="7" s="1"/>
  <c r="G14" i="7"/>
  <c r="N16" i="7" l="1"/>
  <c r="O17" i="7" s="1"/>
  <c r="P18" i="7" s="1"/>
  <c r="Q19" i="7" s="1"/>
  <c r="N15" i="7"/>
  <c r="O16" i="7" s="1"/>
  <c r="P17" i="7" s="1"/>
  <c r="Q18" i="7" s="1"/>
  <c r="R19" i="7" s="1"/>
  <c r="L207" i="6"/>
  <c r="H207" i="6"/>
  <c r="I207" i="6" l="1"/>
  <c r="J207" i="6" s="1"/>
  <c r="N207" i="6"/>
  <c r="J15" i="7"/>
  <c r="D208" i="6" l="1"/>
  <c r="E16" i="7"/>
  <c r="J16" i="7" l="1"/>
  <c r="I16" i="7"/>
  <c r="E17" i="7" l="1"/>
  <c r="I17" i="7" l="1"/>
  <c r="Z16" i="8" l="1" a="1"/>
  <c r="Z16" i="8" s="1"/>
  <c r="AA16" i="8" s="1"/>
  <c r="Z15" i="8" a="1"/>
  <c r="Z15" i="8" s="1"/>
  <c r="AA15" i="8" s="1"/>
  <c r="Y16" i="9" l="1"/>
  <c r="L17" i="7"/>
  <c r="M17" i="7" s="1"/>
  <c r="G17" i="7"/>
  <c r="Y15" i="9" l="1"/>
  <c r="AF16" i="9"/>
  <c r="AF15" i="9"/>
  <c r="N18" i="7"/>
  <c r="O19" i="7" s="1"/>
  <c r="AC15" i="9" l="1"/>
  <c r="AC16" i="9"/>
  <c r="L16" i="7" l="1"/>
  <c r="M16" i="7" s="1"/>
  <c r="G16" i="7"/>
  <c r="N17" i="7" l="1"/>
  <c r="O18" i="7" s="1"/>
  <c r="P19" i="7" s="1"/>
  <c r="J17" i="7" l="1"/>
  <c r="E18" i="7"/>
  <c r="J18" i="7" l="1"/>
  <c r="G18" i="7"/>
  <c r="I18" i="7"/>
  <c r="E19" i="7" l="1"/>
  <c r="N19" i="7"/>
  <c r="L18" i="7"/>
  <c r="M18" i="7" s="1"/>
  <c r="I19" i="7" l="1"/>
  <c r="L19" i="7" l="1"/>
  <c r="M19" i="7" s="1"/>
  <c r="J19" i="7"/>
  <c r="G19" i="7"/>
  <c r="E220" i="6" l="1"/>
  <c r="E221" i="6" l="1"/>
  <c r="E222" i="6"/>
  <c r="E223" i="6" l="1"/>
  <c r="E224" i="6" l="1"/>
  <c r="E225" i="6" l="1"/>
  <c r="E226" i="6" l="1"/>
  <c r="E227" i="6" l="1"/>
  <c r="E228" i="6" l="1"/>
  <c r="E229" i="6" l="1"/>
  <c r="E230" i="6" l="1"/>
  <c r="E231" i="6" l="1"/>
  <c r="H15" i="7" l="1"/>
  <c r="T15" i="7"/>
  <c r="H16" i="7"/>
  <c r="T16" i="7"/>
  <c r="H17" i="7"/>
  <c r="T17" i="7"/>
  <c r="H18" i="7"/>
  <c r="T18" i="7"/>
  <c r="H19" i="7"/>
  <c r="T19" i="7"/>
  <c r="E208" i="6" l="1"/>
  <c r="F208" i="6" l="1"/>
  <c r="G208" i="6" s="1"/>
  <c r="K208" i="6"/>
  <c r="E209" i="6" l="1"/>
  <c r="E210" i="6"/>
  <c r="L208" i="6"/>
  <c r="H208" i="6"/>
  <c r="M208" i="6"/>
  <c r="E211" i="6" l="1"/>
  <c r="I208" i="6"/>
  <c r="N208" i="6"/>
  <c r="J208" i="6" l="1"/>
  <c r="E212" i="6"/>
  <c r="D209" i="6" l="1"/>
  <c r="E213" i="6"/>
  <c r="E214" i="6" l="1"/>
  <c r="F209" i="6"/>
  <c r="G209" i="6" s="1"/>
  <c r="H209" i="6" s="1"/>
  <c r="K209" i="6"/>
  <c r="N209" i="6" l="1"/>
  <c r="I209" i="6"/>
  <c r="L209" i="6"/>
  <c r="M209" i="6"/>
  <c r="E215" i="6"/>
  <c r="E216" i="6" l="1"/>
  <c r="J209" i="6"/>
  <c r="E217" i="6" l="1"/>
  <c r="D210" i="6"/>
  <c r="E218" i="6" l="1"/>
  <c r="F210" i="6"/>
  <c r="G210" i="6" s="1"/>
  <c r="K210" i="6"/>
  <c r="E219" i="6" l="1"/>
  <c r="L210" i="6"/>
  <c r="M210" i="6"/>
  <c r="H210" i="6"/>
  <c r="N210" i="6" l="1"/>
  <c r="I210" i="6"/>
  <c r="J210" i="6" l="1"/>
  <c r="D211" i="6" l="1"/>
  <c r="F211" i="6" l="1"/>
  <c r="G211" i="6" s="1"/>
  <c r="H211" i="6" s="1"/>
  <c r="K211" i="6"/>
  <c r="N211" i="6" l="1"/>
  <c r="I211" i="6"/>
  <c r="L211" i="6"/>
  <c r="M211" i="6"/>
  <c r="J211" i="6" l="1"/>
  <c r="D212" i="6" l="1"/>
  <c r="F212" i="6" l="1"/>
  <c r="G212" i="6" s="1"/>
  <c r="H212" i="6" s="1"/>
  <c r="K212" i="6"/>
  <c r="N212" i="6" l="1"/>
  <c r="I212" i="6"/>
  <c r="L212" i="6"/>
  <c r="M212" i="6"/>
  <c r="J212" i="6" l="1"/>
  <c r="D213" i="6" l="1"/>
  <c r="F213" i="6" l="1"/>
  <c r="G213" i="6" s="1"/>
  <c r="M213" i="6" s="1"/>
  <c r="K213" i="6"/>
  <c r="L213" i="6" s="1"/>
  <c r="H213" i="6" l="1"/>
  <c r="N213" i="6" l="1"/>
  <c r="I213" i="6"/>
  <c r="J213" i="6" s="1"/>
  <c r="D214" i="6" s="1"/>
  <c r="F214" i="6" l="1"/>
  <c r="G214" i="6" s="1"/>
  <c r="M214" i="6" s="1"/>
  <c r="K214" i="6"/>
  <c r="L214" i="6" s="1"/>
  <c r="H214" i="6" l="1"/>
  <c r="I214" i="6" l="1"/>
  <c r="J214" i="6" s="1"/>
  <c r="D215" i="6" s="1"/>
  <c r="N214" i="6"/>
  <c r="F215" i="6" l="1"/>
  <c r="G215" i="6" s="1"/>
  <c r="M215" i="6" s="1"/>
  <c r="K215" i="6"/>
  <c r="L215" i="6" s="1"/>
  <c r="H215" i="6" l="1"/>
  <c r="I215" i="6" l="1"/>
  <c r="J215" i="6" s="1"/>
  <c r="D216" i="6" s="1"/>
  <c r="N215" i="6"/>
  <c r="F216" i="6" l="1"/>
  <c r="G216" i="6" s="1"/>
  <c r="M216" i="6" s="1"/>
  <c r="K216" i="6"/>
  <c r="L216" i="6" s="1"/>
  <c r="H216" i="6" l="1"/>
  <c r="I216" i="6" l="1"/>
  <c r="J216" i="6" s="1"/>
  <c r="D217" i="6" s="1"/>
  <c r="N216" i="6"/>
  <c r="F217" i="6" l="1"/>
  <c r="G217" i="6" s="1"/>
  <c r="M217" i="6" s="1"/>
  <c r="K217" i="6"/>
  <c r="L217" i="6" s="1"/>
  <c r="H217" i="6" l="1"/>
  <c r="N217" i="6" l="1"/>
  <c r="I217" i="6"/>
  <c r="J217" i="6" s="1"/>
  <c r="D218" i="6" s="1"/>
  <c r="F218" i="6" l="1"/>
  <c r="G218" i="6" s="1"/>
  <c r="M218" i="6" s="1"/>
  <c r="K218" i="6"/>
  <c r="L218" i="6" s="1"/>
  <c r="H218" i="6" l="1"/>
  <c r="I218" i="6" l="1"/>
  <c r="J218" i="6" s="1"/>
  <c r="D219" i="6" s="1"/>
  <c r="N218" i="6"/>
  <c r="F219" i="6" l="1"/>
  <c r="G219" i="6" s="1"/>
  <c r="M219" i="6" s="1"/>
  <c r="K219" i="6"/>
  <c r="L219" i="6" s="1"/>
  <c r="H219" i="6" l="1"/>
  <c r="N219" i="6" l="1"/>
  <c r="I219" i="6"/>
  <c r="J219" i="6" s="1"/>
  <c r="D220" i="6" l="1"/>
  <c r="F220" i="6" l="1"/>
  <c r="G220" i="6" s="1"/>
  <c r="M220" i="6" s="1"/>
  <c r="K220" i="6"/>
  <c r="H220" i="6" l="1"/>
  <c r="L220" i="6"/>
  <c r="N220" i="6" l="1"/>
  <c r="I220" i="6"/>
  <c r="J220" i="6" s="1"/>
  <c r="D221" i="6" s="1"/>
  <c r="F221" i="6" l="1"/>
  <c r="G221" i="6" s="1"/>
  <c r="M221" i="6" s="1"/>
  <c r="K221" i="6"/>
  <c r="L221" i="6" s="1"/>
  <c r="H221" i="6" l="1"/>
  <c r="N221" i="6" s="1"/>
  <c r="I221" i="6" l="1"/>
  <c r="J221" i="6" s="1"/>
  <c r="D222" i="6" s="1"/>
  <c r="K222" i="6" s="1"/>
  <c r="L222" i="6" s="1"/>
  <c r="F222" i="6" l="1"/>
  <c r="G222" i="6" s="1"/>
  <c r="M222" i="6" s="1"/>
  <c r="H222" i="6" l="1"/>
  <c r="N222" i="6" s="1"/>
  <c r="I222" i="6" l="1"/>
  <c r="J222" i="6" s="1"/>
  <c r="D223" i="6" s="1"/>
  <c r="K223" i="6" s="1"/>
  <c r="L223" i="6" s="1"/>
  <c r="F223" i="6" l="1"/>
  <c r="G223" i="6" s="1"/>
  <c r="H223" i="6" s="1"/>
  <c r="M223" i="6" l="1"/>
  <c r="I223" i="6"/>
  <c r="J223" i="6" s="1"/>
  <c r="D224" i="6" s="1"/>
  <c r="N223" i="6"/>
  <c r="K224" i="6" l="1"/>
  <c r="L224" i="6" s="1"/>
  <c r="F224" i="6"/>
  <c r="G224" i="6" s="1"/>
  <c r="H224" i="6" l="1"/>
  <c r="M224" i="6"/>
  <c r="I224" i="6" l="1"/>
  <c r="J224" i="6" s="1"/>
  <c r="D225" i="6" s="1"/>
  <c r="N224" i="6"/>
  <c r="F225" i="6" l="1"/>
  <c r="G225" i="6" s="1"/>
  <c r="M225" i="6" s="1"/>
  <c r="K225" i="6"/>
  <c r="L225" i="6" s="1"/>
  <c r="H225" i="6" l="1"/>
  <c r="I225" i="6" l="1"/>
  <c r="J225" i="6" s="1"/>
  <c r="D226" i="6" s="1"/>
  <c r="N225" i="6"/>
  <c r="F226" i="6" l="1"/>
  <c r="G226" i="6" s="1"/>
  <c r="K226" i="6"/>
  <c r="L226" i="6" s="1"/>
  <c r="H226" i="6" l="1"/>
  <c r="M226" i="6"/>
  <c r="I226" i="6" l="1"/>
  <c r="J226" i="6" s="1"/>
  <c r="D227" i="6" s="1"/>
  <c r="N226" i="6"/>
  <c r="F227" i="6" l="1"/>
  <c r="G227" i="6" s="1"/>
  <c r="K227" i="6"/>
  <c r="L227" i="6" s="1"/>
  <c r="H227" i="6" l="1"/>
  <c r="M227" i="6"/>
  <c r="I227" i="6" l="1"/>
  <c r="J227" i="6" s="1"/>
  <c r="D228" i="6" s="1"/>
  <c r="N227" i="6"/>
  <c r="F228" i="6" l="1"/>
  <c r="G228" i="6" s="1"/>
  <c r="M228" i="6" s="1"/>
  <c r="K228" i="6"/>
  <c r="L228" i="6" s="1"/>
  <c r="H228" i="6" l="1"/>
  <c r="I228" i="6" l="1"/>
  <c r="J228" i="6" s="1"/>
  <c r="D229" i="6" s="1"/>
  <c r="N228" i="6"/>
  <c r="F229" i="6" l="1"/>
  <c r="G229" i="6" s="1"/>
  <c r="K229" i="6"/>
  <c r="L229" i="6" s="1"/>
  <c r="H229" i="6" l="1"/>
  <c r="M229" i="6"/>
  <c r="I229" i="6" l="1"/>
  <c r="J229" i="6" s="1"/>
  <c r="D230" i="6" s="1"/>
  <c r="N229" i="6"/>
  <c r="F230" i="6" l="1"/>
  <c r="G230" i="6" s="1"/>
  <c r="K230" i="6"/>
  <c r="L230" i="6" s="1"/>
  <c r="H230" i="6" l="1"/>
  <c r="M230" i="6"/>
  <c r="I230" i="6" l="1"/>
  <c r="J230" i="6" s="1"/>
  <c r="D231" i="6" s="1"/>
  <c r="N230" i="6"/>
  <c r="F231" i="6" l="1"/>
  <c r="G231" i="6" s="1"/>
  <c r="M231" i="6" s="1"/>
  <c r="K231" i="6"/>
  <c r="L231" i="6" s="1"/>
  <c r="H231" i="6" l="1"/>
  <c r="I231" i="6" l="1"/>
  <c r="J231" i="6" s="1"/>
  <c r="N231" i="6"/>
  <c r="D232" i="6" l="1"/>
  <c r="E232" i="6" l="1"/>
  <c r="E233" i="6" l="1"/>
  <c r="K232" i="6"/>
  <c r="F232" i="6"/>
  <c r="G232" i="6" s="1"/>
  <c r="L232" i="6" l="1"/>
  <c r="E234" i="6"/>
  <c r="M232" i="6"/>
  <c r="H232" i="6"/>
  <c r="E235" i="6" l="1"/>
  <c r="I232" i="6"/>
  <c r="N232" i="6"/>
  <c r="J232" i="6" l="1"/>
  <c r="E236" i="6"/>
  <c r="D233" i="6" l="1"/>
  <c r="E237" i="6"/>
  <c r="E238" i="6" l="1"/>
  <c r="F233" i="6"/>
  <c r="G233" i="6" s="1"/>
  <c r="K233" i="6"/>
  <c r="L233" i="6" l="1"/>
  <c r="M233" i="6"/>
  <c r="H233" i="6"/>
  <c r="E239" i="6"/>
  <c r="N233" i="6" l="1"/>
  <c r="I233" i="6"/>
  <c r="E240" i="6"/>
  <c r="E241" i="6" l="1"/>
  <c r="J233" i="6"/>
  <c r="E242" i="6" l="1"/>
  <c r="D234" i="6"/>
  <c r="K234" i="6" l="1"/>
  <c r="F234" i="6"/>
  <c r="G234" i="6" s="1"/>
  <c r="H234" i="6" s="1"/>
  <c r="N234" i="6" s="1"/>
  <c r="E243" i="6"/>
  <c r="I234" i="6" l="1"/>
  <c r="M234" i="6"/>
  <c r="L234" i="6"/>
  <c r="J234" i="6" l="1"/>
  <c r="D235" i="6" l="1"/>
  <c r="F235" i="6" l="1"/>
  <c r="G235" i="6" s="1"/>
  <c r="H235" i="6" s="1"/>
  <c r="N235" i="6" s="1"/>
  <c r="K235" i="6"/>
  <c r="L235" i="6" l="1"/>
  <c r="I235" i="6"/>
  <c r="M235" i="6"/>
  <c r="J235" i="6" l="1"/>
  <c r="D236" i="6" l="1"/>
  <c r="F236" i="6" l="1"/>
  <c r="G236" i="6" s="1"/>
  <c r="H236" i="6" s="1"/>
  <c r="K236" i="6"/>
  <c r="N236" i="6" l="1"/>
  <c r="I236" i="6"/>
  <c r="L236" i="6"/>
  <c r="M236" i="6"/>
  <c r="J236" i="6" l="1"/>
  <c r="D237" i="6" l="1"/>
  <c r="F237" i="6" l="1"/>
  <c r="G237" i="6" s="1"/>
  <c r="M237" i="6" s="1"/>
  <c r="K237" i="6"/>
  <c r="L237" i="6" s="1"/>
  <c r="H237" i="6" l="1"/>
  <c r="N237" i="6" s="1"/>
  <c r="I237" i="6" l="1"/>
  <c r="J237" i="6" s="1"/>
  <c r="D238" i="6" s="1"/>
  <c r="K238" i="6" s="1"/>
  <c r="L238" i="6" s="1"/>
  <c r="F238" i="6" l="1"/>
  <c r="G238" i="6" s="1"/>
  <c r="M238" i="6" s="1"/>
  <c r="H238" i="6" l="1"/>
  <c r="N238" i="6" s="1"/>
  <c r="I238" i="6" l="1"/>
  <c r="J238" i="6" s="1"/>
  <c r="D239" i="6" s="1"/>
  <c r="K239" i="6" s="1"/>
  <c r="L239" i="6" s="1"/>
  <c r="F239" i="6" l="1"/>
  <c r="G239" i="6" s="1"/>
  <c r="M239" i="6" s="1"/>
  <c r="H239" i="6" l="1"/>
  <c r="I239" i="6" s="1"/>
  <c r="J239" i="6" s="1"/>
  <c r="D240" i="6" s="1"/>
  <c r="N239" i="6" l="1"/>
  <c r="F240" i="6"/>
  <c r="G240" i="6" s="1"/>
  <c r="M240" i="6" s="1"/>
  <c r="K240" i="6"/>
  <c r="L240" i="6" s="1"/>
  <c r="H240" i="6" l="1"/>
  <c r="I240" i="6" l="1"/>
  <c r="J240" i="6" s="1"/>
  <c r="D241" i="6" s="1"/>
  <c r="N240" i="6"/>
  <c r="F241" i="6" l="1"/>
  <c r="G241" i="6" s="1"/>
  <c r="M241" i="6" s="1"/>
  <c r="K241" i="6"/>
  <c r="L241" i="6" s="1"/>
  <c r="H241" i="6" l="1"/>
  <c r="N241" i="6" l="1"/>
  <c r="I241" i="6"/>
  <c r="J241" i="6" s="1"/>
  <c r="D242" i="6" s="1"/>
  <c r="K242" i="6" l="1"/>
  <c r="L242" i="6" s="1"/>
  <c r="F242" i="6"/>
  <c r="G242" i="6" s="1"/>
  <c r="M242" i="6" s="1"/>
  <c r="H242" i="6" l="1"/>
  <c r="I242" i="6" l="1"/>
  <c r="J242" i="6" s="1"/>
  <c r="D243" i="6" s="1"/>
  <c r="N242" i="6"/>
  <c r="F243" i="6" l="1"/>
  <c r="G243" i="6" s="1"/>
  <c r="M243" i="6" s="1"/>
  <c r="K243" i="6"/>
  <c r="L243" i="6" s="1"/>
  <c r="H243" i="6" l="1"/>
  <c r="I243" i="6" l="1"/>
  <c r="J243" i="6" s="1"/>
  <c r="N243" i="6"/>
  <c r="D244" i="6" l="1"/>
  <c r="E268" i="6" l="1"/>
  <c r="E244" i="6"/>
  <c r="E256" i="6"/>
  <c r="E245" i="6" l="1"/>
  <c r="F244" i="6"/>
  <c r="G244" i="6" s="1"/>
  <c r="K244" i="6"/>
  <c r="E257" i="6"/>
  <c r="E269" i="6"/>
  <c r="L244" i="6" l="1"/>
  <c r="M244" i="6"/>
  <c r="H244" i="6"/>
  <c r="E258" i="6"/>
  <c r="E246" i="6"/>
  <c r="E270" i="6"/>
  <c r="E271" i="6" l="1"/>
  <c r="E259" i="6"/>
  <c r="E247" i="6"/>
  <c r="N244" i="6"/>
  <c r="I244" i="6"/>
  <c r="J244" i="6" l="1"/>
  <c r="E248" i="6"/>
  <c r="E272" i="6"/>
  <c r="E260" i="6"/>
  <c r="E261" i="6" l="1"/>
  <c r="E249" i="6"/>
  <c r="E273" i="6"/>
  <c r="D245" i="6"/>
  <c r="E274" i="6" l="1"/>
  <c r="E250" i="6"/>
  <c r="K245" i="6"/>
  <c r="F245" i="6"/>
  <c r="G245" i="6" s="1"/>
  <c r="H245" i="6" s="1"/>
  <c r="E262" i="6"/>
  <c r="N245" i="6" l="1"/>
  <c r="I245" i="6"/>
  <c r="E251" i="6"/>
  <c r="E275" i="6"/>
  <c r="E263" i="6"/>
  <c r="L245" i="6"/>
  <c r="M245" i="6"/>
  <c r="E276" i="6" l="1"/>
  <c r="E252" i="6"/>
  <c r="E264" i="6"/>
  <c r="J245" i="6"/>
  <c r="D246" i="6" l="1"/>
  <c r="E253" i="6"/>
  <c r="E265" i="6"/>
  <c r="E277" i="6"/>
  <c r="E266" i="6" l="1"/>
  <c r="E254" i="6"/>
  <c r="E278" i="6"/>
  <c r="K246" i="6"/>
  <c r="F246" i="6"/>
  <c r="G246" i="6" s="1"/>
  <c r="E279" i="6" l="1"/>
  <c r="M246" i="6"/>
  <c r="E255" i="6"/>
  <c r="L246" i="6"/>
  <c r="H246" i="6"/>
  <c r="E267" i="6"/>
  <c r="N246" i="6" l="1"/>
  <c r="I246" i="6"/>
  <c r="J246" i="6" l="1"/>
  <c r="D247" i="6" l="1"/>
  <c r="F247" i="6" l="1"/>
  <c r="G247" i="6" s="1"/>
  <c r="H247" i="6" s="1"/>
  <c r="K247" i="6"/>
  <c r="N247" i="6" l="1"/>
  <c r="I247" i="6"/>
  <c r="L247" i="6"/>
  <c r="M247" i="6"/>
  <c r="J247" i="6" l="1"/>
  <c r="D248" i="6" l="1"/>
  <c r="K248" i="6" l="1"/>
  <c r="F248" i="6"/>
  <c r="G248" i="6" s="1"/>
  <c r="H248" i="6" s="1"/>
  <c r="N248" i="6" s="1"/>
  <c r="M248" i="6" l="1"/>
  <c r="L248" i="6"/>
  <c r="I248" i="6"/>
  <c r="J248" i="6" l="1"/>
  <c r="D249" i="6" l="1"/>
  <c r="F249" i="6" l="1"/>
  <c r="G249" i="6" s="1"/>
  <c r="M249" i="6" s="1"/>
  <c r="K249" i="6"/>
  <c r="L249" i="6" s="1"/>
  <c r="H249" i="6" l="1"/>
  <c r="N249" i="6" l="1"/>
  <c r="I249" i="6"/>
  <c r="J249" i="6" s="1"/>
  <c r="D250" i="6" s="1"/>
  <c r="K250" i="6" l="1"/>
  <c r="L250" i="6" s="1"/>
  <c r="F250" i="6"/>
  <c r="G250" i="6" s="1"/>
  <c r="M250" i="6" s="1"/>
  <c r="H250" i="6" l="1"/>
  <c r="N250" i="6" s="1"/>
  <c r="I250" i="6" l="1"/>
  <c r="J250" i="6" s="1"/>
  <c r="D251" i="6" s="1"/>
  <c r="K251" i="6" s="1"/>
  <c r="L251" i="6" s="1"/>
  <c r="F251" i="6" l="1"/>
  <c r="G251" i="6" s="1"/>
  <c r="M251" i="6" s="1"/>
  <c r="H251" i="6" l="1"/>
  <c r="N251" i="6" s="1"/>
  <c r="I251" i="6" l="1"/>
  <c r="J251" i="6" s="1"/>
  <c r="D252" i="6" s="1"/>
  <c r="F252" i="6" s="1"/>
  <c r="G252" i="6" s="1"/>
  <c r="M252" i="6" s="1"/>
  <c r="K252" i="6" l="1"/>
  <c r="L252" i="6" s="1"/>
  <c r="H252" i="6"/>
  <c r="I252" i="6" l="1"/>
  <c r="J252" i="6" s="1"/>
  <c r="D253" i="6" s="1"/>
  <c r="N252" i="6"/>
  <c r="K253" i="6" l="1"/>
  <c r="L253" i="6" s="1"/>
  <c r="F253" i="6"/>
  <c r="G253" i="6" s="1"/>
  <c r="M253" i="6" s="1"/>
  <c r="H253" i="6" l="1"/>
  <c r="N253" i="6" s="1"/>
  <c r="I253" i="6" l="1"/>
  <c r="J253" i="6" s="1"/>
  <c r="D254" i="6" s="1"/>
  <c r="K254" i="6" s="1"/>
  <c r="L254" i="6" s="1"/>
  <c r="F254" i="6" l="1"/>
  <c r="G254" i="6" s="1"/>
  <c r="M254" i="6" s="1"/>
  <c r="H254" i="6" l="1"/>
  <c r="N254" i="6" s="1"/>
  <c r="I254" i="6" l="1"/>
  <c r="J254" i="6" s="1"/>
  <c r="D255" i="6" s="1"/>
  <c r="F255" i="6" s="1"/>
  <c r="G255" i="6" s="1"/>
  <c r="M255" i="6" s="1"/>
  <c r="K255" i="6" l="1"/>
  <c r="L255" i="6" s="1"/>
  <c r="H255" i="6"/>
  <c r="I255" i="6" l="1"/>
  <c r="J255" i="6" s="1"/>
  <c r="N255" i="6"/>
  <c r="D256" i="6" l="1"/>
  <c r="K256" i="6" l="1"/>
  <c r="F256" i="6"/>
  <c r="G256" i="6" s="1"/>
  <c r="M256" i="6" s="1"/>
  <c r="H256" i="6" l="1"/>
  <c r="L256" i="6"/>
  <c r="N256" i="6" l="1"/>
  <c r="I256" i="6"/>
  <c r="J256" i="6" s="1"/>
  <c r="D257" i="6" s="1"/>
  <c r="F257" i="6" l="1"/>
  <c r="G257" i="6" s="1"/>
  <c r="M257" i="6" s="1"/>
  <c r="K257" i="6"/>
  <c r="H257" i="6" l="1"/>
  <c r="L257" i="6"/>
  <c r="I257" i="6" l="1"/>
  <c r="J257" i="6" s="1"/>
  <c r="D258" i="6" s="1"/>
  <c r="N257" i="6"/>
  <c r="K258" i="6" l="1"/>
  <c r="F258" i="6"/>
  <c r="G258" i="6" s="1"/>
  <c r="M258" i="6" s="1"/>
  <c r="H258" i="6" l="1"/>
  <c r="L258" i="6"/>
  <c r="I258" i="6" l="1"/>
  <c r="J258" i="6" s="1"/>
  <c r="D259" i="6" s="1"/>
  <c r="N258" i="6"/>
  <c r="K259" i="6" l="1"/>
  <c r="F259" i="6"/>
  <c r="G259" i="6" s="1"/>
  <c r="M259" i="6" s="1"/>
  <c r="L259" i="6" l="1"/>
  <c r="H259" i="6"/>
  <c r="I259" i="6" l="1"/>
  <c r="J259" i="6" s="1"/>
  <c r="D260" i="6" s="1"/>
  <c r="N259" i="6"/>
  <c r="F260" i="6" l="1"/>
  <c r="G260" i="6" s="1"/>
  <c r="M260" i="6" s="1"/>
  <c r="K260" i="6"/>
  <c r="L260" i="6" l="1"/>
  <c r="H260" i="6"/>
  <c r="N260" i="6" l="1"/>
  <c r="I260" i="6"/>
  <c r="J260" i="6" s="1"/>
  <c r="D261" i="6" s="1"/>
  <c r="F261" i="6" l="1"/>
  <c r="G261" i="6" s="1"/>
  <c r="M261" i="6" s="1"/>
  <c r="K261" i="6"/>
  <c r="L261" i="6" s="1"/>
  <c r="H261" i="6" l="1"/>
  <c r="I261" i="6" l="1"/>
  <c r="J261" i="6" s="1"/>
  <c r="D262" i="6" s="1"/>
  <c r="N261" i="6"/>
  <c r="K262" i="6" l="1"/>
  <c r="L262" i="6" s="1"/>
  <c r="F262" i="6"/>
  <c r="G262" i="6" s="1"/>
  <c r="M262" i="6" s="1"/>
  <c r="H262" i="6" l="1"/>
  <c r="N262" i="6" s="1"/>
  <c r="I262" i="6" l="1"/>
  <c r="J262" i="6" s="1"/>
  <c r="D263" i="6" s="1"/>
  <c r="K263" i="6" s="1"/>
  <c r="L263" i="6" s="1"/>
  <c r="F263" i="6" l="1"/>
  <c r="G263" i="6" s="1"/>
  <c r="M263" i="6" s="1"/>
  <c r="H263" i="6" l="1"/>
  <c r="N263" i="6" l="1"/>
  <c r="I263" i="6"/>
  <c r="J263" i="6" s="1"/>
  <c r="D264" i="6" s="1"/>
  <c r="K264" i="6" l="1"/>
  <c r="L264" i="6" s="1"/>
  <c r="F264" i="6"/>
  <c r="G264" i="6" s="1"/>
  <c r="H264" i="6" l="1"/>
  <c r="M264" i="6"/>
  <c r="I264" i="6" l="1"/>
  <c r="J264" i="6" s="1"/>
  <c r="D265" i="6" s="1"/>
  <c r="N264" i="6"/>
  <c r="F265" i="6" l="1"/>
  <c r="G265" i="6" s="1"/>
  <c r="M265" i="6" s="1"/>
  <c r="K265" i="6"/>
  <c r="L265" i="6" s="1"/>
  <c r="H265" i="6" l="1"/>
  <c r="I265" i="6" l="1"/>
  <c r="J265" i="6" s="1"/>
  <c r="D266" i="6" s="1"/>
  <c r="N265" i="6"/>
  <c r="F266" i="6" l="1"/>
  <c r="G266" i="6" s="1"/>
  <c r="M266" i="6" s="1"/>
  <c r="K266" i="6"/>
  <c r="L266" i="6" s="1"/>
  <c r="H266" i="6" l="1"/>
  <c r="N266" i="6" l="1"/>
  <c r="I266" i="6"/>
  <c r="J266" i="6" s="1"/>
  <c r="D267" i="6" s="1"/>
  <c r="F267" i="6" l="1"/>
  <c r="G267" i="6" s="1"/>
  <c r="M267" i="6" s="1"/>
  <c r="K267" i="6"/>
  <c r="L267" i="6" s="1"/>
  <c r="H267" i="6" l="1"/>
  <c r="I267" i="6" l="1"/>
  <c r="J267" i="6" s="1"/>
  <c r="N267" i="6"/>
  <c r="D268" i="6" l="1"/>
  <c r="K268" i="6" l="1"/>
  <c r="L268" i="6" s="1"/>
  <c r="F268" i="6"/>
  <c r="G268" i="6" s="1"/>
  <c r="M268" i="6" s="1"/>
  <c r="H268" i="6" l="1"/>
  <c r="N268" i="6" s="1"/>
  <c r="I268" i="6" l="1"/>
  <c r="J268" i="6" s="1"/>
  <c r="D269" i="6" s="1"/>
  <c r="F269" i="6" s="1"/>
  <c r="G269" i="6" s="1"/>
  <c r="M269" i="6" s="1"/>
  <c r="K269" i="6" l="1"/>
  <c r="L269" i="6" s="1"/>
  <c r="H269" i="6"/>
  <c r="N269" i="6" s="1"/>
  <c r="I269" i="6" l="1"/>
  <c r="J269" i="6" s="1"/>
  <c r="D270" i="6" s="1"/>
  <c r="K270" i="6" s="1"/>
  <c r="L270" i="6" s="1"/>
  <c r="F270" i="6" l="1"/>
  <c r="G270" i="6" s="1"/>
  <c r="M270" i="6" s="1"/>
  <c r="H270" i="6" l="1"/>
  <c r="I270" i="6" s="1"/>
  <c r="J270" i="6" s="1"/>
  <c r="D271" i="6" s="1"/>
  <c r="N270" i="6" l="1"/>
  <c r="K271" i="6"/>
  <c r="L271" i="6" s="1"/>
  <c r="F271" i="6"/>
  <c r="G271" i="6" s="1"/>
  <c r="M271" i="6" s="1"/>
  <c r="H271" i="6" l="1"/>
  <c r="N271" i="6" l="1"/>
  <c r="I271" i="6"/>
  <c r="J271" i="6" s="1"/>
  <c r="D272" i="6" s="1"/>
  <c r="K272" i="6" l="1"/>
  <c r="L272" i="6" s="1"/>
  <c r="F272" i="6"/>
  <c r="G272" i="6" s="1"/>
  <c r="M272" i="6" s="1"/>
  <c r="H272" i="6" l="1"/>
  <c r="N272" i="6" l="1"/>
  <c r="I272" i="6"/>
  <c r="J272" i="6" s="1"/>
  <c r="D273" i="6" s="1"/>
  <c r="F273" i="6" l="1"/>
  <c r="G273" i="6" s="1"/>
  <c r="M273" i="6" s="1"/>
  <c r="K273" i="6"/>
  <c r="L273" i="6" s="1"/>
  <c r="H273" i="6" l="1"/>
  <c r="I273" i="6" l="1"/>
  <c r="J273" i="6" s="1"/>
  <c r="D274" i="6" s="1"/>
  <c r="N273" i="6"/>
  <c r="K274" i="6" l="1"/>
  <c r="L274" i="6" s="1"/>
  <c r="F274" i="6"/>
  <c r="G274" i="6" s="1"/>
  <c r="M274" i="6" s="1"/>
  <c r="H274" i="6" l="1"/>
  <c r="N274" i="6" l="1"/>
  <c r="I274" i="6"/>
  <c r="J274" i="6" s="1"/>
  <c r="D275" i="6" s="1"/>
  <c r="K275" i="6" l="1"/>
  <c r="L275" i="6" s="1"/>
  <c r="F275" i="6"/>
  <c r="G275" i="6" s="1"/>
  <c r="M275" i="6" s="1"/>
  <c r="H275" i="6" l="1"/>
  <c r="N275" i="6" s="1"/>
  <c r="I275" i="6" l="1"/>
  <c r="J275" i="6" s="1"/>
  <c r="D276" i="6" s="1"/>
  <c r="K276" i="6" s="1"/>
  <c r="L276" i="6" s="1"/>
  <c r="F276" i="6" l="1"/>
  <c r="G276" i="6" s="1"/>
  <c r="M276" i="6" s="1"/>
  <c r="H276" i="6" l="1"/>
  <c r="I276" i="6" l="1"/>
  <c r="J276" i="6" s="1"/>
  <c r="D277" i="6" s="1"/>
  <c r="N276" i="6"/>
  <c r="F277" i="6" l="1"/>
  <c r="G277" i="6" s="1"/>
  <c r="M277" i="6" s="1"/>
  <c r="K277" i="6"/>
  <c r="L277" i="6" s="1"/>
  <c r="H277" i="6" l="1"/>
  <c r="N277" i="6" l="1"/>
  <c r="I277" i="6"/>
  <c r="J277" i="6" s="1"/>
  <c r="D278" i="6" s="1"/>
  <c r="K278" i="6" l="1"/>
  <c r="L278" i="6" s="1"/>
  <c r="F278" i="6"/>
  <c r="G278" i="6" s="1"/>
  <c r="M278" i="6" s="1"/>
  <c r="H278" i="6" l="1"/>
  <c r="N278" i="6" l="1"/>
  <c r="I278" i="6"/>
  <c r="J278" i="6" s="1"/>
  <c r="D279" i="6" s="1"/>
  <c r="K279" i="6" l="1"/>
  <c r="F279" i="6"/>
  <c r="G279" i="6" s="1"/>
  <c r="H279" i="6" l="1"/>
  <c r="N279" i="6"/>
  <c r="I279" i="6"/>
  <c r="M279" i="6"/>
  <c r="AV15" i="6" s="1"/>
  <c r="L279" i="6"/>
  <c r="AV11" i="6" l="1"/>
  <c r="J279" i="6"/>
  <c r="AV6" i="6" l="1"/>
  <c r="AB5" i="8" l="1"/>
  <c r="G5" i="8" s="1"/>
  <c r="F39" i="4"/>
  <c r="M39" i="4"/>
  <c r="F40" i="4"/>
  <c r="M40" i="4"/>
  <c r="F41" i="4"/>
  <c r="M41" i="4"/>
  <c r="F42" i="4"/>
  <c r="M42" i="4"/>
  <c r="F43" i="4"/>
  <c r="M43" i="4"/>
  <c r="F44" i="4"/>
  <c r="M44" i="4"/>
  <c r="F45" i="4"/>
  <c r="M45" i="4"/>
  <c r="F46" i="4"/>
  <c r="M46" i="4"/>
  <c r="F47" i="4"/>
  <c r="M47" i="4"/>
  <c r="F48" i="4"/>
  <c r="M48" i="4"/>
  <c r="F49" i="4"/>
  <c r="M49" i="4"/>
  <c r="F50" i="4"/>
  <c r="M50" i="4"/>
  <c r="G5" i="9"/>
  <c r="T5" i="8" l="1"/>
  <c r="U5" i="8" s="1"/>
  <c r="V5" i="8" s="1"/>
  <c r="W5" i="8" s="1"/>
  <c r="AG5" i="9"/>
  <c r="E6" i="8"/>
  <c r="I6" i="8" s="1"/>
  <c r="N6" i="8"/>
  <c r="O7" i="8" s="1"/>
  <c r="P8" i="8" s="1"/>
  <c r="Q9" i="8" s="1"/>
  <c r="R10" i="8" s="1"/>
  <c r="S11" i="8" s="1"/>
  <c r="AD5" i="9"/>
  <c r="L5" i="8"/>
  <c r="M5" i="8" s="1"/>
  <c r="Z5" i="9" s="1"/>
  <c r="K5" i="8" l="1"/>
  <c r="J6" i="8" s="1"/>
  <c r="J57" i="5"/>
  <c r="J61" i="5"/>
  <c r="J51" i="5"/>
  <c r="J55" i="5"/>
  <c r="J58" i="5"/>
  <c r="J56" i="5"/>
  <c r="J50" i="5"/>
  <c r="J59" i="5"/>
  <c r="J54" i="5"/>
  <c r="J53" i="5"/>
  <c r="J60" i="5"/>
  <c r="J52" i="5"/>
  <c r="H61" i="5"/>
  <c r="H52" i="5"/>
  <c r="H59" i="5"/>
  <c r="H55" i="5"/>
  <c r="H57" i="5"/>
  <c r="H51" i="5"/>
  <c r="H54" i="5"/>
  <c r="H50" i="5"/>
  <c r="H58" i="5"/>
  <c r="H56" i="5"/>
  <c r="H53" i="5"/>
  <c r="H60" i="5"/>
  <c r="X5" i="8"/>
  <c r="Y5" i="8" s="1"/>
  <c r="N50" i="5" l="1"/>
  <c r="L51" i="5"/>
  <c r="M5" i="9"/>
  <c r="P50" i="5" l="1"/>
  <c r="S50" i="5" s="1"/>
  <c r="O50" i="5"/>
  <c r="Q50" i="5"/>
  <c r="K51" i="5" s="1"/>
  <c r="N51" i="5" s="1"/>
  <c r="O51" i="5" l="1"/>
  <c r="P51" i="5"/>
  <c r="R50" i="5"/>
  <c r="Q51" i="5"/>
  <c r="K52" i="5" s="1"/>
  <c r="L52" i="5"/>
  <c r="L53" i="5" l="1"/>
  <c r="S51" i="5"/>
  <c r="R51" i="5"/>
  <c r="N52" i="5"/>
  <c r="O52" i="5" s="1"/>
  <c r="P52" i="5" l="1"/>
  <c r="Q52" i="5"/>
  <c r="K53" i="5" s="1"/>
  <c r="L54" i="5" l="1"/>
  <c r="N53" i="5"/>
  <c r="R52" i="5"/>
  <c r="S52" i="5"/>
  <c r="O53" i="5" l="1"/>
  <c r="P53" i="5"/>
  <c r="Q53" i="5"/>
  <c r="K54" i="5" s="1"/>
  <c r="L55" i="5" l="1"/>
  <c r="N54" i="5"/>
  <c r="S53" i="5"/>
  <c r="R53" i="5"/>
  <c r="O54" i="5" l="1"/>
  <c r="P54" i="5"/>
  <c r="Q54" i="5"/>
  <c r="K55" i="5"/>
  <c r="L56" i="5" s="1"/>
  <c r="N55" i="5" l="1"/>
  <c r="Q55" i="5" s="1"/>
  <c r="S54" i="5"/>
  <c r="R54" i="5"/>
  <c r="O55" i="5" l="1"/>
  <c r="P55" i="5"/>
  <c r="K56" i="5"/>
  <c r="L57" i="5" l="1"/>
  <c r="N56" i="5"/>
  <c r="S55" i="5"/>
  <c r="R55" i="5"/>
  <c r="O56" i="5" l="1"/>
  <c r="P56" i="5"/>
  <c r="Q56" i="5"/>
  <c r="K57" i="5"/>
  <c r="L58" i="5" s="1"/>
  <c r="N57" i="5" l="1"/>
  <c r="R56" i="5"/>
  <c r="S56" i="5"/>
  <c r="O57" i="5" l="1"/>
  <c r="P57" i="5"/>
  <c r="Q57" i="5"/>
  <c r="K58" i="5"/>
  <c r="L59" i="5" l="1"/>
  <c r="R57" i="5"/>
  <c r="S57" i="5"/>
  <c r="N58" i="5"/>
  <c r="O58" i="5" l="1"/>
  <c r="P58" i="5"/>
  <c r="Q58" i="5"/>
  <c r="K59" i="5"/>
  <c r="L60" i="5" s="1"/>
  <c r="N59" i="5" l="1"/>
  <c r="R58" i="5"/>
  <c r="S58" i="5"/>
  <c r="O59" i="5" l="1"/>
  <c r="P59" i="5"/>
  <c r="Q59" i="5"/>
  <c r="K60" i="5"/>
  <c r="L61" i="5" l="1"/>
  <c r="N60" i="5"/>
  <c r="R59" i="5"/>
  <c r="S59" i="5"/>
  <c r="O60" i="5" l="1"/>
  <c r="P60" i="5"/>
  <c r="Q60" i="5"/>
  <c r="K61" i="5"/>
  <c r="N61" i="5" l="1"/>
  <c r="S60" i="5"/>
  <c r="R60" i="5"/>
  <c r="O61" i="5" l="1"/>
  <c r="P61" i="5"/>
  <c r="S61" i="5" s="1"/>
  <c r="Q61" i="5"/>
  <c r="R61" i="5" l="1"/>
  <c r="D6" i="9"/>
  <c r="F6" i="8"/>
  <c r="J6" i="9"/>
  <c r="AB6" i="8" l="1"/>
  <c r="G6" i="8" s="1"/>
  <c r="E7" i="8" s="1"/>
  <c r="F51" i="4"/>
  <c r="M51" i="4"/>
  <c r="F52" i="4"/>
  <c r="M52" i="4"/>
  <c r="F53" i="4"/>
  <c r="M53" i="4"/>
  <c r="F54" i="4"/>
  <c r="M54" i="4"/>
  <c r="F55" i="4"/>
  <c r="M55" i="4"/>
  <c r="F56" i="4"/>
  <c r="M56" i="4"/>
  <c r="F57" i="4"/>
  <c r="M57" i="4"/>
  <c r="F58" i="4"/>
  <c r="M58" i="4"/>
  <c r="F59" i="4"/>
  <c r="M59" i="4"/>
  <c r="F60" i="4"/>
  <c r="M60" i="4"/>
  <c r="F61" i="4"/>
  <c r="M61" i="4"/>
  <c r="F62" i="4"/>
  <c r="M62" i="4"/>
  <c r="G6" i="9"/>
  <c r="AG6" i="9" l="1"/>
  <c r="T6" i="8"/>
  <c r="U6" i="8" s="1"/>
  <c r="V6" i="8" s="1"/>
  <c r="H70" i="5"/>
  <c r="H73" i="5"/>
  <c r="H63" i="5"/>
  <c r="H69" i="5"/>
  <c r="H72" i="5"/>
  <c r="H71" i="5"/>
  <c r="H68" i="5"/>
  <c r="H64" i="5"/>
  <c r="H62" i="5"/>
  <c r="H67" i="5"/>
  <c r="I7" i="8"/>
  <c r="H66" i="5"/>
  <c r="H65" i="5"/>
  <c r="N7" i="8"/>
  <c r="AD6" i="9"/>
  <c r="L6" i="8"/>
  <c r="M6" i="8" s="1"/>
  <c r="Z6" i="9" s="1"/>
  <c r="W6" i="8" l="1"/>
  <c r="X6" i="8" s="1"/>
  <c r="J62" i="5"/>
  <c r="J65" i="5"/>
  <c r="J64" i="5"/>
  <c r="J63" i="5"/>
  <c r="J73" i="5"/>
  <c r="J72" i="5"/>
  <c r="J66" i="5"/>
  <c r="J71" i="5"/>
  <c r="J67" i="5"/>
  <c r="J68" i="5"/>
  <c r="J69" i="5"/>
  <c r="J70" i="5"/>
  <c r="K6" i="8"/>
  <c r="J7" i="8" s="1"/>
  <c r="O8" i="8"/>
  <c r="P9" i="8" s="1"/>
  <c r="Q10" i="8" s="1"/>
  <c r="R11" i="8" s="1"/>
  <c r="S12" i="8" s="1"/>
  <c r="N62" i="5" l="1"/>
  <c r="L63" i="5"/>
  <c r="Y6" i="8"/>
  <c r="M6" i="9"/>
  <c r="E8" i="8"/>
  <c r="O62" i="5" l="1"/>
  <c r="P62" i="5"/>
  <c r="R62" i="5" s="1"/>
  <c r="Q62" i="5"/>
  <c r="K63" i="5" s="1"/>
  <c r="L64" i="5" s="1"/>
  <c r="I8" i="8"/>
  <c r="H82" i="5"/>
  <c r="H83" i="5"/>
  <c r="H79" i="5"/>
  <c r="H80" i="5"/>
  <c r="H81" i="5"/>
  <c r="H76" i="5"/>
  <c r="H84" i="5"/>
  <c r="H85" i="5"/>
  <c r="H78" i="5"/>
  <c r="H77" i="5"/>
  <c r="H74" i="5"/>
  <c r="H75" i="5"/>
  <c r="S62" i="5" l="1"/>
  <c r="N63" i="5"/>
  <c r="Q63" i="5" s="1"/>
  <c r="J81" i="5"/>
  <c r="J82" i="5"/>
  <c r="J75" i="5"/>
  <c r="J83" i="5"/>
  <c r="J74" i="5"/>
  <c r="J76" i="5"/>
  <c r="J84" i="5"/>
  <c r="J77" i="5"/>
  <c r="J85" i="5"/>
  <c r="J78" i="5"/>
  <c r="J80" i="5"/>
  <c r="J79" i="5"/>
  <c r="O63" i="5" l="1"/>
  <c r="P63" i="5"/>
  <c r="N74" i="5"/>
  <c r="L75" i="5"/>
  <c r="K64" i="5"/>
  <c r="O74" i="5" l="1"/>
  <c r="P74" i="5"/>
  <c r="R74" i="5" s="1"/>
  <c r="Q74" i="5"/>
  <c r="K75" i="5" s="1"/>
  <c r="L65" i="5"/>
  <c r="L76" i="5"/>
  <c r="N64" i="5"/>
  <c r="Q64" i="5" s="1"/>
  <c r="S63" i="5"/>
  <c r="R63" i="5"/>
  <c r="N75" i="5" l="1"/>
  <c r="Q75" i="5"/>
  <c r="K76" i="5" s="1"/>
  <c r="O64" i="5"/>
  <c r="P64" i="5"/>
  <c r="K65" i="5"/>
  <c r="L66" i="5" s="1"/>
  <c r="L77" i="5" l="1"/>
  <c r="O75" i="5"/>
  <c r="P75" i="5"/>
  <c r="R75" i="5" s="1"/>
  <c r="N65" i="5"/>
  <c r="Q65" i="5" s="1"/>
  <c r="R64" i="5"/>
  <c r="S64" i="5"/>
  <c r="N76" i="5"/>
  <c r="Q76" i="5" s="1"/>
  <c r="O65" i="5" l="1"/>
  <c r="P65" i="5"/>
  <c r="O76" i="5"/>
  <c r="P76" i="5"/>
  <c r="K66" i="5"/>
  <c r="K77" i="5"/>
  <c r="L78" i="5" l="1"/>
  <c r="L67" i="5"/>
  <c r="N66" i="5"/>
  <c r="S65" i="5"/>
  <c r="R65" i="5"/>
  <c r="R76" i="5"/>
  <c r="N77" i="5"/>
  <c r="O77" i="5" l="1"/>
  <c r="P77" i="5"/>
  <c r="Q77" i="5"/>
  <c r="K78" i="5" s="1"/>
  <c r="O66" i="5"/>
  <c r="P66" i="5"/>
  <c r="Q66" i="5"/>
  <c r="K67" i="5" s="1"/>
  <c r="L79" i="5" l="1"/>
  <c r="L68" i="5"/>
  <c r="N67" i="5"/>
  <c r="S66" i="5"/>
  <c r="R66" i="5"/>
  <c r="R77" i="5"/>
  <c r="N78" i="5"/>
  <c r="O67" i="5" l="1"/>
  <c r="P67" i="5"/>
  <c r="R67" i="5" s="1"/>
  <c r="Q67" i="5"/>
  <c r="O78" i="5"/>
  <c r="P78" i="5"/>
  <c r="Q78" i="5"/>
  <c r="K68" i="5" l="1"/>
  <c r="S67" i="5"/>
  <c r="K79" i="5"/>
  <c r="N68" i="5" l="1"/>
  <c r="Q68" i="5"/>
  <c r="K69" i="5" s="1"/>
  <c r="L69" i="5"/>
  <c r="L80" i="5"/>
  <c r="R78" i="5"/>
  <c r="N79" i="5"/>
  <c r="Q79" i="5" s="1"/>
  <c r="N69" i="5" l="1"/>
  <c r="Q69" i="5"/>
  <c r="K70" i="5" s="1"/>
  <c r="P69" i="5"/>
  <c r="L70" i="5"/>
  <c r="O79" i="5"/>
  <c r="P79" i="5"/>
  <c r="O68" i="5"/>
  <c r="P68" i="5"/>
  <c r="S68" i="5" s="1"/>
  <c r="S69" i="5" s="1"/>
  <c r="L71" i="5" l="1"/>
  <c r="R68" i="5"/>
  <c r="R69" i="5" s="1"/>
  <c r="O69" i="5"/>
  <c r="N70" i="5"/>
  <c r="O70" i="5" s="1"/>
  <c r="K80" i="5"/>
  <c r="Q70" i="5" l="1"/>
  <c r="L81" i="5"/>
  <c r="P70" i="5"/>
  <c r="R70" i="5" s="1"/>
  <c r="K71" i="5"/>
  <c r="L72" i="5" s="1"/>
  <c r="N80" i="5"/>
  <c r="R79" i="5"/>
  <c r="S70" i="5" l="1"/>
  <c r="O80" i="5"/>
  <c r="P80" i="5"/>
  <c r="Q80" i="5"/>
  <c r="N71" i="5"/>
  <c r="Q71" i="5" s="1"/>
  <c r="O71" i="5" l="1"/>
  <c r="P71" i="5"/>
  <c r="K72" i="5"/>
  <c r="K81" i="5"/>
  <c r="L82" i="5" l="1"/>
  <c r="L73" i="5"/>
  <c r="N72" i="5"/>
  <c r="Q72" i="5" s="1"/>
  <c r="R71" i="5"/>
  <c r="S71" i="5"/>
  <c r="R80" i="5"/>
  <c r="N81" i="5"/>
  <c r="O72" i="5" l="1"/>
  <c r="P72" i="5"/>
  <c r="R72" i="5" s="1"/>
  <c r="O81" i="5"/>
  <c r="P81" i="5"/>
  <c r="Q81" i="5"/>
  <c r="K73" i="5" l="1"/>
  <c r="S72" i="5"/>
  <c r="K82" i="5"/>
  <c r="L83" i="5" l="1"/>
  <c r="N73" i="5"/>
  <c r="Q73" i="5" s="1"/>
  <c r="N82" i="5"/>
  <c r="Q82" i="5" s="1"/>
  <c r="R81" i="5"/>
  <c r="D7" i="9" l="1"/>
  <c r="F7" i="8"/>
  <c r="O82" i="5"/>
  <c r="P82" i="5"/>
  <c r="O73" i="5"/>
  <c r="P73" i="5"/>
  <c r="S73" i="5" s="1"/>
  <c r="S74" i="5" s="1"/>
  <c r="S75" i="5" s="1"/>
  <c r="S76" i="5" s="1"/>
  <c r="S77" i="5" s="1"/>
  <c r="S78" i="5" s="1"/>
  <c r="S79" i="5" s="1"/>
  <c r="S80" i="5" s="1"/>
  <c r="S81" i="5" s="1"/>
  <c r="J7" i="9"/>
  <c r="R73" i="5" l="1"/>
  <c r="K83" i="5"/>
  <c r="L84" i="5" l="1"/>
  <c r="R82" i="5"/>
  <c r="S82" i="5"/>
  <c r="N83" i="5"/>
  <c r="O83" i="5" l="1"/>
  <c r="P83" i="5"/>
  <c r="Q83" i="5"/>
  <c r="K84" i="5" s="1"/>
  <c r="L85" i="5" l="1"/>
  <c r="N84" i="5"/>
  <c r="S83" i="5"/>
  <c r="R83" i="5"/>
  <c r="O84" i="5" l="1"/>
  <c r="P84" i="5"/>
  <c r="Q84" i="5"/>
  <c r="K85" i="5"/>
  <c r="R84" i="5" l="1"/>
  <c r="S84" i="5"/>
  <c r="N85" i="5"/>
  <c r="O85" i="5" l="1"/>
  <c r="P85" i="5"/>
  <c r="S85" i="5" s="1"/>
  <c r="Q85" i="5"/>
  <c r="R85" i="5" l="1"/>
  <c r="D8" i="9"/>
  <c r="F8" i="8"/>
  <c r="J8" i="9"/>
  <c r="F75" i="4" l="1"/>
  <c r="M75" i="4"/>
  <c r="F76" i="4"/>
  <c r="M76" i="4"/>
  <c r="F77" i="4"/>
  <c r="M77" i="4"/>
  <c r="F78" i="4"/>
  <c r="M78" i="4"/>
  <c r="F79" i="4"/>
  <c r="M79" i="4"/>
  <c r="F80" i="4"/>
  <c r="M80" i="4"/>
  <c r="F81" i="4"/>
  <c r="M81" i="4"/>
  <c r="F82" i="4"/>
  <c r="M82" i="4"/>
  <c r="F83" i="4"/>
  <c r="M83" i="4"/>
  <c r="F84" i="4"/>
  <c r="M84" i="4"/>
  <c r="F85" i="4"/>
  <c r="M85" i="4"/>
  <c r="F86" i="4"/>
  <c r="M86" i="4"/>
  <c r="G8" i="9"/>
  <c r="AA5" i="7"/>
  <c r="E39" i="4"/>
  <c r="L39" i="4"/>
  <c r="E40" i="4"/>
  <c r="L40" i="4"/>
  <c r="E41" i="4"/>
  <c r="L41" i="4"/>
  <c r="E42" i="4"/>
  <c r="L42" i="4"/>
  <c r="E43" i="4"/>
  <c r="L43" i="4"/>
  <c r="E44" i="4"/>
  <c r="L44" i="4"/>
  <c r="E45" i="4"/>
  <c r="L45" i="4"/>
  <c r="E46" i="4"/>
  <c r="L46" i="4"/>
  <c r="E47" i="4"/>
  <c r="L47" i="4"/>
  <c r="E48" i="4"/>
  <c r="L48" i="4"/>
  <c r="E49" i="4"/>
  <c r="L49" i="4"/>
  <c r="E50" i="4"/>
  <c r="L50" i="4"/>
  <c r="F5" i="9"/>
  <c r="H5" i="9" s="1"/>
  <c r="AH5" i="9" s="1"/>
  <c r="E5" i="9"/>
  <c r="X5" i="9" s="1"/>
  <c r="T5" i="7" l="1"/>
  <c r="U5" i="7" s="1"/>
  <c r="V5" i="7" s="1"/>
  <c r="G49" i="4"/>
  <c r="G45" i="4"/>
  <c r="G47" i="4"/>
  <c r="G43" i="4"/>
  <c r="G46" i="4"/>
  <c r="G41" i="4"/>
  <c r="G44" i="4"/>
  <c r="G50" i="4"/>
  <c r="G39" i="4"/>
  <c r="I39" i="4" s="1"/>
  <c r="N39" i="4" s="1"/>
  <c r="O39" i="4" s="1"/>
  <c r="G40" i="4"/>
  <c r="G42" i="4"/>
  <c r="G48" i="4"/>
  <c r="AF5" i="9"/>
  <c r="G5" i="7"/>
  <c r="L5" i="7"/>
  <c r="M5" i="7" s="1"/>
  <c r="Y5" i="9" s="1"/>
  <c r="E40" i="6" l="1"/>
  <c r="F40" i="6" s="1"/>
  <c r="G40" i="6" s="1"/>
  <c r="K39" i="4"/>
  <c r="H40" i="4" s="1"/>
  <c r="I40" i="4" s="1"/>
  <c r="K40" i="4" s="1"/>
  <c r="H41" i="4" s="1"/>
  <c r="I41" i="4" s="1"/>
  <c r="K5" i="7"/>
  <c r="J6" i="7" s="1"/>
  <c r="W5" i="7"/>
  <c r="X5" i="7" s="1"/>
  <c r="Y5" i="7" s="1"/>
  <c r="AC5" i="9"/>
  <c r="N6" i="7"/>
  <c r="O7" i="7" s="1"/>
  <c r="P8" i="7" s="1"/>
  <c r="Q9" i="7" s="1"/>
  <c r="R10" i="7" s="1"/>
  <c r="S11" i="7" s="1"/>
  <c r="E6" i="7"/>
  <c r="E41" i="6" l="1"/>
  <c r="K40" i="6"/>
  <c r="L40" i="6" s="1"/>
  <c r="L5" i="9"/>
  <c r="N5" i="9" s="1"/>
  <c r="N40" i="4"/>
  <c r="O40" i="4" s="1"/>
  <c r="H58" i="3"/>
  <c r="H61" i="3"/>
  <c r="H60" i="3"/>
  <c r="H50" i="3"/>
  <c r="H56" i="3"/>
  <c r="H52" i="3"/>
  <c r="H51" i="3"/>
  <c r="H59" i="3"/>
  <c r="H54" i="3"/>
  <c r="I6" i="7"/>
  <c r="H57" i="3"/>
  <c r="H55" i="3"/>
  <c r="H53" i="3"/>
  <c r="Z7" i="7"/>
  <c r="Z7" i="8" s="1" a="1"/>
  <c r="Z7" i="8" s="1"/>
  <c r="AA7" i="8" s="1"/>
  <c r="H40" i="6"/>
  <c r="M40" i="6"/>
  <c r="N41" i="4"/>
  <c r="E42" i="6"/>
  <c r="K41" i="4"/>
  <c r="H42" i="4" s="1"/>
  <c r="I42" i="4" s="1"/>
  <c r="O41" i="4" l="1"/>
  <c r="J53" i="3"/>
  <c r="J61" i="3"/>
  <c r="J54" i="3"/>
  <c r="J55" i="3"/>
  <c r="J56" i="3"/>
  <c r="J57" i="3"/>
  <c r="J58" i="3"/>
  <c r="J51" i="3"/>
  <c r="J59" i="3"/>
  <c r="J50" i="3"/>
  <c r="J52" i="3"/>
  <c r="J60" i="3"/>
  <c r="E43" i="6"/>
  <c r="N42" i="4"/>
  <c r="K42" i="4"/>
  <c r="H43" i="4" s="1"/>
  <c r="I43" i="4" s="1"/>
  <c r="I40" i="6"/>
  <c r="N40" i="6"/>
  <c r="N50" i="3" l="1"/>
  <c r="L51" i="3"/>
  <c r="O42" i="4"/>
  <c r="E44" i="6"/>
  <c r="K43" i="4"/>
  <c r="H44" i="4" s="1"/>
  <c r="I44" i="4" s="1"/>
  <c r="N43" i="4"/>
  <c r="J40" i="6"/>
  <c r="O50" i="3" l="1"/>
  <c r="P50" i="3"/>
  <c r="Q50" i="3"/>
  <c r="K51" i="3" s="1"/>
  <c r="O43" i="4"/>
  <c r="R50" i="3"/>
  <c r="S50" i="3"/>
  <c r="E45" i="6"/>
  <c r="K44" i="4"/>
  <c r="H45" i="4" s="1"/>
  <c r="I45" i="4" s="1"/>
  <c r="N44" i="4"/>
  <c r="D41" i="6"/>
  <c r="Q51" i="3" l="1"/>
  <c r="N51" i="3"/>
  <c r="L52" i="3"/>
  <c r="O44" i="4"/>
  <c r="K41" i="6"/>
  <c r="F41" i="6"/>
  <c r="G41" i="6" s="1"/>
  <c r="K45" i="4"/>
  <c r="H46" i="4" s="1"/>
  <c r="I46" i="4" s="1"/>
  <c r="N45" i="4"/>
  <c r="O45" i="4" s="1"/>
  <c r="E46" i="6"/>
  <c r="O51" i="3" l="1"/>
  <c r="P51" i="3"/>
  <c r="K52" i="3"/>
  <c r="M41" i="6"/>
  <c r="L41" i="6"/>
  <c r="N46" i="4"/>
  <c r="O46" i="4" s="1"/>
  <c r="E47" i="6"/>
  <c r="K46" i="4"/>
  <c r="H47" i="4" s="1"/>
  <c r="I47" i="4" s="1"/>
  <c r="H41" i="6"/>
  <c r="L53" i="3" l="1"/>
  <c r="N52" i="3"/>
  <c r="S51" i="3"/>
  <c r="R51" i="3"/>
  <c r="N47" i="4"/>
  <c r="O47" i="4" s="1"/>
  <c r="E48" i="6"/>
  <c r="K47" i="4"/>
  <c r="H48" i="4" s="1"/>
  <c r="I48" i="4" s="1"/>
  <c r="N41" i="6"/>
  <c r="I41" i="6"/>
  <c r="O52" i="3" l="1"/>
  <c r="P52" i="3"/>
  <c r="Q52" i="3"/>
  <c r="J41" i="6"/>
  <c r="E49" i="6"/>
  <c r="K48" i="4"/>
  <c r="H49" i="4" s="1"/>
  <c r="I49" i="4" s="1"/>
  <c r="N48" i="4"/>
  <c r="O48" i="4" s="1"/>
  <c r="K53" i="3" l="1"/>
  <c r="N49" i="4"/>
  <c r="O49" i="4" s="1"/>
  <c r="E50" i="6"/>
  <c r="K49" i="4"/>
  <c r="H50" i="4" s="1"/>
  <c r="I50" i="4" s="1"/>
  <c r="D42" i="6"/>
  <c r="L54" i="3" l="1"/>
  <c r="N53" i="3"/>
  <c r="S52" i="3"/>
  <c r="R52" i="3"/>
  <c r="K42" i="6"/>
  <c r="F42" i="6"/>
  <c r="G42" i="6" s="1"/>
  <c r="E51" i="6"/>
  <c r="N50" i="4"/>
  <c r="O50" i="4" s="1"/>
  <c r="J50" i="4"/>
  <c r="O53" i="3" l="1"/>
  <c r="P53" i="3"/>
  <c r="Q53" i="3"/>
  <c r="L42" i="6"/>
  <c r="M42" i="6"/>
  <c r="H42" i="6"/>
  <c r="T5" i="9"/>
  <c r="U5" i="9" s="1"/>
  <c r="K54" i="3" l="1"/>
  <c r="N42" i="6"/>
  <c r="I42" i="6"/>
  <c r="L55" i="3" l="1"/>
  <c r="N54" i="3"/>
  <c r="S53" i="3"/>
  <c r="R53" i="3"/>
  <c r="J42" i="6"/>
  <c r="O54" i="3" l="1"/>
  <c r="P54" i="3"/>
  <c r="Q54" i="3"/>
  <c r="D43" i="6"/>
  <c r="K55" i="3" l="1"/>
  <c r="K43" i="6"/>
  <c r="F43" i="6"/>
  <c r="G43" i="6" s="1"/>
  <c r="H43" i="6" s="1"/>
  <c r="L56" i="3" l="1"/>
  <c r="N55" i="3"/>
  <c r="S54" i="3"/>
  <c r="R54" i="3"/>
  <c r="N43" i="6"/>
  <c r="I43" i="6"/>
  <c r="L43" i="6"/>
  <c r="M43" i="6"/>
  <c r="O55" i="3" l="1"/>
  <c r="P55" i="3"/>
  <c r="Q55" i="3"/>
  <c r="J43" i="6"/>
  <c r="K56" i="3" l="1"/>
  <c r="D44" i="6"/>
  <c r="L57" i="3" l="1"/>
  <c r="N56" i="3"/>
  <c r="R55" i="3"/>
  <c r="S55" i="3"/>
  <c r="K44" i="6"/>
  <c r="F44" i="6"/>
  <c r="G44" i="6" s="1"/>
  <c r="O56" i="3" l="1"/>
  <c r="P56" i="3"/>
  <c r="Q56" i="3"/>
  <c r="M44" i="6"/>
  <c r="L44" i="6"/>
  <c r="H44" i="6"/>
  <c r="K57" i="3" l="1"/>
  <c r="N44" i="6"/>
  <c r="I44" i="6"/>
  <c r="L58" i="3" l="1"/>
  <c r="N57" i="3"/>
  <c r="R56" i="3"/>
  <c r="S56" i="3"/>
  <c r="J44" i="6"/>
  <c r="O57" i="3" l="1"/>
  <c r="P57" i="3"/>
  <c r="Q57" i="3"/>
  <c r="D45" i="6"/>
  <c r="K58" i="3" l="1"/>
  <c r="K45" i="6"/>
  <c r="L45" i="6" s="1"/>
  <c r="F45" i="6"/>
  <c r="G45" i="6" s="1"/>
  <c r="M45" i="6" s="1"/>
  <c r="L59" i="3" l="1"/>
  <c r="H45" i="6"/>
  <c r="N45" i="6" s="1"/>
  <c r="N58" i="3"/>
  <c r="Q58" i="3" s="1"/>
  <c r="R57" i="3"/>
  <c r="S57" i="3"/>
  <c r="O58" i="3" l="1"/>
  <c r="P58" i="3"/>
  <c r="I45" i="6"/>
  <c r="J45" i="6" s="1"/>
  <c r="D46" i="6" s="1"/>
  <c r="F46" i="6" s="1"/>
  <c r="G46" i="6" s="1"/>
  <c r="M46" i="6" s="1"/>
  <c r="H46" i="6" l="1"/>
  <c r="N46" i="6" s="1"/>
  <c r="K46" i="6"/>
  <c r="L46" i="6" s="1"/>
  <c r="K59" i="3"/>
  <c r="L60" i="3" l="1"/>
  <c r="I46" i="6"/>
  <c r="J46" i="6" s="1"/>
  <c r="D47" i="6" s="1"/>
  <c r="K47" i="6" s="1"/>
  <c r="L47" i="6" s="1"/>
  <c r="R58" i="3"/>
  <c r="S58" i="3"/>
  <c r="N59" i="3"/>
  <c r="Q59" i="3" s="1"/>
  <c r="O59" i="3" l="1"/>
  <c r="P59" i="3"/>
  <c r="F47" i="6"/>
  <c r="G47" i="6" s="1"/>
  <c r="M47" i="6" s="1"/>
  <c r="H47" i="6" l="1"/>
  <c r="N47" i="6" s="1"/>
  <c r="K60" i="3"/>
  <c r="L61" i="3" l="1"/>
  <c r="I47" i="6"/>
  <c r="J47" i="6" s="1"/>
  <c r="D48" i="6" s="1"/>
  <c r="K48" i="6" s="1"/>
  <c r="L48" i="6" s="1"/>
  <c r="N60" i="3"/>
  <c r="Q60" i="3" s="1"/>
  <c r="R59" i="3"/>
  <c r="S59" i="3"/>
  <c r="O60" i="3" l="1"/>
  <c r="P60" i="3"/>
  <c r="F48" i="6"/>
  <c r="G48" i="6" s="1"/>
  <c r="M48" i="6" s="1"/>
  <c r="H48" i="6" l="1"/>
  <c r="I48" i="6" s="1"/>
  <c r="J48" i="6" s="1"/>
  <c r="D49" i="6" s="1"/>
  <c r="K61" i="3"/>
  <c r="N48" i="6" l="1"/>
  <c r="S60" i="3"/>
  <c r="R60" i="3"/>
  <c r="N61" i="3"/>
  <c r="Q61" i="3" s="1"/>
  <c r="K49" i="6"/>
  <c r="L49" i="6" s="1"/>
  <c r="F49" i="6"/>
  <c r="G49" i="6" s="1"/>
  <c r="M49" i="6" s="1"/>
  <c r="C6" i="9" l="1"/>
  <c r="F6" i="7"/>
  <c r="O61" i="3"/>
  <c r="P61" i="3"/>
  <c r="H49" i="6"/>
  <c r="I49" i="6" l="1"/>
  <c r="J49" i="6" s="1"/>
  <c r="D50" i="6" s="1"/>
  <c r="N49" i="6"/>
  <c r="S61" i="3" l="1"/>
  <c r="R61" i="3"/>
  <c r="AA6" i="7"/>
  <c r="T6" i="7"/>
  <c r="U6" i="7" s="1"/>
  <c r="K50" i="6"/>
  <c r="L50" i="6" s="1"/>
  <c r="F50" i="6"/>
  <c r="G50" i="6" s="1"/>
  <c r="M50" i="6" s="1"/>
  <c r="V6" i="7" l="1"/>
  <c r="W6" i="7" s="1"/>
  <c r="X6" i="7" s="1"/>
  <c r="Y6" i="7" s="1"/>
  <c r="L6" i="7"/>
  <c r="M6" i="7" s="1"/>
  <c r="Y6" i="9" s="1"/>
  <c r="AF6" i="9"/>
  <c r="G6" i="7"/>
  <c r="I6" i="9"/>
  <c r="K6" i="9" s="1"/>
  <c r="H50" i="6"/>
  <c r="K6" i="7" l="1"/>
  <c r="J7" i="7" s="1"/>
  <c r="N7" i="7"/>
  <c r="AC6" i="9"/>
  <c r="E7" i="7"/>
  <c r="L6" i="9"/>
  <c r="N6" i="9" s="1"/>
  <c r="I50" i="6"/>
  <c r="J50" i="6" s="1"/>
  <c r="D51" i="6" s="1"/>
  <c r="N50" i="6"/>
  <c r="H69" i="3" l="1"/>
  <c r="H62" i="3"/>
  <c r="H68" i="3"/>
  <c r="I7" i="7"/>
  <c r="H65" i="3"/>
  <c r="H71" i="3"/>
  <c r="H73" i="3"/>
  <c r="H70" i="3"/>
  <c r="H64" i="3"/>
  <c r="H63" i="3"/>
  <c r="H72" i="3"/>
  <c r="H67" i="3"/>
  <c r="H66" i="3"/>
  <c r="O8" i="7"/>
  <c r="P9" i="7" s="1"/>
  <c r="Q10" i="7" s="1"/>
  <c r="R11" i="7" s="1"/>
  <c r="S12" i="7" s="1"/>
  <c r="Z8" i="7"/>
  <c r="Z8" i="8" s="1" a="1"/>
  <c r="Z8" i="8" s="1"/>
  <c r="AA8" i="8" s="1"/>
  <c r="AB8" i="8" s="1"/>
  <c r="K51" i="6"/>
  <c r="L51" i="6" s="1"/>
  <c r="F51" i="6"/>
  <c r="G51" i="6" s="1"/>
  <c r="M51" i="6" s="1"/>
  <c r="J70" i="3" l="1"/>
  <c r="J63" i="3"/>
  <c r="J71" i="3"/>
  <c r="J62" i="3"/>
  <c r="J64" i="3"/>
  <c r="J72" i="3"/>
  <c r="J65" i="3"/>
  <c r="J73" i="3"/>
  <c r="J66" i="3"/>
  <c r="J67" i="3"/>
  <c r="J69" i="3"/>
  <c r="J68" i="3"/>
  <c r="L8" i="8"/>
  <c r="M8" i="8" s="1"/>
  <c r="Z8" i="9" s="1"/>
  <c r="AG8" i="9"/>
  <c r="G8" i="8"/>
  <c r="S5" i="9"/>
  <c r="H51" i="6"/>
  <c r="N62" i="3" l="1"/>
  <c r="L63" i="3"/>
  <c r="AD8" i="9"/>
  <c r="N9" i="8"/>
  <c r="O10" i="8" s="1"/>
  <c r="P11" i="8" s="1"/>
  <c r="Q12" i="8" s="1"/>
  <c r="R13" i="8" s="1"/>
  <c r="S14" i="8" s="1"/>
  <c r="I51" i="6"/>
  <c r="J51" i="6" s="1"/>
  <c r="N51" i="6"/>
  <c r="O62" i="3" l="1"/>
  <c r="P62" i="3"/>
  <c r="S62" i="3" s="1"/>
  <c r="Q62" i="3"/>
  <c r="K63" i="3" s="1"/>
  <c r="N63" i="3" s="1"/>
  <c r="R62" i="3"/>
  <c r="D52" i="6"/>
  <c r="Q5" i="9"/>
  <c r="O63" i="3" l="1"/>
  <c r="P63" i="3"/>
  <c r="Q63" i="3"/>
  <c r="L64" i="3"/>
  <c r="K64" i="3"/>
  <c r="L65" i="3" l="1"/>
  <c r="N64" i="3"/>
  <c r="O64" i="3" s="1"/>
  <c r="R63" i="3"/>
  <c r="S63" i="3"/>
  <c r="P64" i="3" l="1"/>
  <c r="Q64" i="3"/>
  <c r="K65" i="3" s="1"/>
  <c r="L66" i="3" l="1"/>
  <c r="N65" i="3"/>
  <c r="R64" i="3"/>
  <c r="S64" i="3"/>
  <c r="O65" i="3" l="1"/>
  <c r="P65" i="3"/>
  <c r="Q65" i="3"/>
  <c r="K66" i="3" s="1"/>
  <c r="L67" i="3" l="1"/>
  <c r="N66" i="3"/>
  <c r="R65" i="3"/>
  <c r="S65" i="3"/>
  <c r="O66" i="3" l="1"/>
  <c r="P66" i="3"/>
  <c r="Q66" i="3"/>
  <c r="K67" i="3" s="1"/>
  <c r="L68" i="3" l="1"/>
  <c r="N67" i="3"/>
  <c r="S66" i="3"/>
  <c r="R66" i="3"/>
  <c r="O67" i="3" l="1"/>
  <c r="P67" i="3"/>
  <c r="Q67" i="3"/>
  <c r="K68" i="3" s="1"/>
  <c r="L69" i="3" l="1"/>
  <c r="N68" i="3"/>
  <c r="R67" i="3"/>
  <c r="S67" i="3"/>
  <c r="O68" i="3" l="1"/>
  <c r="P68" i="3"/>
  <c r="Q68" i="3"/>
  <c r="K69" i="3" s="1"/>
  <c r="L70" i="3" l="1"/>
  <c r="N69" i="3"/>
  <c r="S68" i="3"/>
  <c r="R68" i="3"/>
  <c r="O69" i="3" l="1"/>
  <c r="P69" i="3"/>
  <c r="Q69" i="3"/>
  <c r="K70" i="3" s="1"/>
  <c r="L71" i="3" l="1"/>
  <c r="N70" i="3"/>
  <c r="S69" i="3"/>
  <c r="R69" i="3"/>
  <c r="O70" i="3" l="1"/>
  <c r="P70" i="3"/>
  <c r="Q70" i="3"/>
  <c r="K71" i="3" s="1"/>
  <c r="L72" i="3" l="1"/>
  <c r="N71" i="3"/>
  <c r="S70" i="3"/>
  <c r="R70" i="3"/>
  <c r="O71" i="3" l="1"/>
  <c r="P71" i="3"/>
  <c r="Q71" i="3"/>
  <c r="K72" i="3" s="1"/>
  <c r="L73" i="3" l="1"/>
  <c r="N72" i="3"/>
  <c r="R71" i="3"/>
  <c r="S71" i="3"/>
  <c r="O72" i="3" l="1"/>
  <c r="P72" i="3"/>
  <c r="Q72" i="3"/>
  <c r="K73" i="3"/>
  <c r="N73" i="3" l="1"/>
  <c r="R72" i="3"/>
  <c r="S72" i="3"/>
  <c r="F63" i="4"/>
  <c r="M63" i="4"/>
  <c r="F64" i="4"/>
  <c r="M64" i="4"/>
  <c r="F65" i="4"/>
  <c r="M65" i="4"/>
  <c r="F66" i="4"/>
  <c r="M66" i="4"/>
  <c r="F67" i="4"/>
  <c r="M67" i="4"/>
  <c r="F68" i="4"/>
  <c r="M68" i="4"/>
  <c r="F69" i="4"/>
  <c r="M69" i="4"/>
  <c r="F70" i="4"/>
  <c r="M70" i="4"/>
  <c r="F71" i="4"/>
  <c r="M71" i="4"/>
  <c r="F72" i="4"/>
  <c r="M72" i="4"/>
  <c r="F73" i="4"/>
  <c r="M73" i="4"/>
  <c r="F74" i="4"/>
  <c r="M74" i="4"/>
  <c r="AB7" i="8"/>
  <c r="G7" i="8" s="1"/>
  <c r="R5" i="9"/>
  <c r="V5" i="9"/>
  <c r="G7" i="9"/>
  <c r="O73" i="3" l="1"/>
  <c r="P73" i="3"/>
  <c r="Q73" i="3"/>
  <c r="AG7" i="9"/>
  <c r="AD7" i="9"/>
  <c r="N8" i="8"/>
  <c r="T7" i="8"/>
  <c r="L7" i="8"/>
  <c r="M7" i="8" s="1"/>
  <c r="Z7" i="9" s="1"/>
  <c r="C7" i="9" l="1"/>
  <c r="F7" i="7"/>
  <c r="K7" i="8"/>
  <c r="J8" i="8" s="1"/>
  <c r="U7" i="8"/>
  <c r="V7" i="8" s="1"/>
  <c r="H8" i="8"/>
  <c r="O9" i="8"/>
  <c r="P10" i="8" s="1"/>
  <c r="Q11" i="8" s="1"/>
  <c r="R12" i="8" s="1"/>
  <c r="S13" i="8" s="1"/>
  <c r="T8" i="8"/>
  <c r="M7" i="9"/>
  <c r="W7" i="8" l="1"/>
  <c r="X7" i="8" s="1"/>
  <c r="Y7" i="8" s="1"/>
  <c r="U8" i="8"/>
  <c r="H9" i="8" s="1"/>
  <c r="T7" i="7"/>
  <c r="H8" i="7" s="1"/>
  <c r="AA7" i="7"/>
  <c r="E9" i="8"/>
  <c r="K8" i="8"/>
  <c r="S73" i="3"/>
  <c r="R73" i="3"/>
  <c r="V8" i="8" l="1"/>
  <c r="U7" i="7"/>
  <c r="I9" i="8"/>
  <c r="H95" i="5"/>
  <c r="H92" i="5"/>
  <c r="H89" i="5"/>
  <c r="H88" i="5"/>
  <c r="H87" i="5"/>
  <c r="H96" i="5"/>
  <c r="H97" i="5"/>
  <c r="H90" i="5"/>
  <c r="H94" i="5"/>
  <c r="H86" i="5"/>
  <c r="H91" i="5"/>
  <c r="H93" i="5"/>
  <c r="J9" i="8"/>
  <c r="M8" i="9"/>
  <c r="L7" i="7"/>
  <c r="M7" i="7" s="1"/>
  <c r="Y7" i="9" s="1"/>
  <c r="AF7" i="9"/>
  <c r="G7" i="7"/>
  <c r="I7" i="9"/>
  <c r="K7" i="9" s="1"/>
  <c r="V7" i="7"/>
  <c r="W7" i="7" s="1"/>
  <c r="W8" i="8" l="1"/>
  <c r="X8" i="8" s="1"/>
  <c r="K7" i="7"/>
  <c r="N8" i="7"/>
  <c r="AC7" i="9"/>
  <c r="E8" i="7"/>
  <c r="X7" i="7"/>
  <c r="Y7" i="7" s="1"/>
  <c r="J93" i="5"/>
  <c r="J94" i="5"/>
  <c r="J87" i="5"/>
  <c r="J95" i="5"/>
  <c r="J89" i="5"/>
  <c r="J97" i="5"/>
  <c r="J90" i="5"/>
  <c r="J86" i="5"/>
  <c r="J91" i="5"/>
  <c r="J96" i="5"/>
  <c r="J92" i="5"/>
  <c r="J88" i="5"/>
  <c r="E10" i="8"/>
  <c r="N86" i="5" l="1"/>
  <c r="L87" i="5"/>
  <c r="Y8" i="8"/>
  <c r="O9" i="7"/>
  <c r="P10" i="7" s="1"/>
  <c r="Q11" i="7" s="1"/>
  <c r="R12" i="7" s="1"/>
  <c r="S13" i="7" s="1"/>
  <c r="I10" i="8"/>
  <c r="H98" i="5"/>
  <c r="H105" i="5"/>
  <c r="H99" i="5"/>
  <c r="H100" i="5"/>
  <c r="H109" i="5"/>
  <c r="H104" i="5"/>
  <c r="H107" i="5"/>
  <c r="H102" i="5"/>
  <c r="H108" i="5"/>
  <c r="H103" i="5"/>
  <c r="H101" i="5"/>
  <c r="H106" i="5"/>
  <c r="I8" i="7"/>
  <c r="H82" i="3"/>
  <c r="H84" i="3"/>
  <c r="H75" i="3"/>
  <c r="H81" i="3"/>
  <c r="H77" i="3"/>
  <c r="H78" i="3"/>
  <c r="H79" i="3"/>
  <c r="H83" i="3"/>
  <c r="H74" i="3"/>
  <c r="H80" i="3"/>
  <c r="H85" i="3"/>
  <c r="H76" i="3"/>
  <c r="J8" i="7"/>
  <c r="L7" i="9"/>
  <c r="N7" i="9" s="1"/>
  <c r="P86" i="5" l="1"/>
  <c r="S86" i="5" s="1"/>
  <c r="O86" i="5"/>
  <c r="Q86" i="5"/>
  <c r="K87" i="5" s="1"/>
  <c r="E9" i="7"/>
  <c r="J79" i="3"/>
  <c r="J80" i="3"/>
  <c r="J82" i="3"/>
  <c r="J75" i="3"/>
  <c r="J83" i="3"/>
  <c r="J74" i="3"/>
  <c r="J76" i="3"/>
  <c r="J84" i="3"/>
  <c r="J78" i="3"/>
  <c r="J85" i="3"/>
  <c r="J81" i="3"/>
  <c r="J77" i="3"/>
  <c r="R86" i="5"/>
  <c r="J103" i="5"/>
  <c r="J104" i="5"/>
  <c r="J105" i="5"/>
  <c r="J99" i="5"/>
  <c r="J107" i="5"/>
  <c r="J98" i="5"/>
  <c r="J100" i="5"/>
  <c r="J108" i="5"/>
  <c r="J101" i="5"/>
  <c r="J106" i="5"/>
  <c r="J102" i="5"/>
  <c r="J109" i="5"/>
  <c r="N74" i="3" l="1"/>
  <c r="L75" i="3"/>
  <c r="N87" i="5"/>
  <c r="Q87" i="5"/>
  <c r="N98" i="5"/>
  <c r="L99" i="5"/>
  <c r="L88" i="5"/>
  <c r="I9" i="7"/>
  <c r="H88" i="3"/>
  <c r="H91" i="3"/>
  <c r="H87" i="3"/>
  <c r="H95" i="3"/>
  <c r="H94" i="3"/>
  <c r="H96" i="3"/>
  <c r="H93" i="3"/>
  <c r="H90" i="3"/>
  <c r="H89" i="3"/>
  <c r="H97" i="3"/>
  <c r="H86" i="3"/>
  <c r="H92" i="3"/>
  <c r="O74" i="3" l="1"/>
  <c r="P74" i="3"/>
  <c r="S74" i="3" s="1"/>
  <c r="Q74" i="3"/>
  <c r="K75" i="3" s="1"/>
  <c r="L76" i="3" s="1"/>
  <c r="O98" i="5"/>
  <c r="P98" i="5"/>
  <c r="R98" i="5" s="1"/>
  <c r="Q98" i="5"/>
  <c r="K99" i="5" s="1"/>
  <c r="L100" i="5" s="1"/>
  <c r="L89" i="5"/>
  <c r="O87" i="5"/>
  <c r="P87" i="5"/>
  <c r="K88" i="5"/>
  <c r="J94" i="3"/>
  <c r="J87" i="3"/>
  <c r="J95" i="3"/>
  <c r="J89" i="3"/>
  <c r="J97" i="3"/>
  <c r="J90" i="3"/>
  <c r="J91" i="3"/>
  <c r="J92" i="3"/>
  <c r="J88" i="3"/>
  <c r="J93" i="3"/>
  <c r="J86" i="3"/>
  <c r="J96" i="3"/>
  <c r="N99" i="5" l="1"/>
  <c r="R74" i="3"/>
  <c r="N86" i="3"/>
  <c r="L87" i="3"/>
  <c r="Q99" i="5"/>
  <c r="N75" i="3"/>
  <c r="Q75" i="3"/>
  <c r="N88" i="5"/>
  <c r="R87" i="5"/>
  <c r="S87" i="5"/>
  <c r="O99" i="5" l="1"/>
  <c r="P99" i="5"/>
  <c r="O75" i="3"/>
  <c r="P75" i="3"/>
  <c r="O86" i="3"/>
  <c r="P86" i="3"/>
  <c r="R86" i="3" s="1"/>
  <c r="Q86" i="3"/>
  <c r="K87" i="3" s="1"/>
  <c r="L88" i="3" s="1"/>
  <c r="O88" i="5"/>
  <c r="P88" i="5"/>
  <c r="Q88" i="5"/>
  <c r="K76" i="3"/>
  <c r="K100" i="5"/>
  <c r="N87" i="3" l="1"/>
  <c r="Q87" i="3"/>
  <c r="L77" i="3"/>
  <c r="L101" i="5"/>
  <c r="R99" i="5"/>
  <c r="S75" i="3"/>
  <c r="R75" i="3"/>
  <c r="N100" i="5"/>
  <c r="N76" i="3"/>
  <c r="K89" i="5"/>
  <c r="O76" i="3" l="1"/>
  <c r="P76" i="3"/>
  <c r="O87" i="3"/>
  <c r="P87" i="3"/>
  <c r="Q76" i="3"/>
  <c r="O100" i="5"/>
  <c r="P100" i="5"/>
  <c r="Q89" i="5"/>
  <c r="L90" i="5"/>
  <c r="Q100" i="5"/>
  <c r="N89" i="5"/>
  <c r="R88" i="5"/>
  <c r="S88" i="5"/>
  <c r="K88" i="3"/>
  <c r="L89" i="3" l="1"/>
  <c r="O89" i="5"/>
  <c r="P89" i="5"/>
  <c r="R87" i="3"/>
  <c r="N88" i="3"/>
  <c r="Q88" i="3" s="1"/>
  <c r="K77" i="3"/>
  <c r="K101" i="5"/>
  <c r="O88" i="3" l="1"/>
  <c r="P88" i="3"/>
  <c r="L78" i="3"/>
  <c r="L102" i="5"/>
  <c r="R100" i="5"/>
  <c r="R76" i="3"/>
  <c r="S76" i="3"/>
  <c r="N101" i="5"/>
  <c r="N77" i="3"/>
  <c r="K90" i="5"/>
  <c r="O77" i="3" l="1"/>
  <c r="P77" i="3"/>
  <c r="Q77" i="3"/>
  <c r="O101" i="5"/>
  <c r="P101" i="5"/>
  <c r="Q90" i="5"/>
  <c r="L91" i="5"/>
  <c r="Q101" i="5"/>
  <c r="S89" i="5"/>
  <c r="R89" i="5"/>
  <c r="N90" i="5"/>
  <c r="K89" i="3"/>
  <c r="L90" i="3" l="1"/>
  <c r="O90" i="5"/>
  <c r="P90" i="5"/>
  <c r="R88" i="3"/>
  <c r="N89" i="3"/>
  <c r="K78" i="3"/>
  <c r="K102" i="5"/>
  <c r="L79" i="3" l="1"/>
  <c r="O89" i="3"/>
  <c r="P89" i="3"/>
  <c r="Q89" i="3"/>
  <c r="L103" i="5"/>
  <c r="N102" i="5"/>
  <c r="N78" i="3"/>
  <c r="Q78" i="3" s="1"/>
  <c r="R101" i="5"/>
  <c r="K91" i="5"/>
  <c r="S77" i="3"/>
  <c r="R77" i="3"/>
  <c r="O78" i="3" l="1"/>
  <c r="P78" i="3"/>
  <c r="L92" i="5"/>
  <c r="O102" i="5"/>
  <c r="P102" i="5"/>
  <c r="Q102" i="5"/>
  <c r="S90" i="5"/>
  <c r="R90" i="5"/>
  <c r="K90" i="3"/>
  <c r="N91" i="5"/>
  <c r="L91" i="3" l="1"/>
  <c r="O91" i="5"/>
  <c r="P91" i="5"/>
  <c r="Q91" i="5"/>
  <c r="K79" i="3"/>
  <c r="K103" i="5"/>
  <c r="R89" i="3"/>
  <c r="N90" i="3"/>
  <c r="L80" i="3" l="1"/>
  <c r="O90" i="3"/>
  <c r="P90" i="3"/>
  <c r="Q90" i="3"/>
  <c r="L104" i="5"/>
  <c r="K92" i="5"/>
  <c r="R102" i="5"/>
  <c r="R78" i="3"/>
  <c r="S78" i="3"/>
  <c r="N103" i="5"/>
  <c r="N79" i="3"/>
  <c r="O79" i="3" l="1"/>
  <c r="P79" i="3"/>
  <c r="Q79" i="3"/>
  <c r="L93" i="5"/>
  <c r="O103" i="5"/>
  <c r="P103" i="5"/>
  <c r="Q103" i="5"/>
  <c r="N92" i="5"/>
  <c r="S91" i="5"/>
  <c r="R91" i="5"/>
  <c r="K91" i="3"/>
  <c r="L92" i="3" l="1"/>
  <c r="O92" i="5"/>
  <c r="P92" i="5"/>
  <c r="Q92" i="5"/>
  <c r="R103" i="5"/>
  <c r="K104" i="5"/>
  <c r="R90" i="3"/>
  <c r="N91" i="3"/>
  <c r="K80" i="3"/>
  <c r="L81" i="3" l="1"/>
  <c r="O91" i="3"/>
  <c r="P91" i="3"/>
  <c r="Q91" i="3"/>
  <c r="L105" i="5"/>
  <c r="N80" i="3"/>
  <c r="Q80" i="3" s="1"/>
  <c r="S79" i="3"/>
  <c r="R79" i="3"/>
  <c r="K93" i="5"/>
  <c r="N104" i="5"/>
  <c r="O80" i="3" l="1"/>
  <c r="P80" i="3"/>
  <c r="O104" i="5"/>
  <c r="P104" i="5"/>
  <c r="R104" i="5" s="1"/>
  <c r="Q93" i="5"/>
  <c r="L94" i="5"/>
  <c r="Q104" i="5"/>
  <c r="K105" i="5" s="1"/>
  <c r="R92" i="5"/>
  <c r="S92" i="5"/>
  <c r="N93" i="5"/>
  <c r="R91" i="3"/>
  <c r="K92" i="3"/>
  <c r="L93" i="3" l="1"/>
  <c r="L106" i="5"/>
  <c r="O93" i="5"/>
  <c r="P93" i="5"/>
  <c r="K81" i="3"/>
  <c r="N105" i="5"/>
  <c r="N92" i="3"/>
  <c r="L82" i="3" l="1"/>
  <c r="O92" i="3"/>
  <c r="P92" i="3"/>
  <c r="R92" i="3" s="1"/>
  <c r="Q92" i="3"/>
  <c r="O105" i="5"/>
  <c r="P105" i="5"/>
  <c r="R105" i="5" s="1"/>
  <c r="Q105" i="5"/>
  <c r="K106" i="5" s="1"/>
  <c r="K94" i="5"/>
  <c r="N81" i="3"/>
  <c r="S80" i="3"/>
  <c r="R80" i="3"/>
  <c r="O81" i="3" l="1"/>
  <c r="P81" i="3"/>
  <c r="Q81" i="3"/>
  <c r="N106" i="5"/>
  <c r="Q106" i="5" s="1"/>
  <c r="L107" i="5"/>
  <c r="L95" i="5"/>
  <c r="K93" i="3"/>
  <c r="N94" i="5"/>
  <c r="S93" i="5"/>
  <c r="R93" i="5"/>
  <c r="N93" i="3" l="1"/>
  <c r="Q93" i="3"/>
  <c r="L94" i="3"/>
  <c r="O94" i="5"/>
  <c r="P94" i="5"/>
  <c r="Q94" i="5"/>
  <c r="O106" i="5"/>
  <c r="P106" i="5"/>
  <c r="R106" i="5" s="1"/>
  <c r="K82" i="3"/>
  <c r="K107" i="5"/>
  <c r="K94" i="3"/>
  <c r="L95" i="3" l="1"/>
  <c r="L83" i="3"/>
  <c r="O93" i="3"/>
  <c r="P93" i="3"/>
  <c r="R93" i="3" s="1"/>
  <c r="L108" i="5"/>
  <c r="N107" i="5"/>
  <c r="N82" i="3"/>
  <c r="Q82" i="3" s="1"/>
  <c r="S81" i="3"/>
  <c r="R81" i="3"/>
  <c r="N94" i="3"/>
  <c r="P94" i="3" s="1"/>
  <c r="K95" i="5"/>
  <c r="R94" i="3" l="1"/>
  <c r="O94" i="3"/>
  <c r="Q94" i="3"/>
  <c r="O82" i="3"/>
  <c r="P82" i="3"/>
  <c r="O107" i="5"/>
  <c r="P107" i="5"/>
  <c r="R107" i="5" s="1"/>
  <c r="L96" i="5"/>
  <c r="Q107" i="5"/>
  <c r="K95" i="3"/>
  <c r="L96" i="3" s="1"/>
  <c r="N95" i="5"/>
  <c r="Q95" i="5" s="1"/>
  <c r="R94" i="5"/>
  <c r="S94" i="5"/>
  <c r="N95" i="3" l="1"/>
  <c r="Q95" i="3"/>
  <c r="O95" i="5"/>
  <c r="P95" i="5"/>
  <c r="K108" i="5"/>
  <c r="K83" i="3"/>
  <c r="O95" i="3" l="1"/>
  <c r="P95" i="3"/>
  <c r="R95" i="3" s="1"/>
  <c r="L84" i="3"/>
  <c r="N108" i="5"/>
  <c r="Q108" i="5" s="1"/>
  <c r="K109" i="5" s="1"/>
  <c r="L109" i="5"/>
  <c r="K96" i="3"/>
  <c r="N83" i="3"/>
  <c r="Q83" i="3" s="1"/>
  <c r="S82" i="3"/>
  <c r="R82" i="3"/>
  <c r="K96" i="5"/>
  <c r="N96" i="3" l="1"/>
  <c r="Q96" i="3" s="1"/>
  <c r="K97" i="3" s="1"/>
  <c r="L97" i="3"/>
  <c r="O83" i="3"/>
  <c r="P83" i="3"/>
  <c r="N109" i="5"/>
  <c r="O109" i="5" s="1"/>
  <c r="L97" i="5"/>
  <c r="O108" i="5"/>
  <c r="P108" i="5"/>
  <c r="R108" i="5" s="1"/>
  <c r="N96" i="5"/>
  <c r="Q96" i="5" s="1"/>
  <c r="S95" i="5"/>
  <c r="R95" i="5"/>
  <c r="O96" i="3" l="1"/>
  <c r="P96" i="3"/>
  <c r="R96" i="3" s="1"/>
  <c r="Q109" i="5"/>
  <c r="F10" i="8"/>
  <c r="D10" i="9"/>
  <c r="O96" i="5"/>
  <c r="P96" i="5"/>
  <c r="P109" i="5"/>
  <c r="R109" i="5" s="1"/>
  <c r="K84" i="3"/>
  <c r="N97" i="3"/>
  <c r="O97" i="3" s="1"/>
  <c r="Q84" i="3" l="1"/>
  <c r="L85" i="3"/>
  <c r="Q97" i="3"/>
  <c r="P97" i="3"/>
  <c r="R97" i="3" s="1"/>
  <c r="N84" i="3"/>
  <c r="S83" i="3"/>
  <c r="R83" i="3"/>
  <c r="K97" i="5"/>
  <c r="F9" i="7" l="1"/>
  <c r="C9" i="9"/>
  <c r="O84" i="3"/>
  <c r="P84" i="3"/>
  <c r="N97" i="5"/>
  <c r="Q97" i="5" s="1"/>
  <c r="R96" i="5"/>
  <c r="S96" i="5"/>
  <c r="O97" i="5" l="1"/>
  <c r="P97" i="5"/>
  <c r="F9" i="8"/>
  <c r="D9" i="9"/>
  <c r="K85" i="3"/>
  <c r="R84" i="3" l="1"/>
  <c r="S84" i="3"/>
  <c r="N85" i="3"/>
  <c r="O85" i="3" l="1"/>
  <c r="P85" i="3"/>
  <c r="Q85" i="3"/>
  <c r="R97" i="5"/>
  <c r="S97" i="5"/>
  <c r="T9" i="8"/>
  <c r="U9" i="8" s="1"/>
  <c r="C8" i="9" l="1"/>
  <c r="F8" i="7"/>
  <c r="V9" i="8"/>
  <c r="W9" i="8" s="1"/>
  <c r="X9" i="8" s="1"/>
  <c r="Y9" i="8" s="1"/>
  <c r="S98" i="5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J9" i="9"/>
  <c r="H10" i="8" l="1"/>
  <c r="R85" i="3"/>
  <c r="S85" i="3"/>
  <c r="AA8" i="7"/>
  <c r="T8" i="7"/>
  <c r="U8" i="7" s="1"/>
  <c r="J10" i="9"/>
  <c r="V8" i="7" l="1"/>
  <c r="W8" i="7" s="1"/>
  <c r="L8" i="7"/>
  <c r="M8" i="7" s="1"/>
  <c r="Y8" i="9" s="1"/>
  <c r="AF8" i="9"/>
  <c r="G8" i="7"/>
  <c r="I8" i="9"/>
  <c r="K8" i="9" s="1"/>
  <c r="S86" i="3"/>
  <c r="S87" i="3" s="1"/>
  <c r="S88" i="3" s="1"/>
  <c r="S89" i="3" s="1"/>
  <c r="S90" i="3" s="1"/>
  <c r="S91" i="3" s="1"/>
  <c r="S92" i="3" s="1"/>
  <c r="S93" i="3" s="1"/>
  <c r="S94" i="3" s="1"/>
  <c r="S95" i="3" s="1"/>
  <c r="S96" i="3" s="1"/>
  <c r="S97" i="3" s="1"/>
  <c r="H9" i="7"/>
  <c r="K8" i="7" l="1"/>
  <c r="J9" i="7" s="1"/>
  <c r="X8" i="7"/>
  <c r="Y8" i="7" s="1"/>
  <c r="AC8" i="9"/>
  <c r="N9" i="7"/>
  <c r="I9" i="9"/>
  <c r="K9" i="9" s="1"/>
  <c r="L8" i="9" l="1"/>
  <c r="N8" i="9" s="1"/>
  <c r="O10" i="7"/>
  <c r="P11" i="7" s="1"/>
  <c r="Q12" i="7" s="1"/>
  <c r="R13" i="7" s="1"/>
  <c r="E10" i="7"/>
  <c r="H108" i="3" l="1"/>
  <c r="H104" i="3"/>
  <c r="H105" i="3"/>
  <c r="H102" i="3"/>
  <c r="H109" i="3"/>
  <c r="H107" i="3"/>
  <c r="H101" i="3"/>
  <c r="H99" i="3"/>
  <c r="H100" i="3"/>
  <c r="H98" i="3"/>
  <c r="I10" i="7"/>
  <c r="H103" i="3"/>
  <c r="H106" i="3"/>
  <c r="J106" i="3" l="1"/>
  <c r="J101" i="3"/>
  <c r="J103" i="3"/>
  <c r="J98" i="3"/>
  <c r="J100" i="3"/>
  <c r="J104" i="3"/>
  <c r="J99" i="3"/>
  <c r="J102" i="3"/>
  <c r="J107" i="3"/>
  <c r="J108" i="3"/>
  <c r="J109" i="3"/>
  <c r="J105" i="3"/>
  <c r="N98" i="3" l="1"/>
  <c r="L99" i="3"/>
  <c r="P98" i="3" l="1"/>
  <c r="R98" i="3" s="1"/>
  <c r="O98" i="3"/>
  <c r="Q98" i="3"/>
  <c r="K99" i="3" s="1"/>
  <c r="N99" i="3" s="1"/>
  <c r="O99" i="3" l="1"/>
  <c r="P99" i="3"/>
  <c r="S98" i="3"/>
  <c r="Q99" i="3"/>
  <c r="L100" i="3"/>
  <c r="K100" i="3"/>
  <c r="L101" i="3" l="1"/>
  <c r="N100" i="3"/>
  <c r="O100" i="3" s="1"/>
  <c r="S99" i="3"/>
  <c r="R99" i="3"/>
  <c r="P100" i="3" l="1"/>
  <c r="Q100" i="3"/>
  <c r="K101" i="3" s="1"/>
  <c r="L102" i="3" l="1"/>
  <c r="N101" i="3"/>
  <c r="R100" i="3"/>
  <c r="S100" i="3"/>
  <c r="O101" i="3" l="1"/>
  <c r="P101" i="3"/>
  <c r="Q101" i="3"/>
  <c r="K102" i="3" s="1"/>
  <c r="L103" i="3" l="1"/>
  <c r="N102" i="3"/>
  <c r="R101" i="3"/>
  <c r="S101" i="3"/>
  <c r="O102" i="3" l="1"/>
  <c r="P102" i="3"/>
  <c r="Q102" i="3"/>
  <c r="K103" i="3" s="1"/>
  <c r="L104" i="3" s="1"/>
  <c r="N103" i="3" l="1"/>
  <c r="S102" i="3"/>
  <c r="R102" i="3"/>
  <c r="O103" i="3" l="1"/>
  <c r="P103" i="3"/>
  <c r="Q103" i="3"/>
  <c r="K104" i="3"/>
  <c r="L105" i="3" l="1"/>
  <c r="N104" i="3"/>
  <c r="Q104" i="3" s="1"/>
  <c r="R103" i="3"/>
  <c r="S103" i="3"/>
  <c r="O104" i="3" l="1"/>
  <c r="P104" i="3"/>
  <c r="K105" i="3"/>
  <c r="L106" i="3" l="1"/>
  <c r="N105" i="3"/>
  <c r="R104" i="3"/>
  <c r="S104" i="3"/>
  <c r="O105" i="3" l="1"/>
  <c r="P105" i="3"/>
  <c r="Q105" i="3"/>
  <c r="K106" i="3"/>
  <c r="L107" i="3" l="1"/>
  <c r="N106" i="3"/>
  <c r="R105" i="3"/>
  <c r="S105" i="3"/>
  <c r="O106" i="3" l="1"/>
  <c r="P106" i="3"/>
  <c r="Q106" i="3"/>
  <c r="K107" i="3" s="1"/>
  <c r="L108" i="3" l="1"/>
  <c r="N107" i="3"/>
  <c r="S106" i="3"/>
  <c r="R106" i="3"/>
  <c r="O107" i="3" l="1"/>
  <c r="P107" i="3"/>
  <c r="Q107" i="3"/>
  <c r="K108" i="3"/>
  <c r="L109" i="3" s="1"/>
  <c r="S107" i="3" l="1"/>
  <c r="R107" i="3"/>
  <c r="N108" i="3"/>
  <c r="Q108" i="3" s="1"/>
  <c r="O108" i="3" l="1"/>
  <c r="P108" i="3"/>
  <c r="K109" i="3"/>
  <c r="N109" i="3" l="1"/>
  <c r="R108" i="3"/>
  <c r="S108" i="3"/>
  <c r="O109" i="3" l="1"/>
  <c r="P109" i="3"/>
  <c r="R109" i="3" s="1"/>
  <c r="Q109" i="3"/>
  <c r="S109" i="3" l="1"/>
  <c r="F10" i="7"/>
  <c r="Z10" i="7" s="1"/>
  <c r="Z10" i="8" s="1" a="1"/>
  <c r="Z10" i="8" s="1"/>
  <c r="AA10" i="8" s="1"/>
  <c r="C10" i="9"/>
  <c r="I10" i="9"/>
  <c r="K10" i="9" s="1"/>
  <c r="T9" i="7"/>
  <c r="M100" i="4"/>
  <c r="M108" i="4"/>
  <c r="M103" i="4"/>
  <c r="M104" i="4"/>
  <c r="M101" i="4"/>
  <c r="M110" i="4"/>
  <c r="M109" i="4"/>
  <c r="M106" i="4"/>
  <c r="M102" i="4"/>
  <c r="G10" i="9"/>
  <c r="M99" i="4"/>
  <c r="M105" i="4"/>
  <c r="M107" i="4"/>
  <c r="M95" i="4"/>
  <c r="M94" i="4"/>
  <c r="M87" i="4"/>
  <c r="M91" i="4"/>
  <c r="M93" i="4"/>
  <c r="M88" i="4"/>
  <c r="G9" i="9"/>
  <c r="M89" i="4"/>
  <c r="M92" i="4"/>
  <c r="M97" i="4"/>
  <c r="M96" i="4"/>
  <c r="M90" i="4"/>
  <c r="M98" i="4"/>
  <c r="E51" i="4"/>
  <c r="L51" i="4"/>
  <c r="E52" i="4"/>
  <c r="L52" i="4"/>
  <c r="E53" i="4"/>
  <c r="L53" i="4"/>
  <c r="E54" i="4"/>
  <c r="L54" i="4"/>
  <c r="E55" i="4"/>
  <c r="L55" i="4"/>
  <c r="E56" i="4"/>
  <c r="L56" i="4"/>
  <c r="E57" i="4"/>
  <c r="L57" i="4"/>
  <c r="E58" i="4"/>
  <c r="L58" i="4"/>
  <c r="E59" i="4"/>
  <c r="L59" i="4"/>
  <c r="E60" i="4"/>
  <c r="L60" i="4"/>
  <c r="E61" i="4"/>
  <c r="L61" i="4"/>
  <c r="E62" i="4"/>
  <c r="L62" i="4"/>
  <c r="E63" i="4"/>
  <c r="L63" i="4"/>
  <c r="E64" i="4"/>
  <c r="L64" i="4"/>
  <c r="E65" i="4"/>
  <c r="L65" i="4"/>
  <c r="E66" i="4"/>
  <c r="L66" i="4"/>
  <c r="E67" i="4"/>
  <c r="L67" i="4"/>
  <c r="E68" i="4"/>
  <c r="L68" i="4"/>
  <c r="E69" i="4"/>
  <c r="L69" i="4"/>
  <c r="E70" i="4"/>
  <c r="L70" i="4"/>
  <c r="E71" i="4"/>
  <c r="L71" i="4"/>
  <c r="E72" i="4"/>
  <c r="L72" i="4"/>
  <c r="E73" i="4"/>
  <c r="L73" i="4"/>
  <c r="E74" i="4"/>
  <c r="L74" i="4"/>
  <c r="E75" i="4"/>
  <c r="L75" i="4"/>
  <c r="E76" i="4"/>
  <c r="L76" i="4"/>
  <c r="E77" i="4"/>
  <c r="L77" i="4"/>
  <c r="E78" i="4"/>
  <c r="L78" i="4"/>
  <c r="E79" i="4"/>
  <c r="L79" i="4"/>
  <c r="E80" i="4"/>
  <c r="L80" i="4"/>
  <c r="E81" i="4"/>
  <c r="L81" i="4"/>
  <c r="E82" i="4"/>
  <c r="L82" i="4"/>
  <c r="E83" i="4"/>
  <c r="L83" i="4"/>
  <c r="E84" i="4"/>
  <c r="L84" i="4"/>
  <c r="E85" i="4"/>
  <c r="L85" i="4"/>
  <c r="E86" i="4"/>
  <c r="L86" i="4"/>
  <c r="E87" i="4"/>
  <c r="F87" i="4"/>
  <c r="L87" i="4"/>
  <c r="E88" i="4"/>
  <c r="F88" i="4"/>
  <c r="L88" i="4"/>
  <c r="E89" i="4"/>
  <c r="F89" i="4"/>
  <c r="L89" i="4"/>
  <c r="E90" i="4"/>
  <c r="F90" i="4"/>
  <c r="L90" i="4"/>
  <c r="E91" i="4"/>
  <c r="F91" i="4"/>
  <c r="L91" i="4"/>
  <c r="E92" i="4"/>
  <c r="F92" i="4"/>
  <c r="L92" i="4"/>
  <c r="E93" i="4"/>
  <c r="F93" i="4"/>
  <c r="L93" i="4"/>
  <c r="E94" i="4"/>
  <c r="F94" i="4"/>
  <c r="L94" i="4"/>
  <c r="E95" i="4"/>
  <c r="F95" i="4"/>
  <c r="L95" i="4"/>
  <c r="E96" i="4"/>
  <c r="F96" i="4"/>
  <c r="L96" i="4"/>
  <c r="E97" i="4"/>
  <c r="F97" i="4"/>
  <c r="L97" i="4"/>
  <c r="E98" i="4"/>
  <c r="F98" i="4"/>
  <c r="L98" i="4"/>
  <c r="E99" i="4"/>
  <c r="F99" i="4"/>
  <c r="L99" i="4"/>
  <c r="E100" i="4"/>
  <c r="F100" i="4"/>
  <c r="L100" i="4"/>
  <c r="E101" i="4"/>
  <c r="F101" i="4"/>
  <c r="L101" i="4"/>
  <c r="E102" i="4"/>
  <c r="F102" i="4"/>
  <c r="L102" i="4"/>
  <c r="E103" i="4"/>
  <c r="F103" i="4"/>
  <c r="L103" i="4"/>
  <c r="E104" i="4"/>
  <c r="F104" i="4"/>
  <c r="L104" i="4"/>
  <c r="E105" i="4"/>
  <c r="F105" i="4"/>
  <c r="L105" i="4"/>
  <c r="E106" i="4"/>
  <c r="F106" i="4"/>
  <c r="L106" i="4"/>
  <c r="E107" i="4"/>
  <c r="F107" i="4"/>
  <c r="L107" i="4"/>
  <c r="E108" i="4"/>
  <c r="F108" i="4"/>
  <c r="L108" i="4"/>
  <c r="E109" i="4"/>
  <c r="F109" i="4"/>
  <c r="L109" i="4"/>
  <c r="E110" i="4"/>
  <c r="F110" i="4"/>
  <c r="L110" i="4"/>
  <c r="F9" i="9"/>
  <c r="F7" i="9"/>
  <c r="H7" i="9" s="1"/>
  <c r="AH7" i="9" s="1"/>
  <c r="E7" i="9"/>
  <c r="X7" i="9" s="1"/>
  <c r="F10" i="9"/>
  <c r="F6" i="9"/>
  <c r="H6" i="9" s="1"/>
  <c r="AH6" i="9" s="1"/>
  <c r="F8" i="9"/>
  <c r="H8" i="9" s="1"/>
  <c r="AH8" i="9" s="1"/>
  <c r="E8" i="9"/>
  <c r="X8" i="9" s="1"/>
  <c r="E6" i="9"/>
  <c r="H9" i="9" l="1"/>
  <c r="AH9" i="9" s="1"/>
  <c r="G94" i="4"/>
  <c r="G86" i="4"/>
  <c r="G82" i="4"/>
  <c r="G78" i="4"/>
  <c r="E9" i="9"/>
  <c r="X9" i="9" s="1"/>
  <c r="G109" i="4"/>
  <c r="G71" i="4"/>
  <c r="G67" i="4"/>
  <c r="G63" i="4"/>
  <c r="I63" i="4" s="1"/>
  <c r="E64" i="6" s="1"/>
  <c r="G59" i="4"/>
  <c r="G55" i="4"/>
  <c r="G51" i="4"/>
  <c r="I51" i="4" s="1"/>
  <c r="G101" i="4"/>
  <c r="G80" i="4"/>
  <c r="G84" i="4"/>
  <c r="G98" i="4"/>
  <c r="G97" i="4"/>
  <c r="E10" i="9"/>
  <c r="X10" i="9" s="1"/>
  <c r="G95" i="4"/>
  <c r="G76" i="4"/>
  <c r="G107" i="4"/>
  <c r="G102" i="4"/>
  <c r="H10" i="9"/>
  <c r="AH10" i="9" s="1"/>
  <c r="G85" i="4"/>
  <c r="G81" i="4"/>
  <c r="G77" i="4"/>
  <c r="G73" i="4"/>
  <c r="G69" i="4"/>
  <c r="G65" i="4"/>
  <c r="G105" i="4"/>
  <c r="G90" i="4"/>
  <c r="G83" i="4"/>
  <c r="G79" i="4"/>
  <c r="G75" i="4"/>
  <c r="I75" i="4" s="1"/>
  <c r="G110" i="4"/>
  <c r="G92" i="4"/>
  <c r="G99" i="4"/>
  <c r="I99" i="4" s="1"/>
  <c r="E100" i="6" s="1"/>
  <c r="G89" i="4"/>
  <c r="G74" i="4"/>
  <c r="G70" i="4"/>
  <c r="G66" i="4"/>
  <c r="G62" i="4"/>
  <c r="G58" i="4"/>
  <c r="G54" i="4"/>
  <c r="G104" i="4"/>
  <c r="G91" i="4"/>
  <c r="G61" i="4"/>
  <c r="G57" i="4"/>
  <c r="G53" i="4"/>
  <c r="G87" i="4"/>
  <c r="I87" i="4" s="1"/>
  <c r="E88" i="6" s="1"/>
  <c r="AB10" i="8"/>
  <c r="G103" i="4"/>
  <c r="G93" i="4"/>
  <c r="G88" i="4"/>
  <c r="G72" i="4"/>
  <c r="G68" i="4"/>
  <c r="G64" i="4"/>
  <c r="G60" i="4"/>
  <c r="G56" i="4"/>
  <c r="G52" i="4"/>
  <c r="X6" i="9"/>
  <c r="G106" i="4"/>
  <c r="G108" i="4"/>
  <c r="G96" i="4"/>
  <c r="G100" i="4"/>
  <c r="Z9" i="7"/>
  <c r="Z9" i="8" s="1" a="1"/>
  <c r="Z9" i="8" s="1"/>
  <c r="AA9" i="8" s="1"/>
  <c r="AB9" i="8" s="1"/>
  <c r="AA10" i="7"/>
  <c r="U9" i="7"/>
  <c r="V9" i="7" s="1"/>
  <c r="N99" i="4" l="1"/>
  <c r="K99" i="4"/>
  <c r="H100" i="4" s="1"/>
  <c r="I100" i="4" s="1"/>
  <c r="N100" i="4" s="1"/>
  <c r="K63" i="4"/>
  <c r="H64" i="4" s="1"/>
  <c r="I64" i="4" s="1"/>
  <c r="K51" i="4"/>
  <c r="H52" i="4" s="1"/>
  <c r="I52" i="4" s="1"/>
  <c r="N51" i="4"/>
  <c r="O51" i="4" s="1"/>
  <c r="E52" i="6"/>
  <c r="K87" i="4"/>
  <c r="H88" i="4" s="1"/>
  <c r="I88" i="4" s="1"/>
  <c r="K88" i="4" s="1"/>
  <c r="H89" i="4" s="1"/>
  <c r="I89" i="4" s="1"/>
  <c r="N87" i="4"/>
  <c r="N63" i="4"/>
  <c r="K75" i="4"/>
  <c r="H76" i="4" s="1"/>
  <c r="I76" i="4" s="1"/>
  <c r="N75" i="4"/>
  <c r="E76" i="6"/>
  <c r="L10" i="8"/>
  <c r="M10" i="8" s="1"/>
  <c r="Z10" i="9" s="1"/>
  <c r="G10" i="8"/>
  <c r="AG10" i="9"/>
  <c r="W9" i="7"/>
  <c r="X9" i="7" s="1"/>
  <c r="L10" i="7"/>
  <c r="M10" i="7" s="1"/>
  <c r="Y10" i="9" s="1"/>
  <c r="G10" i="7"/>
  <c r="AF10" i="9"/>
  <c r="L9" i="8"/>
  <c r="M9" i="8" s="1"/>
  <c r="Z9" i="9" s="1"/>
  <c r="G9" i="8"/>
  <c r="AG9" i="9"/>
  <c r="AA9" i="7"/>
  <c r="H10" i="7"/>
  <c r="K100" i="4" l="1"/>
  <c r="H101" i="4" s="1"/>
  <c r="I101" i="4" s="1"/>
  <c r="K101" i="4" s="1"/>
  <c r="H102" i="4" s="1"/>
  <c r="I102" i="4" s="1"/>
  <c r="N88" i="4"/>
  <c r="E89" i="6"/>
  <c r="E53" i="6"/>
  <c r="N52" i="4"/>
  <c r="O52" i="4" s="1"/>
  <c r="K64" i="4"/>
  <c r="H65" i="4" s="1"/>
  <c r="I65" i="4" s="1"/>
  <c r="K65" i="4" s="1"/>
  <c r="H66" i="4" s="1"/>
  <c r="I66" i="4" s="1"/>
  <c r="N64" i="4"/>
  <c r="F52" i="6"/>
  <c r="G52" i="6" s="1"/>
  <c r="K52" i="6"/>
  <c r="L52" i="6" s="1"/>
  <c r="E101" i="6"/>
  <c r="K52" i="4"/>
  <c r="H53" i="4" s="1"/>
  <c r="I53" i="4" s="1"/>
  <c r="E65" i="6"/>
  <c r="K9" i="8"/>
  <c r="J10" i="8" s="1"/>
  <c r="Y9" i="7"/>
  <c r="K76" i="4"/>
  <c r="H77" i="4" s="1"/>
  <c r="I77" i="4" s="1"/>
  <c r="N76" i="4"/>
  <c r="E77" i="6"/>
  <c r="N11" i="8"/>
  <c r="O12" i="8" s="1"/>
  <c r="P13" i="8" s="1"/>
  <c r="Q14" i="8" s="1"/>
  <c r="R15" i="8" s="1"/>
  <c r="S16" i="8" s="1"/>
  <c r="AD10" i="9"/>
  <c r="L9" i="7"/>
  <c r="M9" i="7" s="1"/>
  <c r="Y9" i="9" s="1"/>
  <c r="G9" i="7"/>
  <c r="AF9" i="9"/>
  <c r="E102" i="6"/>
  <c r="K89" i="4"/>
  <c r="H90" i="4" s="1"/>
  <c r="I90" i="4" s="1"/>
  <c r="E90" i="6"/>
  <c r="N89" i="4"/>
  <c r="N10" i="8"/>
  <c r="AD9" i="9"/>
  <c r="N11" i="7"/>
  <c r="AC10" i="9"/>
  <c r="N101" i="4" l="1"/>
  <c r="E66" i="6"/>
  <c r="N65" i="4"/>
  <c r="H52" i="6"/>
  <c r="M52" i="6"/>
  <c r="K53" i="4"/>
  <c r="H54" i="4" s="1"/>
  <c r="I54" i="4" s="1"/>
  <c r="N53" i="4"/>
  <c r="O53" i="4" s="1"/>
  <c r="E54" i="6"/>
  <c r="M9" i="9"/>
  <c r="K77" i="4"/>
  <c r="H78" i="4" s="1"/>
  <c r="I78" i="4" s="1"/>
  <c r="N77" i="4"/>
  <c r="E78" i="6"/>
  <c r="K102" i="4"/>
  <c r="H103" i="4" s="1"/>
  <c r="I103" i="4" s="1"/>
  <c r="N102" i="4"/>
  <c r="E103" i="6"/>
  <c r="K66" i="4"/>
  <c r="H67" i="4" s="1"/>
  <c r="I67" i="4" s="1"/>
  <c r="N66" i="4"/>
  <c r="E67" i="6"/>
  <c r="K10" i="8"/>
  <c r="E11" i="8"/>
  <c r="AC9" i="9"/>
  <c r="N10" i="7"/>
  <c r="O12" i="7"/>
  <c r="P13" i="7" s="1"/>
  <c r="K90" i="4"/>
  <c r="H91" i="4" s="1"/>
  <c r="I91" i="4" s="1"/>
  <c r="N90" i="4"/>
  <c r="E91" i="6"/>
  <c r="K9" i="7"/>
  <c r="O11" i="8"/>
  <c r="P12" i="8" s="1"/>
  <c r="Q13" i="8" s="1"/>
  <c r="R14" i="8" s="1"/>
  <c r="S15" i="8" s="1"/>
  <c r="T10" i="8"/>
  <c r="N54" i="4" l="1"/>
  <c r="O54" i="4" s="1"/>
  <c r="K54" i="4"/>
  <c r="H55" i="4" s="1"/>
  <c r="I55" i="4" s="1"/>
  <c r="E55" i="6"/>
  <c r="I52" i="6"/>
  <c r="J52" i="6" s="1"/>
  <c r="D53" i="6" s="1"/>
  <c r="N52" i="6"/>
  <c r="K78" i="4"/>
  <c r="H79" i="4" s="1"/>
  <c r="I79" i="4" s="1"/>
  <c r="N78" i="4"/>
  <c r="E79" i="6"/>
  <c r="M10" i="9"/>
  <c r="J11" i="8"/>
  <c r="K67" i="4"/>
  <c r="H68" i="4" s="1"/>
  <c r="I68" i="4" s="1"/>
  <c r="N67" i="4"/>
  <c r="E68" i="6"/>
  <c r="O11" i="7"/>
  <c r="P12" i="7" s="1"/>
  <c r="Q13" i="7" s="1"/>
  <c r="T10" i="7"/>
  <c r="I11" i="8"/>
  <c r="H116" i="5"/>
  <c r="H113" i="5"/>
  <c r="H118" i="5"/>
  <c r="H121" i="5"/>
  <c r="H110" i="5"/>
  <c r="H117" i="5"/>
  <c r="H115" i="5"/>
  <c r="H120" i="5"/>
  <c r="H114" i="5"/>
  <c r="H112" i="5"/>
  <c r="H119" i="5"/>
  <c r="H111" i="5"/>
  <c r="K91" i="4"/>
  <c r="H92" i="4" s="1"/>
  <c r="I92" i="4" s="1"/>
  <c r="N91" i="4"/>
  <c r="E92" i="6"/>
  <c r="U10" i="8"/>
  <c r="V10" i="8" s="1"/>
  <c r="N103" i="4"/>
  <c r="K103" i="4"/>
  <c r="H104" i="4" s="1"/>
  <c r="I104" i="4" s="1"/>
  <c r="E104" i="6"/>
  <c r="J10" i="7"/>
  <c r="L9" i="9"/>
  <c r="N9" i="9" s="1"/>
  <c r="K53" i="6" l="1"/>
  <c r="L53" i="6" s="1"/>
  <c r="F53" i="6"/>
  <c r="G53" i="6" s="1"/>
  <c r="M53" i="6" s="1"/>
  <c r="E56" i="6"/>
  <c r="N55" i="4"/>
  <c r="O55" i="4" s="1"/>
  <c r="K55" i="4"/>
  <c r="H56" i="4" s="1"/>
  <c r="I56" i="4" s="1"/>
  <c r="W10" i="8"/>
  <c r="X10" i="8" s="1"/>
  <c r="K79" i="4"/>
  <c r="H80" i="4" s="1"/>
  <c r="I80" i="4" s="1"/>
  <c r="E80" i="6"/>
  <c r="N79" i="4"/>
  <c r="K68" i="4"/>
  <c r="H69" i="4" s="1"/>
  <c r="I69" i="4" s="1"/>
  <c r="N68" i="4"/>
  <c r="E69" i="6"/>
  <c r="E12" i="8"/>
  <c r="J113" i="5"/>
  <c r="J121" i="5"/>
  <c r="J115" i="5"/>
  <c r="J116" i="5"/>
  <c r="J111" i="5"/>
  <c r="J119" i="5"/>
  <c r="J118" i="5"/>
  <c r="J117" i="5"/>
  <c r="J110" i="5"/>
  <c r="J112" i="5"/>
  <c r="J120" i="5"/>
  <c r="J114" i="5"/>
  <c r="E11" i="7"/>
  <c r="K10" i="7"/>
  <c r="K104" i="4"/>
  <c r="H105" i="4" s="1"/>
  <c r="I105" i="4" s="1"/>
  <c r="N104" i="4"/>
  <c r="E105" i="6"/>
  <c r="U10" i="7"/>
  <c r="V10" i="7" s="1"/>
  <c r="W10" i="7" s="1"/>
  <c r="K92" i="4"/>
  <c r="H93" i="4" s="1"/>
  <c r="I93" i="4" s="1"/>
  <c r="N92" i="4"/>
  <c r="E93" i="6"/>
  <c r="N110" i="5" l="1"/>
  <c r="L111" i="5"/>
  <c r="H11" i="8"/>
  <c r="N56" i="4"/>
  <c r="O56" i="4" s="1"/>
  <c r="E57" i="6"/>
  <c r="K56" i="4"/>
  <c r="H57" i="4" s="1"/>
  <c r="I57" i="4" s="1"/>
  <c r="H53" i="6"/>
  <c r="H11" i="7"/>
  <c r="E81" i="6"/>
  <c r="N80" i="4"/>
  <c r="K80" i="4"/>
  <c r="H81" i="4" s="1"/>
  <c r="I81" i="4" s="1"/>
  <c r="Y10" i="8"/>
  <c r="K69" i="4"/>
  <c r="H70" i="4" s="1"/>
  <c r="I70" i="4" s="1"/>
  <c r="E70" i="6"/>
  <c r="N69" i="4"/>
  <c r="K105" i="4"/>
  <c r="H106" i="4" s="1"/>
  <c r="I106" i="4" s="1"/>
  <c r="E106" i="6"/>
  <c r="N105" i="4"/>
  <c r="J11" i="7"/>
  <c r="L10" i="9"/>
  <c r="N10" i="9" s="1"/>
  <c r="I12" i="8"/>
  <c r="H125" i="5"/>
  <c r="H122" i="5"/>
  <c r="H129" i="5"/>
  <c r="H123" i="5"/>
  <c r="H124" i="5"/>
  <c r="H133" i="5"/>
  <c r="H127" i="5"/>
  <c r="H128" i="5"/>
  <c r="H126" i="5"/>
  <c r="H131" i="5"/>
  <c r="H130" i="5"/>
  <c r="H132" i="5"/>
  <c r="K93" i="4"/>
  <c r="H94" i="4" s="1"/>
  <c r="I94" i="4" s="1"/>
  <c r="N93" i="4"/>
  <c r="E94" i="6"/>
  <c r="X10" i="7"/>
  <c r="Y10" i="7" s="1"/>
  <c r="I11" i="7"/>
  <c r="H120" i="3"/>
  <c r="H112" i="3"/>
  <c r="H119" i="3"/>
  <c r="H111" i="3"/>
  <c r="H114" i="3"/>
  <c r="H116" i="3"/>
  <c r="H115" i="3"/>
  <c r="H110" i="3"/>
  <c r="H117" i="3"/>
  <c r="H121" i="3"/>
  <c r="H118" i="3"/>
  <c r="H113" i="3"/>
  <c r="O110" i="5" l="1"/>
  <c r="P110" i="5"/>
  <c r="Q110" i="5"/>
  <c r="K111" i="5" s="1"/>
  <c r="N111" i="5" s="1"/>
  <c r="O111" i="5" s="1"/>
  <c r="I53" i="6"/>
  <c r="J53" i="6" s="1"/>
  <c r="D54" i="6" s="1"/>
  <c r="N53" i="6"/>
  <c r="E58" i="6"/>
  <c r="N57" i="4"/>
  <c r="O57" i="4" s="1"/>
  <c r="K57" i="4"/>
  <c r="H58" i="4" s="1"/>
  <c r="I58" i="4" s="1"/>
  <c r="N81" i="4"/>
  <c r="K81" i="4"/>
  <c r="H82" i="4" s="1"/>
  <c r="I82" i="4" s="1"/>
  <c r="E82" i="6"/>
  <c r="K94" i="4"/>
  <c r="H95" i="4" s="1"/>
  <c r="I95" i="4" s="1"/>
  <c r="N94" i="4"/>
  <c r="E95" i="6"/>
  <c r="E12" i="7"/>
  <c r="K70" i="4"/>
  <c r="H71" i="4" s="1"/>
  <c r="I71" i="4" s="1"/>
  <c r="N70" i="4"/>
  <c r="E71" i="6"/>
  <c r="J116" i="3"/>
  <c r="J117" i="3"/>
  <c r="J118" i="3"/>
  <c r="J111" i="3"/>
  <c r="J119" i="3"/>
  <c r="J110" i="3"/>
  <c r="J112" i="3"/>
  <c r="J120" i="3"/>
  <c r="J113" i="3"/>
  <c r="J121" i="3"/>
  <c r="J114" i="3"/>
  <c r="J115" i="3"/>
  <c r="K106" i="4"/>
  <c r="H107" i="4" s="1"/>
  <c r="I107" i="4" s="1"/>
  <c r="N106" i="4"/>
  <c r="E107" i="6"/>
  <c r="J122" i="5"/>
  <c r="J124" i="5"/>
  <c r="J132" i="5"/>
  <c r="J126" i="5"/>
  <c r="J123" i="5"/>
  <c r="J127" i="5"/>
  <c r="J128" i="5"/>
  <c r="J129" i="5"/>
  <c r="J130" i="5"/>
  <c r="J131" i="5"/>
  <c r="J133" i="5"/>
  <c r="J125" i="5"/>
  <c r="R110" i="5"/>
  <c r="S110" i="5"/>
  <c r="N110" i="3" l="1"/>
  <c r="L111" i="3"/>
  <c r="Q111" i="5"/>
  <c r="L112" i="5"/>
  <c r="N122" i="5"/>
  <c r="L123" i="5"/>
  <c r="P111" i="5"/>
  <c r="K58" i="4"/>
  <c r="H59" i="4" s="1"/>
  <c r="I59" i="4" s="1"/>
  <c r="N58" i="4"/>
  <c r="O58" i="4" s="1"/>
  <c r="E59" i="6"/>
  <c r="F54" i="6"/>
  <c r="G54" i="6" s="1"/>
  <c r="K54" i="6"/>
  <c r="L54" i="6" s="1"/>
  <c r="K82" i="4"/>
  <c r="H83" i="4" s="1"/>
  <c r="I83" i="4" s="1"/>
  <c r="E83" i="6"/>
  <c r="N82" i="4"/>
  <c r="K71" i="4"/>
  <c r="H72" i="4" s="1"/>
  <c r="I72" i="4" s="1"/>
  <c r="N71" i="4"/>
  <c r="E72" i="6"/>
  <c r="I12" i="7"/>
  <c r="H124" i="3"/>
  <c r="H129" i="3"/>
  <c r="H125" i="3"/>
  <c r="H132" i="3"/>
  <c r="H126" i="3"/>
  <c r="H122" i="3"/>
  <c r="H123" i="3"/>
  <c r="H130" i="3"/>
  <c r="H128" i="3"/>
  <c r="H131" i="3"/>
  <c r="H127" i="3"/>
  <c r="H133" i="3"/>
  <c r="K107" i="4"/>
  <c r="H108" i="4" s="1"/>
  <c r="I108" i="4" s="1"/>
  <c r="N107" i="4"/>
  <c r="E108" i="6"/>
  <c r="K95" i="4"/>
  <c r="H96" i="4" s="1"/>
  <c r="I96" i="4" s="1"/>
  <c r="N95" i="4"/>
  <c r="E96" i="6"/>
  <c r="O110" i="3" l="1"/>
  <c r="P110" i="3"/>
  <c r="R110" i="3" s="1"/>
  <c r="Q110" i="3"/>
  <c r="K111" i="3" s="1"/>
  <c r="L112" i="3" s="1"/>
  <c r="O122" i="5"/>
  <c r="P122" i="5"/>
  <c r="Q122" i="5"/>
  <c r="K123" i="5" s="1"/>
  <c r="H54" i="6"/>
  <c r="M54" i="6"/>
  <c r="N59" i="4"/>
  <c r="O59" i="4" s="1"/>
  <c r="E60" i="6"/>
  <c r="K59" i="4"/>
  <c r="H60" i="4" s="1"/>
  <c r="I60" i="4" s="1"/>
  <c r="N83" i="4"/>
  <c r="K83" i="4"/>
  <c r="H84" i="4" s="1"/>
  <c r="I84" i="4" s="1"/>
  <c r="E84" i="6"/>
  <c r="J126" i="3"/>
  <c r="J127" i="3"/>
  <c r="J128" i="3"/>
  <c r="J129" i="3"/>
  <c r="J130" i="3"/>
  <c r="J123" i="3"/>
  <c r="J131" i="3"/>
  <c r="J122" i="3"/>
  <c r="J124" i="3"/>
  <c r="J132" i="3"/>
  <c r="J125" i="3"/>
  <c r="J133" i="3"/>
  <c r="K112" i="5"/>
  <c r="L113" i="5" s="1"/>
  <c r="K72" i="4"/>
  <c r="H73" i="4" s="1"/>
  <c r="I73" i="4" s="1"/>
  <c r="N72" i="4"/>
  <c r="E73" i="6"/>
  <c r="R122" i="5"/>
  <c r="K108" i="4"/>
  <c r="H109" i="4" s="1"/>
  <c r="I109" i="4" s="1"/>
  <c r="E109" i="6"/>
  <c r="N108" i="4"/>
  <c r="K96" i="4"/>
  <c r="H97" i="4" s="1"/>
  <c r="I97" i="4" s="1"/>
  <c r="E97" i="6"/>
  <c r="N96" i="4"/>
  <c r="N122" i="3" l="1"/>
  <c r="L123" i="3"/>
  <c r="S110" i="3"/>
  <c r="N111" i="3"/>
  <c r="Q111" i="3" s="1"/>
  <c r="N123" i="5"/>
  <c r="Q123" i="5"/>
  <c r="L124" i="5"/>
  <c r="E61" i="6"/>
  <c r="N60" i="4"/>
  <c r="O60" i="4" s="1"/>
  <c r="K60" i="4"/>
  <c r="H61" i="4" s="1"/>
  <c r="I61" i="4" s="1"/>
  <c r="N54" i="6"/>
  <c r="I54" i="6"/>
  <c r="J54" i="6" s="1"/>
  <c r="D55" i="6" s="1"/>
  <c r="K84" i="4"/>
  <c r="H85" i="4" s="1"/>
  <c r="I85" i="4" s="1"/>
  <c r="N84" i="4"/>
  <c r="E85" i="6"/>
  <c r="K97" i="4"/>
  <c r="H98" i="4" s="1"/>
  <c r="I98" i="4" s="1"/>
  <c r="E98" i="6"/>
  <c r="N97" i="4"/>
  <c r="N112" i="5"/>
  <c r="Q112" i="5" s="1"/>
  <c r="K109" i="4"/>
  <c r="H110" i="4" s="1"/>
  <c r="I110" i="4" s="1"/>
  <c r="N109" i="4"/>
  <c r="E110" i="6"/>
  <c r="K73" i="4"/>
  <c r="H74" i="4" s="1"/>
  <c r="I74" i="4" s="1"/>
  <c r="N73" i="4"/>
  <c r="E74" i="6"/>
  <c r="S111" i="5"/>
  <c r="R111" i="5"/>
  <c r="O111" i="3" l="1"/>
  <c r="P111" i="3"/>
  <c r="O122" i="3"/>
  <c r="P122" i="3"/>
  <c r="Q122" i="3"/>
  <c r="K123" i="3" s="1"/>
  <c r="O123" i="5"/>
  <c r="P123" i="5"/>
  <c r="O112" i="5"/>
  <c r="P112" i="5"/>
  <c r="K55" i="6"/>
  <c r="L55" i="6" s="1"/>
  <c r="F55" i="6"/>
  <c r="G55" i="6" s="1"/>
  <c r="K61" i="4"/>
  <c r="H62" i="4" s="1"/>
  <c r="I62" i="4" s="1"/>
  <c r="E62" i="6"/>
  <c r="N61" i="4"/>
  <c r="O61" i="4" s="1"/>
  <c r="N85" i="4"/>
  <c r="E86" i="6"/>
  <c r="K85" i="4"/>
  <c r="H86" i="4" s="1"/>
  <c r="I86" i="4" s="1"/>
  <c r="N98" i="4"/>
  <c r="J98" i="4"/>
  <c r="T9" i="9" s="1"/>
  <c r="E99" i="6"/>
  <c r="K112" i="3"/>
  <c r="K124" i="5"/>
  <c r="R122" i="3"/>
  <c r="N74" i="4"/>
  <c r="J74" i="4"/>
  <c r="T7" i="9" s="1"/>
  <c r="E75" i="6"/>
  <c r="N110" i="4"/>
  <c r="E111" i="6"/>
  <c r="J110" i="4"/>
  <c r="T10" i="9" s="1"/>
  <c r="L113" i="3" l="1"/>
  <c r="N123" i="3"/>
  <c r="Q123" i="3" s="1"/>
  <c r="L124" i="3"/>
  <c r="L125" i="5"/>
  <c r="J62" i="4"/>
  <c r="T6" i="9" s="1"/>
  <c r="U6" i="9" s="1"/>
  <c r="U7" i="9" s="1"/>
  <c r="E63" i="6"/>
  <c r="N62" i="4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H55" i="6"/>
  <c r="M55" i="6"/>
  <c r="N86" i="4"/>
  <c r="E87" i="6"/>
  <c r="J86" i="4"/>
  <c r="T8" i="9" s="1"/>
  <c r="R123" i="5"/>
  <c r="K113" i="5"/>
  <c r="N124" i="5"/>
  <c r="S111" i="3"/>
  <c r="R111" i="3"/>
  <c r="N112" i="3"/>
  <c r="O112" i="3" l="1"/>
  <c r="P112" i="3"/>
  <c r="O123" i="3"/>
  <c r="P123" i="3"/>
  <c r="Q112" i="3"/>
  <c r="L114" i="5"/>
  <c r="O124" i="5"/>
  <c r="P124" i="5"/>
  <c r="Q124" i="5"/>
  <c r="O86" i="4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N55" i="6"/>
  <c r="I55" i="6"/>
  <c r="J55" i="6" s="1"/>
  <c r="D56" i="6" s="1"/>
  <c r="F56" i="6" s="1"/>
  <c r="G56" i="6" s="1"/>
  <c r="H56" i="6" s="1"/>
  <c r="I56" i="6" s="1"/>
  <c r="U8" i="9"/>
  <c r="U9" i="9" s="1"/>
  <c r="U10" i="9" s="1"/>
  <c r="R112" i="5"/>
  <c r="S112" i="5"/>
  <c r="N113" i="5"/>
  <c r="K124" i="3"/>
  <c r="L125" i="3" l="1"/>
  <c r="O113" i="5"/>
  <c r="P113" i="5"/>
  <c r="Q113" i="5"/>
  <c r="K56" i="6"/>
  <c r="L56" i="6" s="1"/>
  <c r="J56" i="6"/>
  <c r="K113" i="3"/>
  <c r="N56" i="6"/>
  <c r="R123" i="3"/>
  <c r="N124" i="3"/>
  <c r="Q124" i="3" s="1"/>
  <c r="M56" i="6"/>
  <c r="K125" i="5"/>
  <c r="L114" i="3" l="1"/>
  <c r="O124" i="3"/>
  <c r="P124" i="3"/>
  <c r="L126" i="5"/>
  <c r="K114" i="5"/>
  <c r="R124" i="5"/>
  <c r="N125" i="5"/>
  <c r="R112" i="3"/>
  <c r="S112" i="3"/>
  <c r="N113" i="3"/>
  <c r="D57" i="6"/>
  <c r="O113" i="3" l="1"/>
  <c r="P113" i="3"/>
  <c r="Q113" i="3"/>
  <c r="O125" i="5"/>
  <c r="P125" i="5"/>
  <c r="L115" i="5"/>
  <c r="Q125" i="5"/>
  <c r="S113" i="5"/>
  <c r="R113" i="5"/>
  <c r="F57" i="6"/>
  <c r="G57" i="6" s="1"/>
  <c r="K57" i="6"/>
  <c r="N114" i="5"/>
  <c r="K125" i="3"/>
  <c r="L126" i="3" l="1"/>
  <c r="O114" i="5"/>
  <c r="P114" i="5"/>
  <c r="Q114" i="5"/>
  <c r="K114" i="3"/>
  <c r="L57" i="6"/>
  <c r="R124" i="3"/>
  <c r="M57" i="6"/>
  <c r="H57" i="6"/>
  <c r="N125" i="3"/>
  <c r="Q125" i="3" s="1"/>
  <c r="K126" i="5"/>
  <c r="Q114" i="3" l="1"/>
  <c r="L115" i="3"/>
  <c r="O125" i="3"/>
  <c r="P125" i="3"/>
  <c r="L127" i="5"/>
  <c r="N126" i="5"/>
  <c r="K115" i="5"/>
  <c r="N114" i="3"/>
  <c r="N57" i="6"/>
  <c r="I57" i="6"/>
  <c r="R125" i="5"/>
  <c r="R113" i="3"/>
  <c r="S113" i="3"/>
  <c r="O114" i="3" l="1"/>
  <c r="P114" i="3"/>
  <c r="O126" i="5"/>
  <c r="P126" i="5"/>
  <c r="L116" i="5"/>
  <c r="Q126" i="5"/>
  <c r="K126" i="3"/>
  <c r="J57" i="6"/>
  <c r="S114" i="5"/>
  <c r="R114" i="5"/>
  <c r="N115" i="5"/>
  <c r="L127" i="3" l="1"/>
  <c r="O115" i="5"/>
  <c r="P115" i="5"/>
  <c r="Q115" i="5"/>
  <c r="N126" i="3"/>
  <c r="D58" i="6"/>
  <c r="K127" i="5"/>
  <c r="K115" i="3"/>
  <c r="R125" i="3"/>
  <c r="O126" i="3" l="1"/>
  <c r="P126" i="3"/>
  <c r="L116" i="3"/>
  <c r="Q126" i="3"/>
  <c r="L128" i="5"/>
  <c r="S114" i="3"/>
  <c r="R114" i="3"/>
  <c r="R126" i="5"/>
  <c r="N115" i="3"/>
  <c r="Q115" i="3" s="1"/>
  <c r="N127" i="5"/>
  <c r="K58" i="6"/>
  <c r="L58" i="6" s="1"/>
  <c r="F58" i="6"/>
  <c r="G58" i="6" s="1"/>
  <c r="M58" i="6" s="1"/>
  <c r="K116" i="5"/>
  <c r="O115" i="3" l="1"/>
  <c r="P115" i="3"/>
  <c r="O127" i="5"/>
  <c r="P127" i="5"/>
  <c r="L117" i="5"/>
  <c r="Q127" i="5"/>
  <c r="H58" i="6"/>
  <c r="N58" i="6" s="1"/>
  <c r="R115" i="5"/>
  <c r="S115" i="5"/>
  <c r="N116" i="5"/>
  <c r="Q116" i="5" s="1"/>
  <c r="K127" i="3"/>
  <c r="L128" i="3" l="1"/>
  <c r="O116" i="5"/>
  <c r="P116" i="5"/>
  <c r="I58" i="6"/>
  <c r="J58" i="6" s="1"/>
  <c r="D59" i="6" s="1"/>
  <c r="F59" i="6" s="1"/>
  <c r="G59" i="6" s="1"/>
  <c r="M59" i="6" s="1"/>
  <c r="R126" i="3"/>
  <c r="N127" i="3"/>
  <c r="R127" i="5"/>
  <c r="K128" i="5"/>
  <c r="K116" i="3"/>
  <c r="O127" i="3" l="1"/>
  <c r="P127" i="3"/>
  <c r="L117" i="3"/>
  <c r="Q127" i="3"/>
  <c r="L129" i="5"/>
  <c r="K59" i="6"/>
  <c r="L59" i="6" s="1"/>
  <c r="N116" i="3"/>
  <c r="Q116" i="3" s="1"/>
  <c r="R115" i="3"/>
  <c r="S115" i="3"/>
  <c r="N128" i="5"/>
  <c r="H59" i="6"/>
  <c r="K117" i="5"/>
  <c r="O116" i="3" l="1"/>
  <c r="P116" i="3"/>
  <c r="O128" i="5"/>
  <c r="P128" i="5"/>
  <c r="R128" i="5" s="1"/>
  <c r="L118" i="5"/>
  <c r="Q128" i="5"/>
  <c r="S116" i="5"/>
  <c r="R116" i="5"/>
  <c r="R127" i="3"/>
  <c r="K128" i="3"/>
  <c r="N59" i="6"/>
  <c r="I59" i="6"/>
  <c r="J59" i="6" s="1"/>
  <c r="D60" i="6" s="1"/>
  <c r="N117" i="5"/>
  <c r="Q117" i="5" s="1"/>
  <c r="L129" i="3" l="1"/>
  <c r="O117" i="5"/>
  <c r="P117" i="5"/>
  <c r="K129" i="5"/>
  <c r="K60" i="6"/>
  <c r="L60" i="6" s="1"/>
  <c r="F60" i="6"/>
  <c r="G60" i="6" s="1"/>
  <c r="M60" i="6" s="1"/>
  <c r="N128" i="3"/>
  <c r="K117" i="3"/>
  <c r="O128" i="3" l="1"/>
  <c r="P128" i="3"/>
  <c r="L118" i="3"/>
  <c r="Q128" i="3"/>
  <c r="N129" i="5"/>
  <c r="Q129" i="5" s="1"/>
  <c r="K130" i="5" s="1"/>
  <c r="L130" i="5"/>
  <c r="R128" i="3"/>
  <c r="S116" i="3"/>
  <c r="R116" i="3"/>
  <c r="K118" i="5"/>
  <c r="N117" i="3"/>
  <c r="Q117" i="3" s="1"/>
  <c r="H60" i="6"/>
  <c r="O117" i="3" l="1"/>
  <c r="P117" i="3"/>
  <c r="P130" i="5"/>
  <c r="L131" i="5"/>
  <c r="Q118" i="5"/>
  <c r="L119" i="5"/>
  <c r="O129" i="5"/>
  <c r="P129" i="5"/>
  <c r="R129" i="5" s="1"/>
  <c r="K129" i="3"/>
  <c r="N130" i="5"/>
  <c r="O130" i="5" s="1"/>
  <c r="N118" i="5"/>
  <c r="I60" i="6"/>
  <c r="J60" i="6" s="1"/>
  <c r="D61" i="6" s="1"/>
  <c r="N60" i="6"/>
  <c r="S117" i="5"/>
  <c r="R117" i="5"/>
  <c r="N129" i="3" l="1"/>
  <c r="Q129" i="3"/>
  <c r="L130" i="3"/>
  <c r="R130" i="5"/>
  <c r="O118" i="5"/>
  <c r="P118" i="5"/>
  <c r="Q130" i="5"/>
  <c r="K131" i="5" s="1"/>
  <c r="K61" i="6"/>
  <c r="L61" i="6" s="1"/>
  <c r="F61" i="6"/>
  <c r="G61" i="6" s="1"/>
  <c r="M61" i="6" s="1"/>
  <c r="K118" i="3"/>
  <c r="K130" i="3"/>
  <c r="L131" i="3" l="1"/>
  <c r="L119" i="3"/>
  <c r="O129" i="3"/>
  <c r="P129" i="3"/>
  <c r="R129" i="3" s="1"/>
  <c r="L132" i="5"/>
  <c r="N130" i="3"/>
  <c r="O130" i="3" s="1"/>
  <c r="N118" i="3"/>
  <c r="Q118" i="3" s="1"/>
  <c r="H61" i="6"/>
  <c r="K119" i="5"/>
  <c r="S117" i="3"/>
  <c r="R117" i="3"/>
  <c r="N131" i="5"/>
  <c r="Q130" i="3" l="1"/>
  <c r="O118" i="3"/>
  <c r="P118" i="3"/>
  <c r="P130" i="3"/>
  <c r="R130" i="3" s="1"/>
  <c r="L132" i="3"/>
  <c r="L120" i="5"/>
  <c r="O131" i="5"/>
  <c r="P131" i="5"/>
  <c r="R131" i="5" s="1"/>
  <c r="Q131" i="5"/>
  <c r="K132" i="5" s="1"/>
  <c r="K131" i="3"/>
  <c r="N119" i="5"/>
  <c r="R118" i="5"/>
  <c r="S118" i="5"/>
  <c r="N61" i="6"/>
  <c r="I61" i="6"/>
  <c r="J61" i="6" s="1"/>
  <c r="D62" i="6" s="1"/>
  <c r="L133" i="5" l="1"/>
  <c r="O119" i="5"/>
  <c r="P119" i="5"/>
  <c r="Q119" i="5"/>
  <c r="N131" i="3"/>
  <c r="K119" i="3"/>
  <c r="F62" i="6"/>
  <c r="G62" i="6" s="1"/>
  <c r="M62" i="6" s="1"/>
  <c r="K62" i="6"/>
  <c r="L62" i="6" s="1"/>
  <c r="N132" i="5"/>
  <c r="O131" i="3" l="1"/>
  <c r="P131" i="3"/>
  <c r="Q131" i="3"/>
  <c r="L120" i="3"/>
  <c r="O132" i="5"/>
  <c r="P132" i="5"/>
  <c r="Q132" i="5"/>
  <c r="H62" i="6"/>
  <c r="N119" i="3"/>
  <c r="Q119" i="3" s="1"/>
  <c r="R118" i="3"/>
  <c r="S118" i="3"/>
  <c r="K120" i="5"/>
  <c r="O119" i="3" l="1"/>
  <c r="P119" i="3"/>
  <c r="L121" i="5"/>
  <c r="R131" i="3"/>
  <c r="K132" i="3"/>
  <c r="N120" i="5"/>
  <c r="R119" i="5"/>
  <c r="S119" i="5"/>
  <c r="I62" i="6"/>
  <c r="J62" i="6" s="1"/>
  <c r="D63" i="6" s="1"/>
  <c r="N62" i="6"/>
  <c r="R132" i="5"/>
  <c r="K133" i="5"/>
  <c r="L133" i="3" l="1"/>
  <c r="O120" i="5"/>
  <c r="P120" i="5"/>
  <c r="Q120" i="5"/>
  <c r="F63" i="6"/>
  <c r="G63" i="6" s="1"/>
  <c r="M63" i="6" s="1"/>
  <c r="K63" i="6"/>
  <c r="L63" i="6" s="1"/>
  <c r="N133" i="5"/>
  <c r="N132" i="3"/>
  <c r="K120" i="3"/>
  <c r="L121" i="3" l="1"/>
  <c r="O132" i="3"/>
  <c r="P132" i="3"/>
  <c r="R132" i="3" s="1"/>
  <c r="Q132" i="3"/>
  <c r="O133" i="5"/>
  <c r="P133" i="5"/>
  <c r="Q133" i="5"/>
  <c r="H63" i="6"/>
  <c r="I63" i="6" s="1"/>
  <c r="J63" i="6" s="1"/>
  <c r="D64" i="6" s="1"/>
  <c r="Q6" i="9"/>
  <c r="S6" i="9"/>
  <c r="S119" i="3"/>
  <c r="R119" i="3"/>
  <c r="N120" i="3"/>
  <c r="K121" i="5"/>
  <c r="O120" i="3" l="1"/>
  <c r="P120" i="3"/>
  <c r="Q120" i="3"/>
  <c r="F12" i="8"/>
  <c r="D12" i="9"/>
  <c r="R133" i="5"/>
  <c r="K133" i="3"/>
  <c r="N63" i="6"/>
  <c r="K64" i="6"/>
  <c r="F64" i="6"/>
  <c r="G64" i="6" s="1"/>
  <c r="M64" i="6" s="1"/>
  <c r="S120" i="5"/>
  <c r="R120" i="5"/>
  <c r="N121" i="5"/>
  <c r="N133" i="3" l="1"/>
  <c r="Q133" i="3"/>
  <c r="O121" i="5"/>
  <c r="P121" i="5"/>
  <c r="Q121" i="5"/>
  <c r="L64" i="6"/>
  <c r="K121" i="3"/>
  <c r="H64" i="6"/>
  <c r="O133" i="3" l="1"/>
  <c r="P133" i="3"/>
  <c r="R133" i="3" s="1"/>
  <c r="Q121" i="3"/>
  <c r="C12" i="9"/>
  <c r="F12" i="7"/>
  <c r="F11" i="8"/>
  <c r="D11" i="9"/>
  <c r="N121" i="3"/>
  <c r="R120" i="3"/>
  <c r="S120" i="3"/>
  <c r="I64" i="6"/>
  <c r="J64" i="6" s="1"/>
  <c r="D65" i="6" s="1"/>
  <c r="N64" i="6"/>
  <c r="C11" i="9" l="1"/>
  <c r="F11" i="7"/>
  <c r="O121" i="3"/>
  <c r="P121" i="3"/>
  <c r="K65" i="6"/>
  <c r="F65" i="6"/>
  <c r="G65" i="6" s="1"/>
  <c r="M65" i="6" s="1"/>
  <c r="T11" i="8"/>
  <c r="U11" i="8" s="1"/>
  <c r="S121" i="5"/>
  <c r="R121" i="5"/>
  <c r="J11" i="9" l="1"/>
  <c r="S122" i="5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V11" i="8"/>
  <c r="W11" i="8" s="1"/>
  <c r="H65" i="6"/>
  <c r="L65" i="6"/>
  <c r="X11" i="8" l="1"/>
  <c r="H12" i="8" s="1"/>
  <c r="J12" i="9"/>
  <c r="T11" i="7"/>
  <c r="Z11" i="7"/>
  <c r="Z11" i="8" s="1" a="1"/>
  <c r="Z11" i="8" s="1"/>
  <c r="AA11" i="8" s="1"/>
  <c r="AB11" i="8" s="1"/>
  <c r="R121" i="3"/>
  <c r="S121" i="3"/>
  <c r="I65" i="6"/>
  <c r="J65" i="6" s="1"/>
  <c r="D66" i="6" s="1"/>
  <c r="N65" i="6"/>
  <c r="Y11" i="8" l="1"/>
  <c r="U11" i="7"/>
  <c r="V11" i="7" s="1"/>
  <c r="L11" i="8"/>
  <c r="M11" i="8" s="1"/>
  <c r="Z11" i="9" s="1"/>
  <c r="AG11" i="9"/>
  <c r="G11" i="8"/>
  <c r="K66" i="6"/>
  <c r="F66" i="6"/>
  <c r="G66" i="6" s="1"/>
  <c r="M66" i="6" s="1"/>
  <c r="S122" i="3"/>
  <c r="S123" i="3" s="1"/>
  <c r="S124" i="3" s="1"/>
  <c r="S125" i="3" s="1"/>
  <c r="S126" i="3" s="1"/>
  <c r="S127" i="3" s="1"/>
  <c r="S128" i="3" s="1"/>
  <c r="S129" i="3" s="1"/>
  <c r="S130" i="3" s="1"/>
  <c r="S131" i="3" s="1"/>
  <c r="S132" i="3" s="1"/>
  <c r="S133" i="3" s="1"/>
  <c r="I11" i="9"/>
  <c r="K11" i="9" s="1"/>
  <c r="AA11" i="7"/>
  <c r="K11" i="8" l="1"/>
  <c r="J12" i="8" s="1"/>
  <c r="AF11" i="9"/>
  <c r="L11" i="7"/>
  <c r="M11" i="7" s="1"/>
  <c r="Y11" i="9" s="1"/>
  <c r="G11" i="7"/>
  <c r="I12" i="9"/>
  <c r="K12" i="9" s="1"/>
  <c r="H66" i="6"/>
  <c r="W11" i="7"/>
  <c r="X11" i="7" s="1"/>
  <c r="L66" i="6"/>
  <c r="N12" i="8"/>
  <c r="AD11" i="9"/>
  <c r="H12" i="7" l="1"/>
  <c r="M11" i="9"/>
  <c r="Y11" i="7"/>
  <c r="K11" i="7"/>
  <c r="J12" i="7" s="1"/>
  <c r="E13" i="8"/>
  <c r="L11" i="9"/>
  <c r="N12" i="7"/>
  <c r="AC11" i="9"/>
  <c r="O13" i="8"/>
  <c r="P14" i="8" s="1"/>
  <c r="Q15" i="8" s="1"/>
  <c r="R16" i="8" s="1"/>
  <c r="N66" i="6"/>
  <c r="I66" i="6"/>
  <c r="J66" i="6" s="1"/>
  <c r="D67" i="6" s="1"/>
  <c r="N11" i="9" l="1"/>
  <c r="O13" i="7"/>
  <c r="K67" i="6"/>
  <c r="F67" i="6"/>
  <c r="G67" i="6" s="1"/>
  <c r="M67" i="6" s="1"/>
  <c r="E13" i="7"/>
  <c r="H142" i="5"/>
  <c r="H136" i="5"/>
  <c r="H145" i="5"/>
  <c r="H144" i="5"/>
  <c r="H141" i="5"/>
  <c r="H135" i="5"/>
  <c r="I13" i="8"/>
  <c r="H143" i="5"/>
  <c r="H140" i="5"/>
  <c r="H139" i="5"/>
  <c r="H134" i="5"/>
  <c r="H137" i="5"/>
  <c r="H138" i="5"/>
  <c r="L67" i="6" l="1"/>
  <c r="J139" i="5"/>
  <c r="J141" i="5"/>
  <c r="J142" i="5"/>
  <c r="J135" i="5"/>
  <c r="J145" i="5"/>
  <c r="J134" i="5"/>
  <c r="J137" i="5"/>
  <c r="J140" i="5"/>
  <c r="J138" i="5"/>
  <c r="J136" i="5"/>
  <c r="J143" i="5"/>
  <c r="J144" i="5"/>
  <c r="H134" i="3"/>
  <c r="H140" i="3"/>
  <c r="I13" i="7"/>
  <c r="H139" i="3"/>
  <c r="H144" i="3"/>
  <c r="H142" i="3"/>
  <c r="H136" i="3"/>
  <c r="H141" i="3"/>
  <c r="H135" i="3"/>
  <c r="H138" i="3"/>
  <c r="H137" i="3"/>
  <c r="H143" i="3"/>
  <c r="H145" i="3"/>
  <c r="H67" i="6"/>
  <c r="N134" i="5" l="1"/>
  <c r="L135" i="5"/>
  <c r="N67" i="6"/>
  <c r="I67" i="6"/>
  <c r="J67" i="6" s="1"/>
  <c r="D68" i="6" s="1"/>
  <c r="J140" i="3"/>
  <c r="J142" i="3"/>
  <c r="J135" i="3"/>
  <c r="J143" i="3"/>
  <c r="J139" i="3"/>
  <c r="J141" i="3"/>
  <c r="J144" i="3"/>
  <c r="J137" i="3"/>
  <c r="J136" i="3"/>
  <c r="J134" i="3"/>
  <c r="J138" i="3"/>
  <c r="J145" i="3"/>
  <c r="N134" i="3" l="1"/>
  <c r="L135" i="3"/>
  <c r="O134" i="5"/>
  <c r="P134" i="5"/>
  <c r="S134" i="5" s="1"/>
  <c r="Q134" i="5"/>
  <c r="K135" i="5" s="1"/>
  <c r="K68" i="6"/>
  <c r="F68" i="6"/>
  <c r="G68" i="6" s="1"/>
  <c r="M68" i="6" s="1"/>
  <c r="R134" i="5" l="1"/>
  <c r="O134" i="3"/>
  <c r="P134" i="3"/>
  <c r="R134" i="3" s="1"/>
  <c r="Q134" i="3"/>
  <c r="K135" i="3" s="1"/>
  <c r="L136" i="3" s="1"/>
  <c r="N135" i="5"/>
  <c r="Q135" i="5" s="1"/>
  <c r="L136" i="5"/>
  <c r="H68" i="6"/>
  <c r="L68" i="6"/>
  <c r="S134" i="3" l="1"/>
  <c r="N135" i="3"/>
  <c r="Q135" i="3" s="1"/>
  <c r="O135" i="5"/>
  <c r="P135" i="5"/>
  <c r="K136" i="5"/>
  <c r="L137" i="5" s="1"/>
  <c r="I68" i="6"/>
  <c r="J68" i="6" s="1"/>
  <c r="D69" i="6" s="1"/>
  <c r="N68" i="6"/>
  <c r="O135" i="3" l="1"/>
  <c r="P135" i="3"/>
  <c r="K136" i="3"/>
  <c r="F69" i="6"/>
  <c r="G69" i="6" s="1"/>
  <c r="M69" i="6" s="1"/>
  <c r="K69" i="6"/>
  <c r="L69" i="6" s="1"/>
  <c r="R135" i="5"/>
  <c r="S135" i="5"/>
  <c r="N136" i="5"/>
  <c r="L137" i="3" l="1"/>
  <c r="O136" i="5"/>
  <c r="P136" i="5"/>
  <c r="Q136" i="5"/>
  <c r="H69" i="6"/>
  <c r="N69" i="6" s="1"/>
  <c r="N136" i="3"/>
  <c r="Q136" i="3" s="1"/>
  <c r="S135" i="3"/>
  <c r="R135" i="3"/>
  <c r="O136" i="3" l="1"/>
  <c r="P136" i="3"/>
  <c r="I69" i="6"/>
  <c r="J69" i="6" s="1"/>
  <c r="D70" i="6" s="1"/>
  <c r="K70" i="6" s="1"/>
  <c r="L70" i="6" s="1"/>
  <c r="K137" i="5"/>
  <c r="L138" i="5" l="1"/>
  <c r="F70" i="6"/>
  <c r="G70" i="6" s="1"/>
  <c r="M70" i="6" s="1"/>
  <c r="S136" i="5"/>
  <c r="R136" i="5"/>
  <c r="N137" i="5"/>
  <c r="K137" i="3"/>
  <c r="L138" i="3" l="1"/>
  <c r="O137" i="5"/>
  <c r="P137" i="5"/>
  <c r="Q137" i="5"/>
  <c r="H70" i="6"/>
  <c r="N70" i="6" s="1"/>
  <c r="R136" i="3"/>
  <c r="S136" i="3"/>
  <c r="N137" i="3"/>
  <c r="Q137" i="3" s="1"/>
  <c r="O137" i="3" l="1"/>
  <c r="P137" i="3"/>
  <c r="I70" i="6"/>
  <c r="J70" i="6" s="1"/>
  <c r="D71" i="6" s="1"/>
  <c r="K71" i="6" s="1"/>
  <c r="L71" i="6" s="1"/>
  <c r="K138" i="5"/>
  <c r="L139" i="5" l="1"/>
  <c r="F71" i="6"/>
  <c r="G71" i="6" s="1"/>
  <c r="M71" i="6" s="1"/>
  <c r="K138" i="3"/>
  <c r="S137" i="5"/>
  <c r="R137" i="5"/>
  <c r="N138" i="5"/>
  <c r="Q138" i="5" s="1"/>
  <c r="L139" i="3" l="1"/>
  <c r="O138" i="5"/>
  <c r="P138" i="5"/>
  <c r="H71" i="6"/>
  <c r="N71" i="6" s="1"/>
  <c r="R137" i="3"/>
  <c r="S137" i="3"/>
  <c r="N138" i="3"/>
  <c r="O138" i="3" l="1"/>
  <c r="P138" i="3"/>
  <c r="Q138" i="3"/>
  <c r="I71" i="6"/>
  <c r="J71" i="6" s="1"/>
  <c r="D72" i="6" s="1"/>
  <c r="K72" i="6" s="1"/>
  <c r="L72" i="6" s="1"/>
  <c r="K139" i="5"/>
  <c r="L140" i="5" l="1"/>
  <c r="F72" i="6"/>
  <c r="G72" i="6" s="1"/>
  <c r="M72" i="6" s="1"/>
  <c r="N139" i="5"/>
  <c r="R138" i="5"/>
  <c r="S138" i="5"/>
  <c r="K139" i="3"/>
  <c r="L140" i="3" l="1"/>
  <c r="O139" i="5"/>
  <c r="P139" i="5"/>
  <c r="Q139" i="5"/>
  <c r="H72" i="6"/>
  <c r="N72" i="6" s="1"/>
  <c r="R138" i="3"/>
  <c r="S138" i="3"/>
  <c r="N139" i="3"/>
  <c r="O139" i="3" l="1"/>
  <c r="P139" i="3"/>
  <c r="Q139" i="3"/>
  <c r="I72" i="6"/>
  <c r="J72" i="6" s="1"/>
  <c r="D73" i="6" s="1"/>
  <c r="K73" i="6" s="1"/>
  <c r="L73" i="6" s="1"/>
  <c r="K140" i="5"/>
  <c r="L141" i="5" l="1"/>
  <c r="F73" i="6"/>
  <c r="G73" i="6" s="1"/>
  <c r="M73" i="6" s="1"/>
  <c r="S139" i="5"/>
  <c r="R139" i="5"/>
  <c r="K140" i="3"/>
  <c r="N140" i="5"/>
  <c r="L141" i="3" l="1"/>
  <c r="O140" i="5"/>
  <c r="P140" i="5"/>
  <c r="Q140" i="5"/>
  <c r="H73" i="6"/>
  <c r="N140" i="3"/>
  <c r="S139" i="3"/>
  <c r="R139" i="3"/>
  <c r="O140" i="3" l="1"/>
  <c r="P140" i="3"/>
  <c r="Q140" i="3"/>
  <c r="N73" i="6"/>
  <c r="I73" i="6"/>
  <c r="J73" i="6" s="1"/>
  <c r="D74" i="6" s="1"/>
  <c r="K141" i="5"/>
  <c r="L142" i="5" l="1"/>
  <c r="K74" i="6"/>
  <c r="L74" i="6" s="1"/>
  <c r="F74" i="6"/>
  <c r="G74" i="6" s="1"/>
  <c r="S140" i="5"/>
  <c r="R140" i="5"/>
  <c r="K141" i="3"/>
  <c r="N141" i="5"/>
  <c r="L142" i="3" l="1"/>
  <c r="O141" i="5"/>
  <c r="P141" i="5"/>
  <c r="Q141" i="5"/>
  <c r="M74" i="6"/>
  <c r="H74" i="6"/>
  <c r="N141" i="3"/>
  <c r="S140" i="3"/>
  <c r="R140" i="3"/>
  <c r="O141" i="3" l="1"/>
  <c r="P141" i="3"/>
  <c r="Q141" i="3"/>
  <c r="N74" i="6"/>
  <c r="I74" i="6"/>
  <c r="J74" i="6" s="1"/>
  <c r="D75" i="6" s="1"/>
  <c r="K142" i="5"/>
  <c r="L143" i="5" l="1"/>
  <c r="F75" i="6"/>
  <c r="G75" i="6" s="1"/>
  <c r="K75" i="6"/>
  <c r="L75" i="6" s="1"/>
  <c r="S7" i="9" s="1"/>
  <c r="R141" i="5"/>
  <c r="S141" i="5"/>
  <c r="N142" i="5"/>
  <c r="K142" i="3"/>
  <c r="Q142" i="3" l="1"/>
  <c r="L143" i="3"/>
  <c r="O142" i="5"/>
  <c r="P142" i="5"/>
  <c r="Q142" i="5"/>
  <c r="H75" i="6"/>
  <c r="M75" i="6"/>
  <c r="N142" i="3"/>
  <c r="R141" i="3"/>
  <c r="S141" i="3"/>
  <c r="O142" i="3" l="1"/>
  <c r="P142" i="3"/>
  <c r="N75" i="6"/>
  <c r="I75" i="6"/>
  <c r="J75" i="6" s="1"/>
  <c r="K143" i="5"/>
  <c r="L144" i="5" l="1"/>
  <c r="D76" i="6"/>
  <c r="Q7" i="9"/>
  <c r="S142" i="5"/>
  <c r="R142" i="5"/>
  <c r="N143" i="5"/>
  <c r="Q143" i="5" s="1"/>
  <c r="K143" i="3"/>
  <c r="Q143" i="3" l="1"/>
  <c r="L144" i="3"/>
  <c r="O143" i="5"/>
  <c r="P143" i="5"/>
  <c r="K76" i="6"/>
  <c r="L76" i="6" s="1"/>
  <c r="F76" i="6"/>
  <c r="G76" i="6" s="1"/>
  <c r="N143" i="3"/>
  <c r="S142" i="3"/>
  <c r="R142" i="3"/>
  <c r="O143" i="3" l="1"/>
  <c r="P143" i="3"/>
  <c r="M76" i="6"/>
  <c r="H76" i="6"/>
  <c r="K144" i="5"/>
  <c r="L145" i="5" l="1"/>
  <c r="I76" i="6"/>
  <c r="J76" i="6" s="1"/>
  <c r="D77" i="6" s="1"/>
  <c r="N76" i="6"/>
  <c r="N144" i="5"/>
  <c r="Q144" i="5" s="1"/>
  <c r="S143" i="5"/>
  <c r="R143" i="5"/>
  <c r="K144" i="3"/>
  <c r="L145" i="3" l="1"/>
  <c r="O144" i="5"/>
  <c r="P144" i="5"/>
  <c r="F77" i="6"/>
  <c r="G77" i="6" s="1"/>
  <c r="K77" i="6"/>
  <c r="L77" i="6" s="1"/>
  <c r="R143" i="3"/>
  <c r="S143" i="3"/>
  <c r="N144" i="3"/>
  <c r="O144" i="3" l="1"/>
  <c r="P144" i="3"/>
  <c r="Q144" i="3"/>
  <c r="M77" i="6"/>
  <c r="H77" i="6"/>
  <c r="K145" i="5"/>
  <c r="I77" i="6" l="1"/>
  <c r="J77" i="6" s="1"/>
  <c r="D78" i="6" s="1"/>
  <c r="N77" i="6"/>
  <c r="N145" i="5"/>
  <c r="K145" i="3"/>
  <c r="S144" i="5"/>
  <c r="R144" i="5"/>
  <c r="O145" i="5" l="1"/>
  <c r="P145" i="5"/>
  <c r="Q145" i="5"/>
  <c r="F78" i="6"/>
  <c r="G78" i="6" s="1"/>
  <c r="M78" i="6" s="1"/>
  <c r="K78" i="6"/>
  <c r="L78" i="6" s="1"/>
  <c r="N145" i="3"/>
  <c r="R144" i="3"/>
  <c r="S144" i="3"/>
  <c r="O145" i="3" l="1"/>
  <c r="P145" i="3"/>
  <c r="Q145" i="3"/>
  <c r="F13" i="8"/>
  <c r="D13" i="9"/>
  <c r="H78" i="6"/>
  <c r="C13" i="9" l="1"/>
  <c r="F13" i="7"/>
  <c r="N78" i="6"/>
  <c r="I78" i="6"/>
  <c r="J78" i="6" s="1"/>
  <c r="D79" i="6" s="1"/>
  <c r="E119" i="4"/>
  <c r="E122" i="4"/>
  <c r="E116" i="4"/>
  <c r="E120" i="4"/>
  <c r="E113" i="4"/>
  <c r="E121" i="4"/>
  <c r="E118" i="4"/>
  <c r="E117" i="4"/>
  <c r="E114" i="4"/>
  <c r="E112" i="4"/>
  <c r="E115" i="4"/>
  <c r="E111" i="4"/>
  <c r="E132" i="4"/>
  <c r="E133" i="4"/>
  <c r="E128" i="4"/>
  <c r="E123" i="4"/>
  <c r="E131" i="4"/>
  <c r="E124" i="4"/>
  <c r="E130" i="4"/>
  <c r="E129" i="4"/>
  <c r="E125" i="4"/>
  <c r="E127" i="4"/>
  <c r="E126" i="4"/>
  <c r="E134" i="4"/>
  <c r="E143" i="4"/>
  <c r="E144" i="4"/>
  <c r="E140" i="4"/>
  <c r="E135" i="4"/>
  <c r="E138" i="4"/>
  <c r="E146" i="4"/>
  <c r="E139" i="4"/>
  <c r="E136" i="4"/>
  <c r="E137" i="4"/>
  <c r="E145" i="4"/>
  <c r="E141" i="4"/>
  <c r="E142" i="4"/>
  <c r="R145" i="5"/>
  <c r="S145" i="5"/>
  <c r="K79" i="6" l="1"/>
  <c r="L79" i="6" s="1"/>
  <c r="F79" i="6"/>
  <c r="G79" i="6" s="1"/>
  <c r="M79" i="6" s="1"/>
  <c r="T12" i="7"/>
  <c r="Z12" i="7"/>
  <c r="Z12" i="8" s="1" a="1"/>
  <c r="Z12" i="8" s="1"/>
  <c r="AA12" i="8" s="1"/>
  <c r="L117" i="4"/>
  <c r="L121" i="4"/>
  <c r="L122" i="4"/>
  <c r="L111" i="4"/>
  <c r="L114" i="4"/>
  <c r="L118" i="4"/>
  <c r="L115" i="4"/>
  <c r="L119" i="4"/>
  <c r="F11" i="9"/>
  <c r="L112" i="4"/>
  <c r="L120" i="4"/>
  <c r="L113" i="4"/>
  <c r="L116" i="4"/>
  <c r="L126" i="4"/>
  <c r="L130" i="4"/>
  <c r="L128" i="4"/>
  <c r="L127" i="4"/>
  <c r="L129" i="4"/>
  <c r="L124" i="4"/>
  <c r="L133" i="4"/>
  <c r="L134" i="4"/>
  <c r="L131" i="4"/>
  <c r="L125" i="4"/>
  <c r="F12" i="9"/>
  <c r="L123" i="4"/>
  <c r="L132" i="4"/>
  <c r="L142" i="4"/>
  <c r="L141" i="4"/>
  <c r="L143" i="4"/>
  <c r="F13" i="9"/>
  <c r="L136" i="4"/>
  <c r="L135" i="4"/>
  <c r="L138" i="4"/>
  <c r="L139" i="4"/>
  <c r="L146" i="4"/>
  <c r="L145" i="4"/>
  <c r="L144" i="4"/>
  <c r="L140" i="4"/>
  <c r="L137" i="4"/>
  <c r="R145" i="3"/>
  <c r="S145" i="3"/>
  <c r="Z13" i="7"/>
  <c r="Z13" i="8" s="1" a="1"/>
  <c r="Z13" i="8" s="1"/>
  <c r="AA13" i="8" s="1"/>
  <c r="J13" i="9"/>
  <c r="H79" i="6" l="1"/>
  <c r="I79" i="6" s="1"/>
  <c r="J79" i="6" s="1"/>
  <c r="D80" i="6" s="1"/>
  <c r="K80" i="6" s="1"/>
  <c r="L80" i="6" s="1"/>
  <c r="AA13" i="7"/>
  <c r="L13" i="7" s="1"/>
  <c r="M13" i="7" s="1"/>
  <c r="Y13" i="9" s="1"/>
  <c r="U12" i="7"/>
  <c r="V12" i="7" s="1"/>
  <c r="AA12" i="7"/>
  <c r="I13" i="9"/>
  <c r="C47" i="2"/>
  <c r="AF13" i="9" l="1"/>
  <c r="N79" i="6"/>
  <c r="F80" i="6"/>
  <c r="G80" i="6" s="1"/>
  <c r="M80" i="6" s="1"/>
  <c r="G13" i="7"/>
  <c r="AC13" i="9" s="1"/>
  <c r="W12" i="7"/>
  <c r="I14" i="9"/>
  <c r="K13" i="9"/>
  <c r="L12" i="7"/>
  <c r="M12" i="7" s="1"/>
  <c r="Y12" i="9" s="1"/>
  <c r="AF12" i="9"/>
  <c r="G12" i="7"/>
  <c r="C48" i="2"/>
  <c r="H80" i="6" l="1"/>
  <c r="N80" i="6" s="1"/>
  <c r="I15" i="9"/>
  <c r="K12" i="7"/>
  <c r="X12" i="7"/>
  <c r="Y12" i="7" s="1"/>
  <c r="H13" i="7" s="1"/>
  <c r="N13" i="7"/>
  <c r="T13" i="7" s="1"/>
  <c r="AC12" i="9"/>
  <c r="I80" i="6" l="1"/>
  <c r="J80" i="6" s="1"/>
  <c r="D81" i="6" s="1"/>
  <c r="F81" i="6" s="1"/>
  <c r="G81" i="6" s="1"/>
  <c r="U13" i="7"/>
  <c r="V13" i="7" s="1"/>
  <c r="I16" i="9"/>
  <c r="L12" i="9"/>
  <c r="J13" i="7"/>
  <c r="K13" i="7" s="1"/>
  <c r="L13" i="9" s="1"/>
  <c r="K81" i="6" l="1"/>
  <c r="L81" i="6" s="1"/>
  <c r="M81" i="6"/>
  <c r="H81" i="6"/>
  <c r="W13" i="7"/>
  <c r="X13" i="7" s="1"/>
  <c r="Y13" i="7" s="1"/>
  <c r="L14" i="9"/>
  <c r="N81" i="6" l="1"/>
  <c r="I81" i="6"/>
  <c r="J81" i="6" s="1"/>
  <c r="D82" i="6" s="1"/>
  <c r="L15" i="9"/>
  <c r="K82" i="6" l="1"/>
  <c r="L82" i="6" s="1"/>
  <c r="F82" i="6"/>
  <c r="G82" i="6" s="1"/>
  <c r="L16" i="9"/>
  <c r="M82" i="6" l="1"/>
  <c r="H82" i="6"/>
  <c r="N82" i="6" l="1"/>
  <c r="I82" i="6"/>
  <c r="J82" i="6" s="1"/>
  <c r="D83" i="6" s="1"/>
  <c r="K83" i="6" l="1"/>
  <c r="L83" i="6" s="1"/>
  <c r="F83" i="6"/>
  <c r="G83" i="6" s="1"/>
  <c r="M83" i="6" l="1"/>
  <c r="H83" i="6"/>
  <c r="N83" i="6" l="1"/>
  <c r="I83" i="6"/>
  <c r="J83" i="6" s="1"/>
  <c r="D84" i="6" s="1"/>
  <c r="F84" i="6" l="1"/>
  <c r="G84" i="6" s="1"/>
  <c r="M84" i="6" s="1"/>
  <c r="K84" i="6"/>
  <c r="L84" i="6" s="1"/>
  <c r="H84" i="6" l="1"/>
  <c r="N84" i="6" l="1"/>
  <c r="I84" i="6"/>
  <c r="J84" i="6" s="1"/>
  <c r="D85" i="6" s="1"/>
  <c r="K85" i="6" l="1"/>
  <c r="L85" i="6" s="1"/>
  <c r="F85" i="6"/>
  <c r="G85" i="6" s="1"/>
  <c r="M85" i="6" s="1"/>
  <c r="H85" i="6" l="1"/>
  <c r="I85" i="6" l="1"/>
  <c r="J85" i="6" s="1"/>
  <c r="D86" i="6" s="1"/>
  <c r="N85" i="6"/>
  <c r="F86" i="6" l="1"/>
  <c r="G86" i="6" s="1"/>
  <c r="K86" i="6"/>
  <c r="L86" i="6" s="1"/>
  <c r="M86" i="6" l="1"/>
  <c r="H86" i="6"/>
  <c r="N86" i="6" l="1"/>
  <c r="I86" i="6"/>
  <c r="J86" i="6" s="1"/>
  <c r="D87" i="6" s="1"/>
  <c r="F87" i="6" l="1"/>
  <c r="G87" i="6" s="1"/>
  <c r="M87" i="6" s="1"/>
  <c r="K87" i="6"/>
  <c r="L87" i="6" s="1"/>
  <c r="S8" i="9" s="1"/>
  <c r="H87" i="6" l="1"/>
  <c r="N87" i="6" l="1"/>
  <c r="I87" i="6"/>
  <c r="J87" i="6" s="1"/>
  <c r="D88" i="6" l="1"/>
  <c r="Q8" i="9"/>
  <c r="K88" i="6" l="1"/>
  <c r="L88" i="6" s="1"/>
  <c r="F88" i="6"/>
  <c r="G88" i="6" s="1"/>
  <c r="M88" i="6" s="1"/>
  <c r="H88" i="6" l="1"/>
  <c r="N88" i="6" s="1"/>
  <c r="I88" i="6" l="1"/>
  <c r="J88" i="6" s="1"/>
  <c r="D89" i="6" s="1"/>
  <c r="K89" i="6" s="1"/>
  <c r="L89" i="6" s="1"/>
  <c r="F89" i="6" l="1"/>
  <c r="G89" i="6" s="1"/>
  <c r="M89" i="6" s="1"/>
  <c r="H89" i="6" l="1"/>
  <c r="N89" i="6" s="1"/>
  <c r="I89" i="6" l="1"/>
  <c r="J89" i="6" s="1"/>
  <c r="D90" i="6" s="1"/>
  <c r="F90" i="6" s="1"/>
  <c r="G90" i="6" s="1"/>
  <c r="M90" i="6" s="1"/>
  <c r="K90" i="6" l="1"/>
  <c r="L90" i="6" s="1"/>
  <c r="H90" i="6"/>
  <c r="I90" i="6" l="1"/>
  <c r="J90" i="6" s="1"/>
  <c r="D91" i="6" s="1"/>
  <c r="N90" i="6"/>
  <c r="F91" i="6" l="1"/>
  <c r="G91" i="6" s="1"/>
  <c r="K91" i="6"/>
  <c r="L91" i="6" s="1"/>
  <c r="M91" i="6" l="1"/>
  <c r="H91" i="6"/>
  <c r="I91" i="6" l="1"/>
  <c r="J91" i="6" s="1"/>
  <c r="D92" i="6" s="1"/>
  <c r="N91" i="6"/>
  <c r="F92" i="6" l="1"/>
  <c r="G92" i="6" s="1"/>
  <c r="K92" i="6"/>
  <c r="L92" i="6" s="1"/>
  <c r="M92" i="6" l="1"/>
  <c r="H92" i="6"/>
  <c r="N92" i="6" l="1"/>
  <c r="I92" i="6"/>
  <c r="J92" i="6" s="1"/>
  <c r="D93" i="6" s="1"/>
  <c r="F93" i="6" l="1"/>
  <c r="G93" i="6" s="1"/>
  <c r="M93" i="6" s="1"/>
  <c r="K93" i="6"/>
  <c r="L93" i="6" s="1"/>
  <c r="H93" i="6" l="1"/>
  <c r="I93" i="6" l="1"/>
  <c r="J93" i="6" s="1"/>
  <c r="D94" i="6" s="1"/>
  <c r="N93" i="6"/>
  <c r="F94" i="6" l="1"/>
  <c r="G94" i="6" s="1"/>
  <c r="K94" i="6"/>
  <c r="L94" i="6" s="1"/>
  <c r="M94" i="6" l="1"/>
  <c r="H94" i="6"/>
  <c r="I94" i="6" l="1"/>
  <c r="J94" i="6" s="1"/>
  <c r="D95" i="6" s="1"/>
  <c r="N94" i="6"/>
  <c r="K95" i="6" l="1"/>
  <c r="L95" i="6" s="1"/>
  <c r="F95" i="6"/>
  <c r="G95" i="6" s="1"/>
  <c r="M95" i="6" l="1"/>
  <c r="H95" i="6"/>
  <c r="N95" i="6" l="1"/>
  <c r="I95" i="6"/>
  <c r="J95" i="6" s="1"/>
  <c r="D96" i="6" s="1"/>
  <c r="K96" i="6" l="1"/>
  <c r="L96" i="6" s="1"/>
  <c r="F96" i="6"/>
  <c r="G96" i="6" s="1"/>
  <c r="M96" i="6" l="1"/>
  <c r="H96" i="6"/>
  <c r="N96" i="6" l="1"/>
  <c r="I96" i="6"/>
  <c r="J96" i="6" s="1"/>
  <c r="D97" i="6" s="1"/>
  <c r="F97" i="6" l="1"/>
  <c r="G97" i="6" s="1"/>
  <c r="K97" i="6"/>
  <c r="L97" i="6" s="1"/>
  <c r="M97" i="6" l="1"/>
  <c r="H97" i="6"/>
  <c r="I97" i="6" l="1"/>
  <c r="J97" i="6" s="1"/>
  <c r="D98" i="6" s="1"/>
  <c r="N97" i="6"/>
  <c r="K98" i="6" l="1"/>
  <c r="L98" i="6" s="1"/>
  <c r="F98" i="6"/>
  <c r="G98" i="6" s="1"/>
  <c r="H98" i="6" l="1"/>
  <c r="M98" i="6"/>
  <c r="N98" i="6" l="1"/>
  <c r="I98" i="6"/>
  <c r="J98" i="6" s="1"/>
  <c r="D99" i="6" s="1"/>
  <c r="K99" i="6" l="1"/>
  <c r="L99" i="6" s="1"/>
  <c r="S9" i="9" s="1"/>
  <c r="F99" i="6"/>
  <c r="G99" i="6" s="1"/>
  <c r="M99" i="6" s="1"/>
  <c r="H99" i="6" l="1"/>
  <c r="I99" i="6" l="1"/>
  <c r="J99" i="6" s="1"/>
  <c r="N99" i="6"/>
  <c r="Q9" i="9" l="1"/>
  <c r="D100" i="6"/>
  <c r="K100" i="6" l="1"/>
  <c r="L100" i="6" s="1"/>
  <c r="F100" i="6"/>
  <c r="G100" i="6" s="1"/>
  <c r="M100" i="6" s="1"/>
  <c r="H100" i="6" l="1"/>
  <c r="N100" i="6" l="1"/>
  <c r="I100" i="6"/>
  <c r="J100" i="6" s="1"/>
  <c r="D101" i="6" s="1"/>
  <c r="K101" i="6" l="1"/>
  <c r="L101" i="6" s="1"/>
  <c r="F101" i="6"/>
  <c r="G101" i="6" s="1"/>
  <c r="M101" i="6" s="1"/>
  <c r="H101" i="6" l="1"/>
  <c r="I101" i="6" l="1"/>
  <c r="J101" i="6" s="1"/>
  <c r="D102" i="6" s="1"/>
  <c r="N101" i="6"/>
  <c r="K102" i="6" l="1"/>
  <c r="L102" i="6" s="1"/>
  <c r="F102" i="6"/>
  <c r="G102" i="6" s="1"/>
  <c r="M102" i="6" s="1"/>
  <c r="H102" i="6" l="1"/>
  <c r="I102" i="6" s="1"/>
  <c r="J102" i="6" s="1"/>
  <c r="D103" i="6" s="1"/>
  <c r="K103" i="6" s="1"/>
  <c r="L103" i="6" s="1"/>
  <c r="F103" i="6" l="1"/>
  <c r="G103" i="6" s="1"/>
  <c r="M103" i="6" s="1"/>
  <c r="N102" i="6"/>
  <c r="H103" i="6" l="1"/>
  <c r="I103" i="6" s="1"/>
  <c r="J103" i="6" s="1"/>
  <c r="D104" i="6" s="1"/>
  <c r="K104" i="6" s="1"/>
  <c r="L104" i="6" s="1"/>
  <c r="F111" i="4"/>
  <c r="M111" i="4"/>
  <c r="AB13" i="8"/>
  <c r="G13" i="9"/>
  <c r="H13" i="9" s="1"/>
  <c r="AH13" i="9" s="1"/>
  <c r="G11" i="9"/>
  <c r="H11" i="9" s="1"/>
  <c r="AH11" i="9" s="1"/>
  <c r="G12" i="9"/>
  <c r="H12" i="9" s="1"/>
  <c r="AH12" i="9" s="1"/>
  <c r="F119" i="4"/>
  <c r="M119" i="4"/>
  <c r="F145" i="4"/>
  <c r="M145" i="4"/>
  <c r="F139" i="4"/>
  <c r="M139" i="4"/>
  <c r="F129" i="4"/>
  <c r="M129" i="4"/>
  <c r="F118" i="4"/>
  <c r="M118" i="4"/>
  <c r="F128" i="4"/>
  <c r="M128" i="4"/>
  <c r="F142" i="4"/>
  <c r="M142" i="4"/>
  <c r="F120" i="4"/>
  <c r="M120" i="4"/>
  <c r="F140" i="4"/>
  <c r="M140" i="4"/>
  <c r="E11" i="9"/>
  <c r="X11" i="9" s="1"/>
  <c r="F143" i="4"/>
  <c r="M143" i="4"/>
  <c r="F141" i="4"/>
  <c r="M141" i="4"/>
  <c r="F112" i="4"/>
  <c r="M112" i="4"/>
  <c r="E12" i="9"/>
  <c r="X12" i="9" s="1"/>
  <c r="F125" i="4"/>
  <c r="M125" i="4"/>
  <c r="F124" i="4"/>
  <c r="M124" i="4"/>
  <c r="F116" i="4"/>
  <c r="M116" i="4"/>
  <c r="F121" i="4"/>
  <c r="M121" i="4"/>
  <c r="F136" i="4"/>
  <c r="M136" i="4"/>
  <c r="F123" i="4"/>
  <c r="M123" i="4"/>
  <c r="F117" i="4"/>
  <c r="M117" i="4"/>
  <c r="F127" i="4"/>
  <c r="M127" i="4"/>
  <c r="F133" i="4"/>
  <c r="M133" i="4"/>
  <c r="E13" i="9"/>
  <c r="X13" i="9" s="1"/>
  <c r="F132" i="4"/>
  <c r="M132" i="4"/>
  <c r="F122" i="4"/>
  <c r="M122" i="4"/>
  <c r="F126" i="4"/>
  <c r="M126" i="4"/>
  <c r="F137" i="4"/>
  <c r="M137" i="4"/>
  <c r="F134" i="4"/>
  <c r="M134" i="4"/>
  <c r="F115" i="4"/>
  <c r="M115" i="4"/>
  <c r="F144" i="4"/>
  <c r="M144" i="4"/>
  <c r="F138" i="4"/>
  <c r="M138" i="4"/>
  <c r="F131" i="4"/>
  <c r="M131" i="4"/>
  <c r="F146" i="4"/>
  <c r="M146" i="4"/>
  <c r="F130" i="4"/>
  <c r="M130" i="4"/>
  <c r="F135" i="4"/>
  <c r="M135" i="4"/>
  <c r="F113" i="4"/>
  <c r="M113" i="4"/>
  <c r="F114" i="4"/>
  <c r="M114" i="4"/>
  <c r="R9" i="9"/>
  <c r="R8" i="9"/>
  <c r="R7" i="9"/>
  <c r="R6" i="9"/>
  <c r="V6" i="9"/>
  <c r="V7" i="9"/>
  <c r="V8" i="9"/>
  <c r="V9" i="9"/>
  <c r="V10" i="9"/>
  <c r="F104" i="6" l="1"/>
  <c r="G104" i="6" s="1"/>
  <c r="M104" i="6" s="1"/>
  <c r="N103" i="6"/>
  <c r="G142" i="4"/>
  <c r="G111" i="4"/>
  <c r="I111" i="4" s="1"/>
  <c r="E112" i="6" s="1"/>
  <c r="G120" i="4"/>
  <c r="G113" i="4"/>
  <c r="G141" i="4"/>
  <c r="G144" i="4"/>
  <c r="G126" i="4"/>
  <c r="G133" i="4"/>
  <c r="G136" i="4"/>
  <c r="G125" i="4"/>
  <c r="G122" i="4"/>
  <c r="G127" i="4"/>
  <c r="G140" i="4"/>
  <c r="G119" i="4"/>
  <c r="G146" i="4"/>
  <c r="G128" i="4"/>
  <c r="G117" i="4"/>
  <c r="G138" i="4"/>
  <c r="G123" i="4"/>
  <c r="I123" i="4" s="1"/>
  <c r="N123" i="4" s="1"/>
  <c r="G114" i="4"/>
  <c r="L13" i="8"/>
  <c r="M13" i="8" s="1"/>
  <c r="Z13" i="9" s="1"/>
  <c r="G13" i="8"/>
  <c r="AG13" i="9"/>
  <c r="G116" i="4"/>
  <c r="G115" i="4"/>
  <c r="G124" i="4"/>
  <c r="G118" i="4"/>
  <c r="G131" i="4"/>
  <c r="G135" i="4"/>
  <c r="I135" i="4" s="1"/>
  <c r="N135" i="4" s="1"/>
  <c r="G143" i="4"/>
  <c r="G129" i="4"/>
  <c r="G130" i="4"/>
  <c r="G137" i="4"/>
  <c r="G139" i="4"/>
  <c r="G145" i="4"/>
  <c r="AB12" i="8"/>
  <c r="T12" i="8"/>
  <c r="U12" i="8" s="1"/>
  <c r="G134" i="4"/>
  <c r="G132" i="4"/>
  <c r="G121" i="4"/>
  <c r="G112" i="4"/>
  <c r="H104" i="6" l="1"/>
  <c r="I104" i="6" s="1"/>
  <c r="J104" i="6" s="1"/>
  <c r="D105" i="6" s="1"/>
  <c r="F105" i="6" s="1"/>
  <c r="G105" i="6" s="1"/>
  <c r="M105" i="6" s="1"/>
  <c r="K111" i="4"/>
  <c r="H112" i="4" s="1"/>
  <c r="I112" i="4" s="1"/>
  <c r="N111" i="4"/>
  <c r="O111" i="4" s="1"/>
  <c r="K123" i="4"/>
  <c r="H124" i="4" s="1"/>
  <c r="I124" i="4" s="1"/>
  <c r="E136" i="6"/>
  <c r="K135" i="4"/>
  <c r="H136" i="4" s="1"/>
  <c r="I136" i="4" s="1"/>
  <c r="K136" i="4" s="1"/>
  <c r="H137" i="4" s="1"/>
  <c r="I137" i="4" s="1"/>
  <c r="E124" i="6"/>
  <c r="V12" i="8"/>
  <c r="W12" i="8" s="1"/>
  <c r="N14" i="8"/>
  <c r="O15" i="8" s="1"/>
  <c r="P16" i="8" s="1"/>
  <c r="AD13" i="9"/>
  <c r="L12" i="8"/>
  <c r="M12" i="8" s="1"/>
  <c r="Z12" i="9" s="1"/>
  <c r="AG12" i="9"/>
  <c r="G12" i="8"/>
  <c r="K105" i="6" l="1"/>
  <c r="L105" i="6" s="1"/>
  <c r="N104" i="6"/>
  <c r="E137" i="6"/>
  <c r="H105" i="6"/>
  <c r="I105" i="6" s="1"/>
  <c r="J105" i="6" s="1"/>
  <c r="D106" i="6" s="1"/>
  <c r="F106" i="6" s="1"/>
  <c r="G106" i="6" s="1"/>
  <c r="K112" i="4"/>
  <c r="H113" i="4" s="1"/>
  <c r="I113" i="4" s="1"/>
  <c r="K113" i="4" s="1"/>
  <c r="H114" i="4" s="1"/>
  <c r="I114" i="4" s="1"/>
  <c r="E113" i="6"/>
  <c r="N112" i="4"/>
  <c r="O112" i="4" s="1"/>
  <c r="N136" i="4"/>
  <c r="N124" i="4"/>
  <c r="K124" i="4"/>
  <c r="H125" i="4" s="1"/>
  <c r="I125" i="4" s="1"/>
  <c r="N125" i="4" s="1"/>
  <c r="E125" i="6"/>
  <c r="X12" i="8"/>
  <c r="Y12" i="8" s="1"/>
  <c r="H13" i="8" s="1"/>
  <c r="AD12" i="9"/>
  <c r="N13" i="8"/>
  <c r="K12" i="8"/>
  <c r="K137" i="4"/>
  <c r="H138" i="4" s="1"/>
  <c r="I138" i="4" s="1"/>
  <c r="N137" i="4"/>
  <c r="E138" i="6"/>
  <c r="K106" i="6" l="1"/>
  <c r="L106" i="6" s="1"/>
  <c r="M106" i="6"/>
  <c r="H106" i="6"/>
  <c r="I106" i="6" s="1"/>
  <c r="J106" i="6" s="1"/>
  <c r="D107" i="6" s="1"/>
  <c r="F107" i="6" s="1"/>
  <c r="G107" i="6" s="1"/>
  <c r="M107" i="6" s="1"/>
  <c r="N105" i="6"/>
  <c r="E114" i="6"/>
  <c r="N113" i="4"/>
  <c r="O113" i="4" s="1"/>
  <c r="E126" i="6"/>
  <c r="K125" i="4"/>
  <c r="H126" i="4" s="1"/>
  <c r="I126" i="4" s="1"/>
  <c r="K126" i="4" s="1"/>
  <c r="H127" i="4" s="1"/>
  <c r="I127" i="4" s="1"/>
  <c r="M12" i="9"/>
  <c r="N12" i="9" s="1"/>
  <c r="J13" i="8"/>
  <c r="O14" i="8"/>
  <c r="P15" i="8" s="1"/>
  <c r="Q16" i="8" s="1"/>
  <c r="T13" i="8"/>
  <c r="K114" i="4"/>
  <c r="H115" i="4" s="1"/>
  <c r="I115" i="4" s="1"/>
  <c r="E115" i="6"/>
  <c r="N114" i="4"/>
  <c r="K138" i="4"/>
  <c r="H139" i="4" s="1"/>
  <c r="I139" i="4" s="1"/>
  <c r="E139" i="6"/>
  <c r="N138" i="4"/>
  <c r="K107" i="6" l="1"/>
  <c r="L107" i="6" s="1"/>
  <c r="E127" i="6"/>
  <c r="N106" i="6"/>
  <c r="H107" i="6"/>
  <c r="O114" i="4"/>
  <c r="N126" i="4"/>
  <c r="U13" i="8"/>
  <c r="V13" i="8" s="1"/>
  <c r="W13" i="8" s="1"/>
  <c r="K115" i="4"/>
  <c r="H116" i="4" s="1"/>
  <c r="I116" i="4" s="1"/>
  <c r="E116" i="6"/>
  <c r="N115" i="4"/>
  <c r="K13" i="8"/>
  <c r="E14" i="8"/>
  <c r="K127" i="4"/>
  <c r="H128" i="4" s="1"/>
  <c r="I128" i="4" s="1"/>
  <c r="E128" i="6"/>
  <c r="N127" i="4"/>
  <c r="E140" i="6"/>
  <c r="K139" i="4"/>
  <c r="H140" i="4" s="1"/>
  <c r="I140" i="4" s="1"/>
  <c r="N139" i="4"/>
  <c r="O115" i="4" l="1"/>
  <c r="I107" i="6"/>
  <c r="J107" i="6" s="1"/>
  <c r="D108" i="6" s="1"/>
  <c r="N107" i="6"/>
  <c r="X13" i="8"/>
  <c r="Y13" i="8" s="1"/>
  <c r="K128" i="4"/>
  <c r="H129" i="4" s="1"/>
  <c r="I129" i="4" s="1"/>
  <c r="E129" i="6"/>
  <c r="N128" i="4"/>
  <c r="I14" i="8"/>
  <c r="H152" i="5"/>
  <c r="H154" i="5"/>
  <c r="H146" i="5"/>
  <c r="H153" i="5"/>
  <c r="H150" i="5"/>
  <c r="H147" i="5"/>
  <c r="H157" i="5"/>
  <c r="H148" i="5"/>
  <c r="H151" i="5"/>
  <c r="H156" i="5"/>
  <c r="H149" i="5"/>
  <c r="H155" i="5"/>
  <c r="K140" i="4"/>
  <c r="H141" i="4" s="1"/>
  <c r="I141" i="4" s="1"/>
  <c r="E141" i="6"/>
  <c r="N140" i="4"/>
  <c r="J14" i="8"/>
  <c r="M13" i="9"/>
  <c r="N13" i="9" s="1"/>
  <c r="E117" i="6"/>
  <c r="K116" i="4"/>
  <c r="H117" i="4" s="1"/>
  <c r="I117" i="4" s="1"/>
  <c r="N116" i="4"/>
  <c r="O116" i="4" l="1"/>
  <c r="K108" i="6"/>
  <c r="L108" i="6" s="1"/>
  <c r="F108" i="6"/>
  <c r="G108" i="6" s="1"/>
  <c r="M108" i="6" s="1"/>
  <c r="H14" i="8"/>
  <c r="E130" i="6"/>
  <c r="N129" i="4"/>
  <c r="K129" i="4"/>
  <c r="H130" i="4" s="1"/>
  <c r="I130" i="4" s="1"/>
  <c r="N141" i="4"/>
  <c r="E142" i="6"/>
  <c r="K141" i="4"/>
  <c r="H142" i="4" s="1"/>
  <c r="I142" i="4" s="1"/>
  <c r="E118" i="6"/>
  <c r="K117" i="4"/>
  <c r="H118" i="4" s="1"/>
  <c r="I118" i="4" s="1"/>
  <c r="N117" i="4"/>
  <c r="E15" i="8"/>
  <c r="J151" i="5"/>
  <c r="J152" i="5"/>
  <c r="J153" i="5"/>
  <c r="J154" i="5"/>
  <c r="J147" i="5"/>
  <c r="J155" i="5"/>
  <c r="J146" i="5"/>
  <c r="J148" i="5"/>
  <c r="J156" i="5"/>
  <c r="J149" i="5"/>
  <c r="J157" i="5"/>
  <c r="J150" i="5"/>
  <c r="N146" i="5" l="1"/>
  <c r="L147" i="5"/>
  <c r="O117" i="4"/>
  <c r="H108" i="6"/>
  <c r="I15" i="8"/>
  <c r="H166" i="5"/>
  <c r="H160" i="5"/>
  <c r="H158" i="5"/>
  <c r="H163" i="5"/>
  <c r="H161" i="5"/>
  <c r="H169" i="5"/>
  <c r="H162" i="5"/>
  <c r="H167" i="5"/>
  <c r="H165" i="5"/>
  <c r="H168" i="5"/>
  <c r="H159" i="5"/>
  <c r="H164" i="5"/>
  <c r="E131" i="6"/>
  <c r="K130" i="4"/>
  <c r="H131" i="4" s="1"/>
  <c r="I131" i="4" s="1"/>
  <c r="N130" i="4"/>
  <c r="K118" i="4"/>
  <c r="H119" i="4" s="1"/>
  <c r="I119" i="4" s="1"/>
  <c r="E119" i="6"/>
  <c r="N118" i="4"/>
  <c r="E143" i="6"/>
  <c r="K142" i="4"/>
  <c r="H143" i="4" s="1"/>
  <c r="I143" i="4" s="1"/>
  <c r="N142" i="4"/>
  <c r="O146" i="5" l="1"/>
  <c r="P146" i="5"/>
  <c r="S146" i="5" s="1"/>
  <c r="Q146" i="5"/>
  <c r="K147" i="5" s="1"/>
  <c r="L148" i="5" s="1"/>
  <c r="O118" i="4"/>
  <c r="I108" i="6"/>
  <c r="J108" i="6" s="1"/>
  <c r="D109" i="6" s="1"/>
  <c r="N108" i="6"/>
  <c r="K131" i="4"/>
  <c r="H132" i="4" s="1"/>
  <c r="I132" i="4" s="1"/>
  <c r="E132" i="6"/>
  <c r="N131" i="4"/>
  <c r="J163" i="5"/>
  <c r="J164" i="5"/>
  <c r="J165" i="5"/>
  <c r="J166" i="5"/>
  <c r="J159" i="5"/>
  <c r="J167" i="5"/>
  <c r="J158" i="5"/>
  <c r="J160" i="5"/>
  <c r="J168" i="5"/>
  <c r="J161" i="5"/>
  <c r="J169" i="5"/>
  <c r="J162" i="5"/>
  <c r="K119" i="4"/>
  <c r="H120" i="4" s="1"/>
  <c r="I120" i="4" s="1"/>
  <c r="N119" i="4"/>
  <c r="E120" i="6"/>
  <c r="N147" i="5"/>
  <c r="O147" i="5" s="1"/>
  <c r="R146" i="5"/>
  <c r="E144" i="6"/>
  <c r="K143" i="4"/>
  <c r="H144" i="4" s="1"/>
  <c r="I144" i="4" s="1"/>
  <c r="N143" i="4"/>
  <c r="P147" i="5" l="1"/>
  <c r="Q147" i="5"/>
  <c r="N158" i="5"/>
  <c r="L159" i="5"/>
  <c r="O119" i="4"/>
  <c r="K109" i="6"/>
  <c r="L109" i="6" s="1"/>
  <c r="F109" i="6"/>
  <c r="G109" i="6" s="1"/>
  <c r="M109" i="6" s="1"/>
  <c r="K120" i="4"/>
  <c r="H121" i="4" s="1"/>
  <c r="I121" i="4" s="1"/>
  <c r="E121" i="6"/>
  <c r="N120" i="4"/>
  <c r="K132" i="4"/>
  <c r="H133" i="4" s="1"/>
  <c r="I133" i="4" s="1"/>
  <c r="E133" i="6"/>
  <c r="N132" i="4"/>
  <c r="K144" i="4"/>
  <c r="H145" i="4" s="1"/>
  <c r="I145" i="4" s="1"/>
  <c r="E145" i="6"/>
  <c r="N144" i="4"/>
  <c r="O158" i="5" l="1"/>
  <c r="P158" i="5"/>
  <c r="R158" i="5" s="1"/>
  <c r="Q158" i="5"/>
  <c r="K159" i="5" s="1"/>
  <c r="O120" i="4"/>
  <c r="H109" i="6"/>
  <c r="N109" i="6" s="1"/>
  <c r="K148" i="5"/>
  <c r="E146" i="6"/>
  <c r="N145" i="4"/>
  <c r="K145" i="4"/>
  <c r="H146" i="4" s="1"/>
  <c r="I146" i="4" s="1"/>
  <c r="K121" i="4"/>
  <c r="H122" i="4" s="1"/>
  <c r="I122" i="4" s="1"/>
  <c r="N121" i="4"/>
  <c r="E122" i="6"/>
  <c r="K133" i="4"/>
  <c r="H134" i="4" s="1"/>
  <c r="I134" i="4" s="1"/>
  <c r="E134" i="6"/>
  <c r="N133" i="4"/>
  <c r="O121" i="4" l="1"/>
  <c r="L149" i="5"/>
  <c r="N159" i="5"/>
  <c r="Q159" i="5"/>
  <c r="L160" i="5"/>
  <c r="I109" i="6"/>
  <c r="J109" i="6" s="1"/>
  <c r="D110" i="6" s="1"/>
  <c r="F110" i="6" s="1"/>
  <c r="G110" i="6" s="1"/>
  <c r="M110" i="6" s="1"/>
  <c r="R147" i="5"/>
  <c r="S147" i="5"/>
  <c r="E135" i="6"/>
  <c r="J134" i="4"/>
  <c r="T12" i="9" s="1"/>
  <c r="N134" i="4"/>
  <c r="N148" i="5"/>
  <c r="E147" i="6"/>
  <c r="N146" i="4"/>
  <c r="J146" i="4"/>
  <c r="T13" i="9" s="1"/>
  <c r="E123" i="6"/>
  <c r="N122" i="4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J122" i="4"/>
  <c r="O148" i="5" l="1"/>
  <c r="P148" i="5"/>
  <c r="O159" i="5"/>
  <c r="P159" i="5"/>
  <c r="Q148" i="5"/>
  <c r="K110" i="6"/>
  <c r="L110" i="6" s="1"/>
  <c r="H110" i="6"/>
  <c r="O134" i="4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T11" i="9"/>
  <c r="U11" i="9" s="1"/>
  <c r="U12" i="9" s="1"/>
  <c r="U13" i="9" s="1"/>
  <c r="K160" i="5"/>
  <c r="L161" i="5" l="1"/>
  <c r="N110" i="6"/>
  <c r="I110" i="6"/>
  <c r="J110" i="6" s="1"/>
  <c r="D111" i="6" s="1"/>
  <c r="R159" i="5"/>
  <c r="N160" i="5"/>
  <c r="K149" i="5"/>
  <c r="O160" i="5" l="1"/>
  <c r="P160" i="5"/>
  <c r="L150" i="5"/>
  <c r="Q160" i="5"/>
  <c r="K111" i="6"/>
  <c r="F111" i="6"/>
  <c r="G111" i="6" s="1"/>
  <c r="M111" i="6" s="1"/>
  <c r="R148" i="5"/>
  <c r="S148" i="5"/>
  <c r="N149" i="5"/>
  <c r="Q149" i="5" s="1"/>
  <c r="O149" i="5" l="1"/>
  <c r="P149" i="5"/>
  <c r="H111" i="6"/>
  <c r="R10" i="9"/>
  <c r="L111" i="6"/>
  <c r="S10" i="9" s="1"/>
  <c r="K161" i="5"/>
  <c r="L162" i="5" l="1"/>
  <c r="I111" i="6"/>
  <c r="J111" i="6" s="1"/>
  <c r="N111" i="6"/>
  <c r="R160" i="5"/>
  <c r="N161" i="5"/>
  <c r="K150" i="5"/>
  <c r="L151" i="5" l="1"/>
  <c r="O161" i="5"/>
  <c r="P161" i="5"/>
  <c r="Q161" i="5"/>
  <c r="D112" i="6"/>
  <c r="Q10" i="9"/>
  <c r="R149" i="5"/>
  <c r="S149" i="5"/>
  <c r="N150" i="5"/>
  <c r="O150" i="5" l="1"/>
  <c r="P150" i="5"/>
  <c r="Q150" i="5"/>
  <c r="K112" i="6"/>
  <c r="L112" i="6" s="1"/>
  <c r="F112" i="6"/>
  <c r="G112" i="6" s="1"/>
  <c r="M112" i="6" s="1"/>
  <c r="K162" i="5"/>
  <c r="L163" i="5" l="1"/>
  <c r="H112" i="6"/>
  <c r="N162" i="5"/>
  <c r="K151" i="5"/>
  <c r="R161" i="5"/>
  <c r="L152" i="5" l="1"/>
  <c r="O162" i="5"/>
  <c r="P162" i="5"/>
  <c r="Q162" i="5"/>
  <c r="N112" i="6"/>
  <c r="I112" i="6"/>
  <c r="J112" i="6" s="1"/>
  <c r="D113" i="6" s="1"/>
  <c r="S150" i="5"/>
  <c r="R150" i="5"/>
  <c r="N151" i="5"/>
  <c r="O151" i="5" l="1"/>
  <c r="P151" i="5"/>
  <c r="Q151" i="5"/>
  <c r="K113" i="6"/>
  <c r="L113" i="6" s="1"/>
  <c r="F113" i="6"/>
  <c r="G113" i="6" s="1"/>
  <c r="M113" i="6" s="1"/>
  <c r="K163" i="5"/>
  <c r="L164" i="5" l="1"/>
  <c r="H113" i="6"/>
  <c r="K152" i="5"/>
  <c r="R162" i="5"/>
  <c r="N163" i="5"/>
  <c r="O163" i="5" l="1"/>
  <c r="P163" i="5"/>
  <c r="L153" i="5"/>
  <c r="Q163" i="5"/>
  <c r="I113" i="6"/>
  <c r="J113" i="6" s="1"/>
  <c r="D114" i="6" s="1"/>
  <c r="N113" i="6"/>
  <c r="N152" i="5"/>
  <c r="Q152" i="5" s="1"/>
  <c r="S151" i="5"/>
  <c r="R151" i="5"/>
  <c r="O152" i="5" l="1"/>
  <c r="P152" i="5"/>
  <c r="F114" i="6"/>
  <c r="G114" i="6" s="1"/>
  <c r="M114" i="6" s="1"/>
  <c r="K114" i="6"/>
  <c r="L114" i="6" s="1"/>
  <c r="R163" i="5"/>
  <c r="K164" i="5"/>
  <c r="L165" i="5" l="1"/>
  <c r="H114" i="6"/>
  <c r="N164" i="5"/>
  <c r="Q164" i="5" s="1"/>
  <c r="K153" i="5"/>
  <c r="O164" i="5" l="1"/>
  <c r="P164" i="5"/>
  <c r="R164" i="5" s="1"/>
  <c r="L154" i="5"/>
  <c r="N114" i="6"/>
  <c r="I114" i="6"/>
  <c r="J114" i="6" s="1"/>
  <c r="D115" i="6" s="1"/>
  <c r="N153" i="5"/>
  <c r="Q153" i="5" s="1"/>
  <c r="S152" i="5"/>
  <c r="R152" i="5"/>
  <c r="O153" i="5" l="1"/>
  <c r="P153" i="5"/>
  <c r="F115" i="6"/>
  <c r="G115" i="6" s="1"/>
  <c r="M115" i="6" s="1"/>
  <c r="K115" i="6"/>
  <c r="L115" i="6" s="1"/>
  <c r="K165" i="5"/>
  <c r="N165" i="5" l="1"/>
  <c r="Q165" i="5"/>
  <c r="K166" i="5" s="1"/>
  <c r="L166" i="5"/>
  <c r="H115" i="6"/>
  <c r="K154" i="5"/>
  <c r="L155" i="5" l="1"/>
  <c r="N166" i="5"/>
  <c r="O166" i="5" s="1"/>
  <c r="L167" i="5"/>
  <c r="O165" i="5"/>
  <c r="P165" i="5"/>
  <c r="R165" i="5" s="1"/>
  <c r="I115" i="6"/>
  <c r="J115" i="6" s="1"/>
  <c r="D116" i="6" s="1"/>
  <c r="N115" i="6"/>
  <c r="N154" i="5"/>
  <c r="R153" i="5"/>
  <c r="S153" i="5"/>
  <c r="P166" i="5" l="1"/>
  <c r="R166" i="5" s="1"/>
  <c r="Q166" i="5"/>
  <c r="O154" i="5"/>
  <c r="P154" i="5"/>
  <c r="Q154" i="5"/>
  <c r="K116" i="6"/>
  <c r="L116" i="6" s="1"/>
  <c r="F116" i="6"/>
  <c r="G116" i="6" s="1"/>
  <c r="M116" i="6" s="1"/>
  <c r="K167" i="5"/>
  <c r="N167" i="5" l="1"/>
  <c r="Q167" i="5"/>
  <c r="K168" i="5" s="1"/>
  <c r="L168" i="5"/>
  <c r="H116" i="6"/>
  <c r="K155" i="5"/>
  <c r="L156" i="5" l="1"/>
  <c r="L169" i="5"/>
  <c r="O167" i="5"/>
  <c r="P167" i="5"/>
  <c r="R167" i="5" s="1"/>
  <c r="N116" i="6"/>
  <c r="I116" i="6"/>
  <c r="J116" i="6" s="1"/>
  <c r="D117" i="6" s="1"/>
  <c r="N155" i="5"/>
  <c r="S154" i="5"/>
  <c r="R154" i="5"/>
  <c r="N168" i="5"/>
  <c r="P168" i="5" s="1"/>
  <c r="R168" i="5" l="1"/>
  <c r="O168" i="5"/>
  <c r="Q168" i="5"/>
  <c r="K169" i="5" s="1"/>
  <c r="O155" i="5"/>
  <c r="P155" i="5"/>
  <c r="Q155" i="5"/>
  <c r="F117" i="6"/>
  <c r="G117" i="6" s="1"/>
  <c r="M117" i="6" s="1"/>
  <c r="K117" i="6"/>
  <c r="L117" i="6" s="1"/>
  <c r="H117" i="6" l="1"/>
  <c r="K156" i="5"/>
  <c r="N169" i="5"/>
  <c r="L157" i="5" l="1"/>
  <c r="O169" i="5"/>
  <c r="P169" i="5"/>
  <c r="R169" i="5" s="1"/>
  <c r="Q169" i="5"/>
  <c r="I117" i="6"/>
  <c r="J117" i="6" s="1"/>
  <c r="D118" i="6" s="1"/>
  <c r="N117" i="6"/>
  <c r="N156" i="5"/>
  <c r="R155" i="5"/>
  <c r="S155" i="5"/>
  <c r="F15" i="8" l="1"/>
  <c r="D15" i="9"/>
  <c r="O156" i="5"/>
  <c r="P156" i="5"/>
  <c r="Q156" i="5"/>
  <c r="K118" i="6"/>
  <c r="L118" i="6" s="1"/>
  <c r="F118" i="6"/>
  <c r="G118" i="6" s="1"/>
  <c r="M118" i="6" s="1"/>
  <c r="H118" i="6" l="1"/>
  <c r="K157" i="5"/>
  <c r="I118" i="6" l="1"/>
  <c r="J118" i="6" s="1"/>
  <c r="D119" i="6" s="1"/>
  <c r="N118" i="6"/>
  <c r="N157" i="5"/>
  <c r="S156" i="5"/>
  <c r="R156" i="5"/>
  <c r="O157" i="5" l="1"/>
  <c r="P157" i="5"/>
  <c r="Q157" i="5"/>
  <c r="F119" i="6"/>
  <c r="G119" i="6" s="1"/>
  <c r="K119" i="6"/>
  <c r="L119" i="6" s="1"/>
  <c r="F14" i="8" l="1"/>
  <c r="D14" i="9"/>
  <c r="H119" i="6"/>
  <c r="M119" i="6"/>
  <c r="N119" i="6" l="1"/>
  <c r="I119" i="6"/>
  <c r="J119" i="6" s="1"/>
  <c r="D120" i="6" s="1"/>
  <c r="R157" i="5"/>
  <c r="S157" i="5"/>
  <c r="AB14" i="8"/>
  <c r="T14" i="8"/>
  <c r="K120" i="6" l="1"/>
  <c r="L120" i="6" s="1"/>
  <c r="F120" i="6"/>
  <c r="G120" i="6" s="1"/>
  <c r="M120" i="6" s="1"/>
  <c r="U14" i="8"/>
  <c r="V14" i="8" s="1"/>
  <c r="W14" i="8" s="1"/>
  <c r="L14" i="8"/>
  <c r="M14" i="8" s="1"/>
  <c r="Z14" i="9" s="1"/>
  <c r="AG14" i="9"/>
  <c r="G14" i="8"/>
  <c r="S158" i="5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J14" i="9"/>
  <c r="K14" i="9" s="1"/>
  <c r="H120" i="6" l="1"/>
  <c r="I120" i="6" s="1"/>
  <c r="J120" i="6" s="1"/>
  <c r="D121" i="6" s="1"/>
  <c r="F121" i="6" s="1"/>
  <c r="G121" i="6" s="1"/>
  <c r="H121" i="6" s="1"/>
  <c r="I121" i="6" s="1"/>
  <c r="J121" i="6" s="1"/>
  <c r="D122" i="6" s="1"/>
  <c r="K122" i="6" s="1"/>
  <c r="J15" i="9"/>
  <c r="K15" i="9" s="1"/>
  <c r="K14" i="8"/>
  <c r="AD14" i="9"/>
  <c r="N15" i="8"/>
  <c r="X14" i="8"/>
  <c r="N120" i="6" l="1"/>
  <c r="N121" i="6" s="1"/>
  <c r="K121" i="6"/>
  <c r="L121" i="6" s="1"/>
  <c r="L122" i="6" s="1"/>
  <c r="M121" i="6"/>
  <c r="F122" i="6"/>
  <c r="G122" i="6" s="1"/>
  <c r="J15" i="8"/>
  <c r="M14" i="9"/>
  <c r="N14" i="9" s="1"/>
  <c r="O16" i="8"/>
  <c r="Y14" i="8"/>
  <c r="H15" i="8" s="1"/>
  <c r="M122" i="6" l="1"/>
  <c r="H122" i="6"/>
  <c r="N122" i="6" s="1"/>
  <c r="E16" i="8"/>
  <c r="I122" i="6" l="1"/>
  <c r="J122" i="6" s="1"/>
  <c r="D123" i="6" s="1"/>
  <c r="F123" i="6" s="1"/>
  <c r="G123" i="6" s="1"/>
  <c r="H178" i="5"/>
  <c r="H170" i="5"/>
  <c r="H179" i="5"/>
  <c r="H174" i="5"/>
  <c r="H181" i="5"/>
  <c r="H180" i="5"/>
  <c r="H173" i="5"/>
  <c r="I16" i="8"/>
  <c r="H176" i="5"/>
  <c r="H175" i="5"/>
  <c r="H171" i="5"/>
  <c r="H177" i="5"/>
  <c r="H172" i="5"/>
  <c r="K123" i="6" l="1"/>
  <c r="L123" i="6" s="1"/>
  <c r="S11" i="9" s="1"/>
  <c r="M123" i="6"/>
  <c r="H123" i="6"/>
  <c r="J174" i="5"/>
  <c r="J175" i="5"/>
  <c r="J176" i="5"/>
  <c r="J177" i="5"/>
  <c r="J178" i="5"/>
  <c r="J179" i="5"/>
  <c r="J180" i="5"/>
  <c r="J181" i="5"/>
  <c r="J171" i="5"/>
  <c r="J172" i="5"/>
  <c r="J173" i="5"/>
  <c r="J170" i="5"/>
  <c r="N170" i="5" l="1"/>
  <c r="L171" i="5"/>
  <c r="N123" i="6"/>
  <c r="I123" i="6"/>
  <c r="J123" i="6" s="1"/>
  <c r="O170" i="5" l="1"/>
  <c r="P170" i="5"/>
  <c r="R170" i="5" s="1"/>
  <c r="Q170" i="5"/>
  <c r="K171" i="5" s="1"/>
  <c r="L172" i="5" s="1"/>
  <c r="D124" i="6"/>
  <c r="Q11" i="9"/>
  <c r="S170" i="5" l="1"/>
  <c r="N171" i="5"/>
  <c r="K124" i="6"/>
  <c r="L124" i="6" s="1"/>
  <c r="F124" i="6"/>
  <c r="G124" i="6" s="1"/>
  <c r="O171" i="5" l="1"/>
  <c r="P171" i="5"/>
  <c r="Q171" i="5"/>
  <c r="K172" i="5" s="1"/>
  <c r="M124" i="6"/>
  <c r="H124" i="6"/>
  <c r="L173" i="5" l="1"/>
  <c r="I124" i="6"/>
  <c r="J124" i="6" s="1"/>
  <c r="D125" i="6" s="1"/>
  <c r="N124" i="6"/>
  <c r="N172" i="5"/>
  <c r="Q172" i="5" s="1"/>
  <c r="R171" i="5"/>
  <c r="S171" i="5"/>
  <c r="O172" i="5" l="1"/>
  <c r="P172" i="5"/>
  <c r="F125" i="6"/>
  <c r="G125" i="6" s="1"/>
  <c r="M125" i="6" s="1"/>
  <c r="K125" i="6"/>
  <c r="L125" i="6" s="1"/>
  <c r="H125" i="6" l="1"/>
  <c r="K173" i="5"/>
  <c r="Q173" i="5" l="1"/>
  <c r="L174" i="5"/>
  <c r="I125" i="6"/>
  <c r="J125" i="6" s="1"/>
  <c r="D126" i="6" s="1"/>
  <c r="N125" i="6"/>
  <c r="N173" i="5"/>
  <c r="S172" i="5"/>
  <c r="R172" i="5"/>
  <c r="O173" i="5" l="1"/>
  <c r="P173" i="5"/>
  <c r="F126" i="6"/>
  <c r="G126" i="6" s="1"/>
  <c r="M126" i="6" s="1"/>
  <c r="K126" i="6"/>
  <c r="L126" i="6" s="1"/>
  <c r="H126" i="6" l="1"/>
  <c r="N126" i="6" s="1"/>
  <c r="K174" i="5"/>
  <c r="Q174" i="5" l="1"/>
  <c r="L175" i="5"/>
  <c r="I126" i="6"/>
  <c r="J126" i="6" s="1"/>
  <c r="D127" i="6" s="1"/>
  <c r="K127" i="6" s="1"/>
  <c r="L127" i="6" s="1"/>
  <c r="R173" i="5"/>
  <c r="S173" i="5"/>
  <c r="N174" i="5"/>
  <c r="O174" i="5" l="1"/>
  <c r="P174" i="5"/>
  <c r="F127" i="6"/>
  <c r="G127" i="6" s="1"/>
  <c r="M127" i="6" s="1"/>
  <c r="H127" i="6" l="1"/>
  <c r="N127" i="6" s="1"/>
  <c r="K175" i="5"/>
  <c r="L176" i="5" l="1"/>
  <c r="I127" i="6"/>
  <c r="J127" i="6" s="1"/>
  <c r="D128" i="6" s="1"/>
  <c r="K128" i="6" s="1"/>
  <c r="L128" i="6" s="1"/>
  <c r="S174" i="5"/>
  <c r="R174" i="5"/>
  <c r="N175" i="5"/>
  <c r="O175" i="5" l="1"/>
  <c r="P175" i="5"/>
  <c r="Q175" i="5"/>
  <c r="F128" i="6"/>
  <c r="G128" i="6" s="1"/>
  <c r="M128" i="6" s="1"/>
  <c r="H128" i="6" l="1"/>
  <c r="I128" i="6" s="1"/>
  <c r="J128" i="6" s="1"/>
  <c r="D129" i="6" s="1"/>
  <c r="F129" i="6" s="1"/>
  <c r="G129" i="6" s="1"/>
  <c r="M129" i="6" s="1"/>
  <c r="K176" i="5"/>
  <c r="L177" i="5" l="1"/>
  <c r="N128" i="6"/>
  <c r="K129" i="6"/>
  <c r="L129" i="6" s="1"/>
  <c r="H129" i="6"/>
  <c r="I129" i="6" s="1"/>
  <c r="J129" i="6" s="1"/>
  <c r="D130" i="6" s="1"/>
  <c r="K130" i="6" s="1"/>
  <c r="L130" i="6" s="1"/>
  <c r="N176" i="5"/>
  <c r="R175" i="5"/>
  <c r="S175" i="5"/>
  <c r="O176" i="5" l="1"/>
  <c r="P176" i="5"/>
  <c r="Q176" i="5"/>
  <c r="F130" i="6"/>
  <c r="G130" i="6" s="1"/>
  <c r="M130" i="6" s="1"/>
  <c r="N129" i="6"/>
  <c r="H130" i="6" l="1"/>
  <c r="I130" i="6" s="1"/>
  <c r="J130" i="6" s="1"/>
  <c r="D131" i="6" s="1"/>
  <c r="F131" i="6" s="1"/>
  <c r="G131" i="6" s="1"/>
  <c r="M131" i="6" s="1"/>
  <c r="K177" i="5"/>
  <c r="L178" i="5" l="1"/>
  <c r="N130" i="6"/>
  <c r="K131" i="6"/>
  <c r="L131" i="6" s="1"/>
  <c r="H131" i="6"/>
  <c r="N177" i="5"/>
  <c r="S176" i="5"/>
  <c r="R176" i="5"/>
  <c r="O177" i="5" l="1"/>
  <c r="P177" i="5"/>
  <c r="Q177" i="5"/>
  <c r="I131" i="6"/>
  <c r="J131" i="6" s="1"/>
  <c r="D132" i="6" s="1"/>
  <c r="N131" i="6"/>
  <c r="K132" i="6" l="1"/>
  <c r="L132" i="6" s="1"/>
  <c r="F132" i="6"/>
  <c r="G132" i="6" s="1"/>
  <c r="M132" i="6" s="1"/>
  <c r="K178" i="5"/>
  <c r="L179" i="5" l="1"/>
  <c r="H132" i="6"/>
  <c r="N178" i="5"/>
  <c r="S177" i="5"/>
  <c r="R177" i="5"/>
  <c r="O178" i="5" l="1"/>
  <c r="P178" i="5"/>
  <c r="Q178" i="5"/>
  <c r="I132" i="6"/>
  <c r="J132" i="6" s="1"/>
  <c r="D133" i="6" s="1"/>
  <c r="N132" i="6"/>
  <c r="F133" i="6" l="1"/>
  <c r="G133" i="6" s="1"/>
  <c r="M133" i="6" s="1"/>
  <c r="K133" i="6"/>
  <c r="L133" i="6" s="1"/>
  <c r="K179" i="5"/>
  <c r="L180" i="5" l="1"/>
  <c r="H133" i="6"/>
  <c r="R178" i="5"/>
  <c r="S178" i="5"/>
  <c r="N179" i="5"/>
  <c r="O179" i="5" l="1"/>
  <c r="P179" i="5"/>
  <c r="Q179" i="5"/>
  <c r="N133" i="6"/>
  <c r="I133" i="6"/>
  <c r="J133" i="6" s="1"/>
  <c r="D134" i="6" s="1"/>
  <c r="K134" i="6" l="1"/>
  <c r="L134" i="6" s="1"/>
  <c r="F134" i="6"/>
  <c r="G134" i="6" s="1"/>
  <c r="M134" i="6" s="1"/>
  <c r="K180" i="5"/>
  <c r="L181" i="5" l="1"/>
  <c r="H134" i="6"/>
  <c r="R179" i="5"/>
  <c r="S179" i="5"/>
  <c r="N180" i="5"/>
  <c r="O180" i="5" l="1"/>
  <c r="P180" i="5"/>
  <c r="Q180" i="5"/>
  <c r="N134" i="6"/>
  <c r="I134" i="6"/>
  <c r="J134" i="6" s="1"/>
  <c r="D135" i="6" s="1"/>
  <c r="K135" i="6" l="1"/>
  <c r="L135" i="6" s="1"/>
  <c r="S12" i="9" s="1"/>
  <c r="F135" i="6"/>
  <c r="G135" i="6" s="1"/>
  <c r="M135" i="6" s="1"/>
  <c r="K181" i="5"/>
  <c r="H135" i="6" l="1"/>
  <c r="N181" i="5"/>
  <c r="Q181" i="5" s="1"/>
  <c r="S180" i="5"/>
  <c r="R180" i="5"/>
  <c r="D16" i="9" l="1"/>
  <c r="F16" i="8"/>
  <c r="O181" i="5"/>
  <c r="P181" i="5"/>
  <c r="N135" i="6"/>
  <c r="I135" i="6"/>
  <c r="J135" i="6" s="1"/>
  <c r="Q12" i="9" l="1"/>
  <c r="D136" i="6"/>
  <c r="F158" i="4"/>
  <c r="F150" i="4"/>
  <c r="F151" i="4"/>
  <c r="F155" i="4"/>
  <c r="F157" i="4"/>
  <c r="E14" i="9"/>
  <c r="F152" i="4"/>
  <c r="F149" i="4"/>
  <c r="F147" i="4"/>
  <c r="F156" i="4"/>
  <c r="F153" i="4"/>
  <c r="F148" i="4"/>
  <c r="F154" i="4"/>
  <c r="F164" i="4"/>
  <c r="F166" i="4"/>
  <c r="F161" i="4"/>
  <c r="F159" i="4"/>
  <c r="F165" i="4"/>
  <c r="F168" i="4"/>
  <c r="F160" i="4"/>
  <c r="F163" i="4"/>
  <c r="F170" i="4"/>
  <c r="F169" i="4"/>
  <c r="F167" i="4"/>
  <c r="F162" i="4"/>
  <c r="E15" i="9"/>
  <c r="X15" i="9" s="1"/>
  <c r="E16" i="9"/>
  <c r="X16" i="9" s="1"/>
  <c r="F176" i="4"/>
  <c r="F180" i="4"/>
  <c r="F182" i="4"/>
  <c r="F175" i="4"/>
  <c r="F173" i="4"/>
  <c r="F181" i="4"/>
  <c r="F171" i="4"/>
  <c r="F172" i="4"/>
  <c r="F174" i="4"/>
  <c r="F179" i="4"/>
  <c r="F178" i="4"/>
  <c r="F177" i="4"/>
  <c r="F136" i="6" l="1"/>
  <c r="G136" i="6" s="1"/>
  <c r="M136" i="6" s="1"/>
  <c r="K136" i="6"/>
  <c r="L136" i="6" s="1"/>
  <c r="X14" i="9"/>
  <c r="AB16" i="8"/>
  <c r="M156" i="4"/>
  <c r="G156" i="4" s="1"/>
  <c r="M153" i="4"/>
  <c r="G153" i="4" s="1"/>
  <c r="M152" i="4"/>
  <c r="M148" i="4"/>
  <c r="G148" i="4" s="1"/>
  <c r="M150" i="4"/>
  <c r="G150" i="4" s="1"/>
  <c r="G14" i="9"/>
  <c r="H14" i="9" s="1"/>
  <c r="AH14" i="9" s="1"/>
  <c r="M154" i="4"/>
  <c r="G154" i="4" s="1"/>
  <c r="M147" i="4"/>
  <c r="G147" i="4" s="1"/>
  <c r="I147" i="4" s="1"/>
  <c r="M151" i="4"/>
  <c r="G151" i="4" s="1"/>
  <c r="M149" i="4"/>
  <c r="G149" i="4" s="1"/>
  <c r="M157" i="4"/>
  <c r="G157" i="4" s="1"/>
  <c r="M158" i="4"/>
  <c r="G158" i="4" s="1"/>
  <c r="M155" i="4"/>
  <c r="G155" i="4" s="1"/>
  <c r="M165" i="4"/>
  <c r="G165" i="4" s="1"/>
  <c r="M159" i="4"/>
  <c r="G159" i="4" s="1"/>
  <c r="I159" i="4" s="1"/>
  <c r="M163" i="4"/>
  <c r="G163" i="4" s="1"/>
  <c r="M167" i="4"/>
  <c r="G167" i="4" s="1"/>
  <c r="M170" i="4"/>
  <c r="G170" i="4" s="1"/>
  <c r="M164" i="4"/>
  <c r="G164" i="4" s="1"/>
  <c r="G15" i="9"/>
  <c r="H15" i="9" s="1"/>
  <c r="AH15" i="9" s="1"/>
  <c r="M160" i="4"/>
  <c r="G160" i="4" s="1"/>
  <c r="M166" i="4"/>
  <c r="G166" i="4" s="1"/>
  <c r="M168" i="4"/>
  <c r="G168" i="4" s="1"/>
  <c r="M162" i="4"/>
  <c r="G162" i="4" s="1"/>
  <c r="M169" i="4"/>
  <c r="G169" i="4" s="1"/>
  <c r="M161" i="4"/>
  <c r="G161" i="4" s="1"/>
  <c r="M174" i="4"/>
  <c r="G174" i="4" s="1"/>
  <c r="M178" i="4"/>
  <c r="G178" i="4" s="1"/>
  <c r="M175" i="4"/>
  <c r="G175" i="4" s="1"/>
  <c r="M176" i="4"/>
  <c r="G176" i="4" s="1"/>
  <c r="M177" i="4"/>
  <c r="G177" i="4" s="1"/>
  <c r="M179" i="4"/>
  <c r="G179" i="4" s="1"/>
  <c r="M172" i="4"/>
  <c r="G172" i="4" s="1"/>
  <c r="M173" i="4"/>
  <c r="G173" i="4" s="1"/>
  <c r="M182" i="4"/>
  <c r="G182" i="4" s="1"/>
  <c r="G16" i="9"/>
  <c r="H16" i="9" s="1"/>
  <c r="AH16" i="9" s="1"/>
  <c r="M181" i="4"/>
  <c r="G181" i="4" s="1"/>
  <c r="M180" i="4"/>
  <c r="G180" i="4" s="1"/>
  <c r="M171" i="4"/>
  <c r="G171" i="4" s="1"/>
  <c r="I171" i="4" s="1"/>
  <c r="R181" i="5"/>
  <c r="S181" i="5"/>
  <c r="T15" i="8"/>
  <c r="U15" i="8" s="1"/>
  <c r="V15" i="8" s="1"/>
  <c r="AB15" i="8"/>
  <c r="G152" i="4"/>
  <c r="H136" i="6" l="1"/>
  <c r="E148" i="6"/>
  <c r="K147" i="4"/>
  <c r="H148" i="4" s="1"/>
  <c r="I148" i="4" s="1"/>
  <c r="N147" i="4"/>
  <c r="O147" i="4" s="1"/>
  <c r="K171" i="4"/>
  <c r="H172" i="4" s="1"/>
  <c r="I172" i="4" s="1"/>
  <c r="E172" i="6"/>
  <c r="N171" i="4"/>
  <c r="E160" i="6"/>
  <c r="N159" i="4"/>
  <c r="K159" i="4"/>
  <c r="H160" i="4" s="1"/>
  <c r="I160" i="4" s="1"/>
  <c r="W15" i="8"/>
  <c r="X15" i="8" s="1"/>
  <c r="L15" i="8"/>
  <c r="M15" i="8" s="1"/>
  <c r="Z15" i="9" s="1"/>
  <c r="AG15" i="9"/>
  <c r="G15" i="8"/>
  <c r="D48" i="2"/>
  <c r="E48" i="2" s="1"/>
  <c r="J16" i="9"/>
  <c r="K16" i="9" s="1"/>
  <c r="D47" i="2"/>
  <c r="E47" i="2" s="1"/>
  <c r="F17" i="1" s="1"/>
  <c r="L16" i="8"/>
  <c r="M16" i="8" s="1"/>
  <c r="Z16" i="9" s="1"/>
  <c r="AG16" i="9"/>
  <c r="G16" i="8"/>
  <c r="AD16" i="9" s="1"/>
  <c r="K15" i="8" l="1"/>
  <c r="J16" i="8" s="1"/>
  <c r="K16" i="8" s="1"/>
  <c r="M16" i="9" s="1"/>
  <c r="N16" i="9" s="1"/>
  <c r="N136" i="6"/>
  <c r="I136" i="6"/>
  <c r="J136" i="6" s="1"/>
  <c r="D137" i="6" s="1"/>
  <c r="E173" i="6"/>
  <c r="K172" i="4"/>
  <c r="H173" i="4" s="1"/>
  <c r="I173" i="4" s="1"/>
  <c r="N172" i="4"/>
  <c r="Y15" i="8"/>
  <c r="H16" i="8" s="1"/>
  <c r="E161" i="6"/>
  <c r="N160" i="4"/>
  <c r="K160" i="4"/>
  <c r="H161" i="4" s="1"/>
  <c r="I161" i="4" s="1"/>
  <c r="M15" i="9"/>
  <c r="N15" i="9" s="1"/>
  <c r="N16" i="8"/>
  <c r="T16" i="8" s="1"/>
  <c r="AD15" i="9"/>
  <c r="E149" i="6"/>
  <c r="K148" i="4"/>
  <c r="H149" i="4" s="1"/>
  <c r="I149" i="4" s="1"/>
  <c r="N148" i="4"/>
  <c r="O148" i="4" s="1"/>
  <c r="K137" i="6" l="1"/>
  <c r="L137" i="6" s="1"/>
  <c r="F137" i="6"/>
  <c r="G137" i="6" s="1"/>
  <c r="M137" i="6" s="1"/>
  <c r="U16" i="8"/>
  <c r="V16" i="8" s="1"/>
  <c r="W16" i="8" s="1"/>
  <c r="K173" i="4"/>
  <c r="H174" i="4" s="1"/>
  <c r="I174" i="4" s="1"/>
  <c r="N173" i="4"/>
  <c r="E174" i="6"/>
  <c r="N149" i="4"/>
  <c r="O149" i="4" s="1"/>
  <c r="K149" i="4"/>
  <c r="H150" i="4" s="1"/>
  <c r="I150" i="4" s="1"/>
  <c r="E150" i="6"/>
  <c r="N161" i="4"/>
  <c r="K161" i="4"/>
  <c r="H162" i="4" s="1"/>
  <c r="I162" i="4" s="1"/>
  <c r="E162" i="6"/>
  <c r="H137" i="6" l="1"/>
  <c r="X16" i="8"/>
  <c r="Y16" i="8" s="1"/>
  <c r="K174" i="4"/>
  <c r="H175" i="4" s="1"/>
  <c r="I175" i="4" s="1"/>
  <c r="N174" i="4"/>
  <c r="E175" i="6"/>
  <c r="E151" i="6"/>
  <c r="K150" i="4"/>
  <c r="H151" i="4" s="1"/>
  <c r="I151" i="4" s="1"/>
  <c r="N150" i="4"/>
  <c r="O150" i="4" s="1"/>
  <c r="K162" i="4"/>
  <c r="H163" i="4" s="1"/>
  <c r="I163" i="4" s="1"/>
  <c r="E163" i="6"/>
  <c r="N162" i="4"/>
  <c r="I137" i="6" l="1"/>
  <c r="J137" i="6" s="1"/>
  <c r="D138" i="6" s="1"/>
  <c r="N137" i="6"/>
  <c r="K175" i="4"/>
  <c r="H176" i="4" s="1"/>
  <c r="I176" i="4" s="1"/>
  <c r="E176" i="6"/>
  <c r="N175" i="4"/>
  <c r="K163" i="4"/>
  <c r="H164" i="4" s="1"/>
  <c r="I164" i="4" s="1"/>
  <c r="N163" i="4"/>
  <c r="E164" i="6"/>
  <c r="N151" i="4"/>
  <c r="O151" i="4" s="1"/>
  <c r="K151" i="4"/>
  <c r="H152" i="4" s="1"/>
  <c r="I152" i="4" s="1"/>
  <c r="E152" i="6"/>
  <c r="F138" i="6" l="1"/>
  <c r="G138" i="6" s="1"/>
  <c r="M138" i="6" s="1"/>
  <c r="K138" i="6"/>
  <c r="L138" i="6" s="1"/>
  <c r="K164" i="4"/>
  <c r="H165" i="4" s="1"/>
  <c r="I165" i="4" s="1"/>
  <c r="E165" i="6"/>
  <c r="N164" i="4"/>
  <c r="E177" i="6"/>
  <c r="N176" i="4"/>
  <c r="K176" i="4"/>
  <c r="H177" i="4" s="1"/>
  <c r="I177" i="4" s="1"/>
  <c r="K152" i="4"/>
  <c r="H153" i="4" s="1"/>
  <c r="I153" i="4" s="1"/>
  <c r="N152" i="4"/>
  <c r="O152" i="4" s="1"/>
  <c r="E153" i="6"/>
  <c r="H138" i="6" l="1"/>
  <c r="N138" i="6" s="1"/>
  <c r="K153" i="4"/>
  <c r="H154" i="4" s="1"/>
  <c r="I154" i="4" s="1"/>
  <c r="N153" i="4"/>
  <c r="O153" i="4" s="1"/>
  <c r="E154" i="6"/>
  <c r="N177" i="4"/>
  <c r="K177" i="4"/>
  <c r="H178" i="4" s="1"/>
  <c r="I178" i="4" s="1"/>
  <c r="E178" i="6"/>
  <c r="K165" i="4"/>
  <c r="H166" i="4" s="1"/>
  <c r="I166" i="4" s="1"/>
  <c r="N165" i="4"/>
  <c r="E166" i="6"/>
  <c r="I138" i="6" l="1"/>
  <c r="J138" i="6" s="1"/>
  <c r="D139" i="6" s="1"/>
  <c r="F139" i="6" s="1"/>
  <c r="G139" i="6" s="1"/>
  <c r="M139" i="6" s="1"/>
  <c r="E167" i="6"/>
  <c r="K166" i="4"/>
  <c r="H167" i="4" s="1"/>
  <c r="I167" i="4" s="1"/>
  <c r="N166" i="4"/>
  <c r="N178" i="4"/>
  <c r="E179" i="6"/>
  <c r="K178" i="4"/>
  <c r="H179" i="4" s="1"/>
  <c r="I179" i="4" s="1"/>
  <c r="E155" i="6"/>
  <c r="N154" i="4"/>
  <c r="O154" i="4" s="1"/>
  <c r="K154" i="4"/>
  <c r="H155" i="4" s="1"/>
  <c r="I155" i="4" s="1"/>
  <c r="K139" i="6" l="1"/>
  <c r="L139" i="6" s="1"/>
  <c r="H139" i="6"/>
  <c r="I139" i="6" s="1"/>
  <c r="J139" i="6" s="1"/>
  <c r="D140" i="6" s="1"/>
  <c r="F140" i="6" s="1"/>
  <c r="G140" i="6" s="1"/>
  <c r="M140" i="6" s="1"/>
  <c r="K179" i="4"/>
  <c r="H180" i="4" s="1"/>
  <c r="I180" i="4" s="1"/>
  <c r="E180" i="6"/>
  <c r="N179" i="4"/>
  <c r="E156" i="6"/>
  <c r="K155" i="4"/>
  <c r="H156" i="4" s="1"/>
  <c r="I156" i="4" s="1"/>
  <c r="N155" i="4"/>
  <c r="O155" i="4" s="1"/>
  <c r="K167" i="4"/>
  <c r="H168" i="4" s="1"/>
  <c r="I168" i="4" s="1"/>
  <c r="N167" i="4"/>
  <c r="E168" i="6"/>
  <c r="K140" i="6" l="1"/>
  <c r="L140" i="6" s="1"/>
  <c r="N139" i="6"/>
  <c r="H140" i="6"/>
  <c r="K168" i="4"/>
  <c r="H169" i="4" s="1"/>
  <c r="I169" i="4" s="1"/>
  <c r="N168" i="4"/>
  <c r="E169" i="6"/>
  <c r="E157" i="6"/>
  <c r="K156" i="4"/>
  <c r="H157" i="4" s="1"/>
  <c r="I157" i="4" s="1"/>
  <c r="N156" i="4"/>
  <c r="O156" i="4" s="1"/>
  <c r="E181" i="6"/>
  <c r="K180" i="4"/>
  <c r="H181" i="4" s="1"/>
  <c r="I181" i="4" s="1"/>
  <c r="N180" i="4"/>
  <c r="I140" i="6" l="1"/>
  <c r="J140" i="6" s="1"/>
  <c r="D141" i="6" s="1"/>
  <c r="N140" i="6"/>
  <c r="N181" i="4"/>
  <c r="K181" i="4"/>
  <c r="H182" i="4" s="1"/>
  <c r="I182" i="4" s="1"/>
  <c r="E182" i="6"/>
  <c r="N157" i="4"/>
  <c r="O157" i="4" s="1"/>
  <c r="K157" i="4"/>
  <c r="H158" i="4" s="1"/>
  <c r="I158" i="4" s="1"/>
  <c r="E158" i="6"/>
  <c r="N169" i="4"/>
  <c r="K169" i="4"/>
  <c r="H170" i="4" s="1"/>
  <c r="I170" i="4" s="1"/>
  <c r="E170" i="6"/>
  <c r="F141" i="6" l="1"/>
  <c r="G141" i="6" s="1"/>
  <c r="M141" i="6" s="1"/>
  <c r="K141" i="6"/>
  <c r="L141" i="6" s="1"/>
  <c r="E159" i="6"/>
  <c r="J158" i="4"/>
  <c r="N158" i="4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E183" i="6"/>
  <c r="N182" i="4"/>
  <c r="J182" i="4"/>
  <c r="T16" i="9" s="1"/>
  <c r="V13" i="9"/>
  <c r="V11" i="9"/>
  <c r="V12" i="9"/>
  <c r="V15" i="9"/>
  <c r="V16" i="9"/>
  <c r="V14" i="9"/>
  <c r="E171" i="6"/>
  <c r="N170" i="4"/>
  <c r="J170" i="4"/>
  <c r="T15" i="9" s="1"/>
  <c r="H141" i="6" l="1"/>
  <c r="O170" i="4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T14" i="9"/>
  <c r="U14" i="9" s="1"/>
  <c r="U15" i="9" s="1"/>
  <c r="U16" i="9" s="1"/>
  <c r="AV12" i="6"/>
  <c r="AV16" i="6" s="1"/>
  <c r="I141" i="6" l="1"/>
  <c r="J141" i="6" s="1"/>
  <c r="D142" i="6" s="1"/>
  <c r="N141" i="6"/>
  <c r="K142" i="6" l="1"/>
  <c r="L142" i="6" s="1"/>
  <c r="F142" i="6"/>
  <c r="G142" i="6" s="1"/>
  <c r="M142" i="6" s="1"/>
  <c r="H142" i="6" l="1"/>
  <c r="N142" i="6" l="1"/>
  <c r="I142" i="6"/>
  <c r="J142" i="6" s="1"/>
  <c r="D143" i="6" s="1"/>
  <c r="F143" i="6" l="1"/>
  <c r="G143" i="6" s="1"/>
  <c r="M143" i="6" s="1"/>
  <c r="K143" i="6"/>
  <c r="L143" i="6" s="1"/>
  <c r="H143" i="6" l="1"/>
  <c r="I143" i="6" s="1"/>
  <c r="J143" i="6" s="1"/>
  <c r="D144" i="6" s="1"/>
  <c r="F144" i="6" s="1"/>
  <c r="G144" i="6" s="1"/>
  <c r="M144" i="6" s="1"/>
  <c r="N143" i="6" l="1"/>
  <c r="K144" i="6"/>
  <c r="L144" i="6" s="1"/>
  <c r="H144" i="6"/>
  <c r="I144" i="6" s="1"/>
  <c r="J144" i="6" s="1"/>
  <c r="D145" i="6" s="1"/>
  <c r="F145" i="6" l="1"/>
  <c r="G145" i="6" s="1"/>
  <c r="M145" i="6" s="1"/>
  <c r="K145" i="6"/>
  <c r="L145" i="6" s="1"/>
  <c r="N144" i="6"/>
  <c r="H145" i="6" l="1"/>
  <c r="I145" i="6" l="1"/>
  <c r="J145" i="6" s="1"/>
  <c r="D146" i="6" s="1"/>
  <c r="N145" i="6"/>
  <c r="I146" i="6" l="1"/>
  <c r="F146" i="6"/>
  <c r="G146" i="6" s="1"/>
  <c r="M146" i="6" s="1"/>
  <c r="H146" i="6"/>
  <c r="N146" i="6" s="1"/>
  <c r="K146" i="6"/>
  <c r="L146" i="6" s="1"/>
  <c r="J146" i="6"/>
  <c r="D147" i="6" s="1"/>
  <c r="H147" i="6" l="1"/>
  <c r="N147" i="6" s="1"/>
  <c r="I147" i="6"/>
  <c r="K147" i="6"/>
  <c r="L147" i="6" s="1"/>
  <c r="S13" i="9" s="1"/>
  <c r="J147" i="6"/>
  <c r="F147" i="6"/>
  <c r="G147" i="6" s="1"/>
  <c r="M147" i="6" s="1"/>
  <c r="AV7" i="6" a="1"/>
  <c r="AV7" i="6" s="1"/>
  <c r="R11" i="9"/>
  <c r="R12" i="9"/>
  <c r="R13" i="9" l="1"/>
  <c r="Q13" i="9"/>
  <c r="D148" i="6"/>
  <c r="AV8" i="6"/>
  <c r="F22" i="1" s="1"/>
  <c r="AV10" i="6"/>
  <c r="K148" i="6" l="1"/>
  <c r="L148" i="6" s="1"/>
  <c r="I148" i="6"/>
  <c r="F148" i="6"/>
  <c r="G148" i="6" s="1"/>
  <c r="M148" i="6" s="1"/>
  <c r="J148" i="6"/>
  <c r="D149" i="6" s="1"/>
  <c r="H148" i="6"/>
  <c r="N148" i="6" s="1"/>
  <c r="H149" i="6" l="1"/>
  <c r="N149" i="6" s="1"/>
  <c r="K149" i="6"/>
  <c r="L149" i="6" s="1"/>
  <c r="I149" i="6"/>
  <c r="F149" i="6"/>
  <c r="G149" i="6" s="1"/>
  <c r="M149" i="6" s="1"/>
  <c r="J149" i="6"/>
  <c r="D150" i="6" s="1"/>
  <c r="I150" i="6" l="1"/>
  <c r="J150" i="6"/>
  <c r="D151" i="6" s="1"/>
  <c r="H150" i="6"/>
  <c r="N150" i="6" s="1"/>
  <c r="K150" i="6"/>
  <c r="L150" i="6" s="1"/>
  <c r="F150" i="6"/>
  <c r="G150" i="6" s="1"/>
  <c r="M150" i="6" s="1"/>
  <c r="K151" i="6" l="1"/>
  <c r="L151" i="6" s="1"/>
  <c r="J151" i="6"/>
  <c r="D152" i="6" s="1"/>
  <c r="I151" i="6"/>
  <c r="H151" i="6"/>
  <c r="N151" i="6" s="1"/>
  <c r="F151" i="6"/>
  <c r="G151" i="6" s="1"/>
  <c r="M151" i="6" s="1"/>
  <c r="K152" i="6" l="1"/>
  <c r="L152" i="6" s="1"/>
  <c r="H152" i="6"/>
  <c r="N152" i="6" s="1"/>
  <c r="F152" i="6"/>
  <c r="G152" i="6" s="1"/>
  <c r="M152" i="6" s="1"/>
  <c r="J152" i="6"/>
  <c r="D153" i="6" s="1"/>
  <c r="I152" i="6"/>
  <c r="F153" i="6" l="1"/>
  <c r="G153" i="6" s="1"/>
  <c r="M153" i="6" s="1"/>
  <c r="H153" i="6"/>
  <c r="N153" i="6" s="1"/>
  <c r="I153" i="6"/>
  <c r="K153" i="6"/>
  <c r="L153" i="6" s="1"/>
  <c r="J153" i="6"/>
  <c r="D154" i="6" s="1"/>
  <c r="I154" i="6" l="1"/>
  <c r="J154" i="6"/>
  <c r="D155" i="6" s="1"/>
  <c r="H154" i="6"/>
  <c r="N154" i="6" s="1"/>
  <c r="F154" i="6"/>
  <c r="G154" i="6" s="1"/>
  <c r="M154" i="6" s="1"/>
  <c r="K154" i="6"/>
  <c r="L154" i="6" s="1"/>
  <c r="J155" i="6" l="1"/>
  <c r="D156" i="6" s="1"/>
  <c r="F155" i="6"/>
  <c r="G155" i="6" s="1"/>
  <c r="M155" i="6" s="1"/>
  <c r="H155" i="6"/>
  <c r="N155" i="6" s="1"/>
  <c r="K155" i="6"/>
  <c r="L155" i="6" s="1"/>
  <c r="I155" i="6"/>
  <c r="J156" i="6" l="1"/>
  <c r="D157" i="6" s="1"/>
  <c r="H156" i="6"/>
  <c r="N156" i="6" s="1"/>
  <c r="I156" i="6"/>
  <c r="F156" i="6"/>
  <c r="G156" i="6" s="1"/>
  <c r="M156" i="6" s="1"/>
  <c r="K156" i="6"/>
  <c r="L156" i="6" s="1"/>
  <c r="I157" i="6" l="1"/>
  <c r="K157" i="6"/>
  <c r="L157" i="6" s="1"/>
  <c r="J157" i="6"/>
  <c r="D158" i="6" s="1"/>
  <c r="F157" i="6"/>
  <c r="G157" i="6" s="1"/>
  <c r="M157" i="6" s="1"/>
  <c r="H157" i="6"/>
  <c r="N157" i="6" s="1"/>
  <c r="H158" i="6" l="1"/>
  <c r="N158" i="6" s="1"/>
  <c r="I158" i="6"/>
  <c r="K158" i="6"/>
  <c r="L158" i="6" s="1"/>
  <c r="J158" i="6"/>
  <c r="D159" i="6" s="1"/>
  <c r="F158" i="6"/>
  <c r="G158" i="6" s="1"/>
  <c r="M158" i="6" s="1"/>
  <c r="I159" i="6" l="1"/>
  <c r="K159" i="6"/>
  <c r="L159" i="6" s="1"/>
  <c r="S14" i="9" s="1"/>
  <c r="H159" i="6"/>
  <c r="N159" i="6" s="1"/>
  <c r="J159" i="6"/>
  <c r="F159" i="6"/>
  <c r="G159" i="6" s="1"/>
  <c r="M159" i="6" s="1"/>
  <c r="D160" i="6" l="1"/>
  <c r="Q14" i="9"/>
  <c r="J160" i="6" l="1"/>
  <c r="D161" i="6" s="1"/>
  <c r="K160" i="6"/>
  <c r="L160" i="6" s="1"/>
  <c r="H160" i="6"/>
  <c r="N160" i="6" s="1"/>
  <c r="I160" i="6"/>
  <c r="F160" i="6"/>
  <c r="G160" i="6" s="1"/>
  <c r="M160" i="6" s="1"/>
  <c r="J161" i="6" l="1"/>
  <c r="D162" i="6" s="1"/>
  <c r="H161" i="6"/>
  <c r="N161" i="6" s="1"/>
  <c r="I161" i="6"/>
  <c r="K161" i="6"/>
  <c r="L161" i="6" s="1"/>
  <c r="F161" i="6"/>
  <c r="G161" i="6" s="1"/>
  <c r="M161" i="6" s="1"/>
  <c r="K162" i="6" l="1"/>
  <c r="L162" i="6" s="1"/>
  <c r="H162" i="6"/>
  <c r="N162" i="6" s="1"/>
  <c r="I162" i="6"/>
  <c r="F162" i="6"/>
  <c r="G162" i="6" s="1"/>
  <c r="M162" i="6" s="1"/>
  <c r="J162" i="6"/>
  <c r="D163" i="6" s="1"/>
  <c r="H163" i="6" l="1"/>
  <c r="N163" i="6" s="1"/>
  <c r="K163" i="6"/>
  <c r="L163" i="6" s="1"/>
  <c r="I163" i="6"/>
  <c r="J163" i="6"/>
  <c r="D164" i="6" s="1"/>
  <c r="F163" i="6"/>
  <c r="G163" i="6" s="1"/>
  <c r="M163" i="6" s="1"/>
  <c r="I164" i="6" l="1"/>
  <c r="J164" i="6"/>
  <c r="D165" i="6" s="1"/>
  <c r="K164" i="6"/>
  <c r="L164" i="6" s="1"/>
  <c r="H164" i="6"/>
  <c r="N164" i="6" s="1"/>
  <c r="F164" i="6"/>
  <c r="G164" i="6" s="1"/>
  <c r="M164" i="6" s="1"/>
  <c r="K165" i="6" l="1"/>
  <c r="L165" i="6" s="1"/>
  <c r="F165" i="6"/>
  <c r="G165" i="6" s="1"/>
  <c r="M165" i="6" s="1"/>
  <c r="J165" i="6"/>
  <c r="D166" i="6" s="1"/>
  <c r="H165" i="6"/>
  <c r="N165" i="6" s="1"/>
  <c r="I165" i="6"/>
  <c r="H166" i="6" l="1"/>
  <c r="N166" i="6" s="1"/>
  <c r="J166" i="6"/>
  <c r="D167" i="6" s="1"/>
  <c r="K166" i="6"/>
  <c r="L166" i="6" s="1"/>
  <c r="I166" i="6"/>
  <c r="F166" i="6"/>
  <c r="G166" i="6" s="1"/>
  <c r="M166" i="6" s="1"/>
  <c r="K167" i="6" l="1"/>
  <c r="L167" i="6" s="1"/>
  <c r="F167" i="6"/>
  <c r="G167" i="6" s="1"/>
  <c r="M167" i="6" s="1"/>
  <c r="I167" i="6"/>
  <c r="J167" i="6"/>
  <c r="D168" i="6" s="1"/>
  <c r="H167" i="6"/>
  <c r="N167" i="6" s="1"/>
  <c r="H168" i="6" l="1"/>
  <c r="N168" i="6" s="1"/>
  <c r="K168" i="6"/>
  <c r="L168" i="6" s="1"/>
  <c r="I168" i="6"/>
  <c r="F168" i="6"/>
  <c r="G168" i="6" s="1"/>
  <c r="M168" i="6" s="1"/>
  <c r="J168" i="6"/>
  <c r="D169" i="6" s="1"/>
  <c r="F169" i="6" l="1"/>
  <c r="G169" i="6" s="1"/>
  <c r="M169" i="6" s="1"/>
  <c r="K169" i="6"/>
  <c r="L169" i="6" s="1"/>
  <c r="H169" i="6"/>
  <c r="N169" i="6" s="1"/>
  <c r="I169" i="6"/>
  <c r="J169" i="6"/>
  <c r="D170" i="6" s="1"/>
  <c r="K170" i="6" l="1"/>
  <c r="L170" i="6" s="1"/>
  <c r="J170" i="6"/>
  <c r="D171" i="6" s="1"/>
  <c r="H170" i="6"/>
  <c r="N170" i="6" s="1"/>
  <c r="F170" i="6"/>
  <c r="G170" i="6" s="1"/>
  <c r="M170" i="6" s="1"/>
  <c r="I170" i="6"/>
  <c r="I171" i="6" l="1"/>
  <c r="H171" i="6"/>
  <c r="N171" i="6" s="1"/>
  <c r="F171" i="6"/>
  <c r="G171" i="6" s="1"/>
  <c r="M171" i="6" s="1"/>
  <c r="J171" i="6"/>
  <c r="K171" i="6"/>
  <c r="L171" i="6" s="1"/>
  <c r="S15" i="9" s="1"/>
  <c r="Q15" i="9" l="1"/>
  <c r="D172" i="6"/>
  <c r="F172" i="6" l="1"/>
  <c r="G172" i="6" s="1"/>
  <c r="M172" i="6" s="1"/>
  <c r="I172" i="6"/>
  <c r="K172" i="6"/>
  <c r="L172" i="6" s="1"/>
  <c r="H172" i="6"/>
  <c r="N172" i="6" s="1"/>
  <c r="J172" i="6"/>
  <c r="D173" i="6" s="1"/>
  <c r="K173" i="6" l="1"/>
  <c r="L173" i="6" s="1"/>
  <c r="I173" i="6"/>
  <c r="F173" i="6"/>
  <c r="G173" i="6" s="1"/>
  <c r="M173" i="6" s="1"/>
  <c r="J173" i="6"/>
  <c r="D174" i="6" s="1"/>
  <c r="H173" i="6"/>
  <c r="N173" i="6" s="1"/>
  <c r="F174" i="6" l="1"/>
  <c r="G174" i="6" s="1"/>
  <c r="M174" i="6" s="1"/>
  <c r="J174" i="6"/>
  <c r="D175" i="6" s="1"/>
  <c r="H174" i="6"/>
  <c r="N174" i="6" s="1"/>
  <c r="I174" i="6"/>
  <c r="K174" i="6"/>
  <c r="L174" i="6" s="1"/>
  <c r="J175" i="6" l="1"/>
  <c r="D176" i="6" s="1"/>
  <c r="I175" i="6"/>
  <c r="K175" i="6"/>
  <c r="L175" i="6" s="1"/>
  <c r="H175" i="6"/>
  <c r="N175" i="6" s="1"/>
  <c r="F175" i="6"/>
  <c r="G175" i="6" s="1"/>
  <c r="M175" i="6" s="1"/>
  <c r="H176" i="6" l="1"/>
  <c r="N176" i="6" s="1"/>
  <c r="K176" i="6"/>
  <c r="L176" i="6" s="1"/>
  <c r="F176" i="6"/>
  <c r="G176" i="6" s="1"/>
  <c r="M176" i="6" s="1"/>
  <c r="J176" i="6"/>
  <c r="D177" i="6" s="1"/>
  <c r="I176" i="6"/>
  <c r="J177" i="6" l="1"/>
  <c r="D178" i="6" s="1"/>
  <c r="H177" i="6"/>
  <c r="N177" i="6" s="1"/>
  <c r="F177" i="6"/>
  <c r="G177" i="6" s="1"/>
  <c r="M177" i="6" s="1"/>
  <c r="I177" i="6"/>
  <c r="K177" i="6"/>
  <c r="L177" i="6" s="1"/>
  <c r="K178" i="6" l="1"/>
  <c r="L178" i="6" s="1"/>
  <c r="J178" i="6"/>
  <c r="D179" i="6" s="1"/>
  <c r="H178" i="6"/>
  <c r="N178" i="6" s="1"/>
  <c r="F178" i="6"/>
  <c r="G178" i="6" s="1"/>
  <c r="M178" i="6" s="1"/>
  <c r="I178" i="6"/>
  <c r="J179" i="6" l="1"/>
  <c r="D180" i="6" s="1"/>
  <c r="I179" i="6"/>
  <c r="F179" i="6"/>
  <c r="G179" i="6" s="1"/>
  <c r="M179" i="6" s="1"/>
  <c r="K179" i="6"/>
  <c r="L179" i="6" s="1"/>
  <c r="H179" i="6"/>
  <c r="N179" i="6" s="1"/>
  <c r="H180" i="6" l="1"/>
  <c r="N180" i="6" s="1"/>
  <c r="F180" i="6"/>
  <c r="G180" i="6" s="1"/>
  <c r="M180" i="6" s="1"/>
  <c r="J180" i="6"/>
  <c r="D181" i="6" s="1"/>
  <c r="K180" i="6"/>
  <c r="L180" i="6" s="1"/>
  <c r="I180" i="6"/>
  <c r="J181" i="6" l="1"/>
  <c r="D182" i="6" s="1"/>
  <c r="K181" i="6"/>
  <c r="L181" i="6" s="1"/>
  <c r="I181" i="6"/>
  <c r="H181" i="6"/>
  <c r="N181" i="6" s="1"/>
  <c r="F181" i="6"/>
  <c r="G181" i="6" s="1"/>
  <c r="M181" i="6" s="1"/>
  <c r="F182" i="6" l="1"/>
  <c r="G182" i="6" s="1"/>
  <c r="M182" i="6" s="1"/>
  <c r="J182" i="6"/>
  <c r="D183" i="6" s="1"/>
  <c r="K182" i="6"/>
  <c r="L182" i="6" s="1"/>
  <c r="I182" i="6"/>
  <c r="H182" i="6"/>
  <c r="N182" i="6" s="1"/>
  <c r="R14" i="9"/>
  <c r="R15" i="9"/>
  <c r="K183" i="6" l="1"/>
  <c r="R16" i="9" s="1"/>
  <c r="I183" i="6"/>
  <c r="AV5" i="6" s="1"/>
  <c r="H183" i="6"/>
  <c r="AV13" i="6" s="1"/>
  <c r="AV14" i="6" s="1"/>
  <c r="J183" i="6"/>
  <c r="Q16" i="9" s="1"/>
  <c r="F183" i="6"/>
  <c r="G183" i="6" s="1"/>
  <c r="N183" i="6" l="1"/>
  <c r="AV4" i="6"/>
  <c r="AV9" i="6" s="1"/>
  <c r="M183" i="6"/>
  <c r="L183" i="6"/>
  <c r="S16" i="9" s="1"/>
  <c r="C49" i="2" l="1" a="1"/>
  <c r="C49" i="2" s="1"/>
  <c r="E49" i="2" l="1"/>
  <c r="C50" i="2"/>
  <c r="F23" i="1" l="1"/>
  <c r="E50" i="2"/>
  <c r="F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4" authorId="0" shapeId="0" xr:uid="{DACAB258-7701-467F-A009-9087B726A01D}">
      <text>
        <r>
          <rPr>
            <b/>
            <sz val="9"/>
            <color indexed="81"/>
            <rFont val="Tahoma"/>
            <family val="2"/>
          </rPr>
          <t>ACCESS PASSWORD:
1234</t>
        </r>
      </text>
    </comment>
    <comment ref="C9" authorId="0" shapeId="0" xr:uid="{BCAF8677-1BE6-464B-B47B-B5B116582D17}">
      <text>
        <r>
          <rPr>
            <b/>
            <sz val="9"/>
            <color indexed="81"/>
            <rFont val="Tahoma"/>
            <charset val="1"/>
          </rPr>
          <t xml:space="preserve">Person A Tax payable:
</t>
        </r>
        <r>
          <rPr>
            <sz val="9"/>
            <color indexed="81"/>
            <rFont val="Tahoma"/>
            <family val="2"/>
          </rPr>
          <t>Provides the annual tax payable for A without the model</t>
        </r>
      </text>
    </comment>
    <comment ref="C10" authorId="0" shapeId="0" xr:uid="{8BEF0A75-7964-409E-9867-3889A0CB0BEF}">
      <text>
        <r>
          <rPr>
            <b/>
            <sz val="9"/>
            <color indexed="81"/>
            <rFont val="Tahoma"/>
            <family val="2"/>
          </rPr>
          <t xml:space="preserve">Person B Tax payable:
</t>
        </r>
        <r>
          <rPr>
            <sz val="9"/>
            <color indexed="81"/>
            <rFont val="Tahoma"/>
            <family val="2"/>
          </rPr>
          <t>Provides the annual tax payable for B without the model</t>
        </r>
      </text>
    </comment>
    <comment ref="C13" authorId="0" shapeId="0" xr:uid="{106773C2-157D-4782-B1BC-84D5C4528E18}">
      <text>
        <r>
          <rPr>
            <b/>
            <sz val="9"/>
            <color indexed="81"/>
            <rFont val="Tahoma"/>
            <family val="2"/>
          </rPr>
          <t xml:space="preserve">Annual Inflation:
</t>
        </r>
        <r>
          <rPr>
            <sz val="9"/>
            <color indexed="81"/>
            <rFont val="Tahoma"/>
            <family val="2"/>
          </rPr>
          <t>To be adjusted by admin</t>
        </r>
      </text>
    </comment>
    <comment ref="C14" authorId="0" shapeId="0" xr:uid="{B3F16E3C-0770-4A8A-BD02-A679F7CE9ECA}">
      <text>
        <r>
          <rPr>
            <b/>
            <sz val="9"/>
            <color indexed="81"/>
            <rFont val="Tahoma"/>
            <family val="2"/>
          </rPr>
          <t xml:space="preserve">Locked: </t>
        </r>
        <r>
          <rPr>
            <sz val="9"/>
            <color indexed="81"/>
            <rFont val="Tahoma"/>
            <family val="2"/>
          </rPr>
          <t xml:space="preserve">
Password 1234</t>
        </r>
      </text>
    </comment>
    <comment ref="C15" authorId="0" shapeId="0" xr:uid="{4C07B027-7A10-4F7A-A8A5-CFA1E4146BF7}">
      <text>
        <r>
          <rPr>
            <b/>
            <sz val="9"/>
            <color indexed="81"/>
            <rFont val="Tahoma"/>
            <family val="2"/>
          </rPr>
          <t xml:space="preserve">Locked: 
</t>
        </r>
        <r>
          <rPr>
            <sz val="9"/>
            <color indexed="81"/>
            <rFont val="Tahoma"/>
            <family val="2"/>
          </rPr>
          <t>Password 1234</t>
        </r>
      </text>
    </comment>
    <comment ref="C20" authorId="0" shapeId="0" xr:uid="{B373D190-F91B-47CA-9AB4-8DBB1364E551}">
      <text>
        <r>
          <rPr>
            <b/>
            <sz val="9"/>
            <color indexed="81"/>
            <rFont val="Tahoma"/>
            <family val="2"/>
          </rPr>
          <t xml:space="preserve">Medicare Rate:
</t>
        </r>
        <r>
          <rPr>
            <sz val="9"/>
            <color indexed="81"/>
            <rFont val="Tahoma"/>
            <family val="2"/>
          </rPr>
          <t>To be adjusted by admin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V16" authorId="0" shapeId="0" xr:uid="{97881406-C43C-4C5B-8140-0ED3F84F55D5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Interest saved + swept to super - remaining balance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<sst xmlns="http://schemas.openxmlformats.org/spreadsheetml/2006/main" count="416" uniqueCount="314">
  <si>
    <t xml:space="preserve">| Frequency Lookup           | 47‑52                </t>
  </si>
  <si>
    <t>Weekly</t>
  </si>
  <si>
    <t>Monthly</t>
  </si>
  <si>
    <t>Fortnightly</t>
  </si>
  <si>
    <t>Rate</t>
  </si>
  <si>
    <t>Medicare</t>
  </si>
  <si>
    <t>Concessional contribution cap (including SG)</t>
  </si>
  <si>
    <t>SG rate</t>
  </si>
  <si>
    <t>Division 293 threshold</t>
  </si>
  <si>
    <t>Net Investment Losses</t>
  </si>
  <si>
    <t>Loan Amount</t>
  </si>
  <si>
    <t>Annual Interest Rate</t>
  </si>
  <si>
    <t>Loan Term(Years)</t>
  </si>
  <si>
    <t>Start Date</t>
  </si>
  <si>
    <t>Frequency Lookup Table</t>
  </si>
  <si>
    <t>Frequency</t>
  </si>
  <si>
    <t xml:space="preserve"> </t>
  </si>
  <si>
    <t>Marginal Tax Rate</t>
  </si>
  <si>
    <t>Lower Limit</t>
  </si>
  <si>
    <t>Upper Limit</t>
  </si>
  <si>
    <t>Income</t>
  </si>
  <si>
    <t>Tax payable</t>
  </si>
  <si>
    <t>Period</t>
  </si>
  <si>
    <t>Year</t>
  </si>
  <si>
    <t>PeriodInYear</t>
  </si>
  <si>
    <t>MarginalRate</t>
  </si>
  <si>
    <t>BasePreTax</t>
  </si>
  <si>
    <t>CarryFwdThisYear</t>
  </si>
  <si>
    <t>EmployerSGAnnual</t>
  </si>
  <si>
    <t>AllowablePersonalAnnual</t>
  </si>
  <si>
    <t>CumulativePrev</t>
  </si>
  <si>
    <t>TaxSavedPrev</t>
  </si>
  <si>
    <t>AvailableRoom</t>
  </si>
  <si>
    <t>CumulativeTaxSavedYTD</t>
  </si>
  <si>
    <t>IsSweepPeriod</t>
  </si>
  <si>
    <t>PeriodsPerYear</t>
  </si>
  <si>
    <t>TotalPeriods</t>
  </si>
  <si>
    <t>AnnualIncome</t>
  </si>
  <si>
    <t>EmployerSG</t>
  </si>
  <si>
    <t>CarryFwdStart</t>
  </si>
  <si>
    <t>RemainingCarryFwd</t>
  </si>
  <si>
    <t>ExpiredCarryFwd</t>
  </si>
  <si>
    <t>Medicare Rate</t>
  </si>
  <si>
    <t>Years between cap indexation</t>
  </si>
  <si>
    <t>SuperBalanceEnd</t>
  </si>
  <si>
    <t>Adjusted Tax Table</t>
  </si>
  <si>
    <t>Tax Table</t>
  </si>
  <si>
    <t>DepositA</t>
  </si>
  <si>
    <t>DepositB</t>
  </si>
  <si>
    <t>TotalDeposit</t>
  </si>
  <si>
    <t>OffsetStart</t>
  </si>
  <si>
    <t>OffsetBeforeSweep</t>
  </si>
  <si>
    <t>SweepAmount</t>
  </si>
  <si>
    <t>OffsetEnd</t>
  </si>
  <si>
    <t>StandardPayment</t>
  </si>
  <si>
    <t>OpeningBalance</t>
  </si>
  <si>
    <t>EffectiveBalance</t>
  </si>
  <si>
    <t>Interest</t>
  </si>
  <si>
    <t>TotalPayment</t>
  </si>
  <si>
    <t>Principal</t>
  </si>
  <si>
    <t>ClosingBalance</t>
  </si>
  <si>
    <t>InterestSaved</t>
  </si>
  <si>
    <t>ConcessCap</t>
  </si>
  <si>
    <t>PersonalContributionUsed</t>
  </si>
  <si>
    <t>SuperBalanceStart</t>
  </si>
  <si>
    <t>Div293Income</t>
  </si>
  <si>
    <t>Div293Tax</t>
  </si>
  <si>
    <t>Used0</t>
  </si>
  <si>
    <t>Used1</t>
  </si>
  <si>
    <t>Used2</t>
  </si>
  <si>
    <t>Used3</t>
  </si>
  <si>
    <t>Used4</t>
  </si>
  <si>
    <t>Used5</t>
  </si>
  <si>
    <t>PersonA_Contribution</t>
  </si>
  <si>
    <t>PersonB_Contribution</t>
  </si>
  <si>
    <t>Total_Contribution</t>
  </si>
  <si>
    <t>PersonA_TaxSaved</t>
  </si>
  <si>
    <t>PersonB_TaxSaved</t>
  </si>
  <si>
    <t>Total_TaxSaved</t>
  </si>
  <si>
    <t>Base Repayment</t>
  </si>
  <si>
    <t>CumulativeTaxSavedTotal</t>
  </si>
  <si>
    <t>CumulativeInterestSaved</t>
  </si>
  <si>
    <t>Adjusted Rate(Medicare Inc)</t>
  </si>
  <si>
    <t>Yes</t>
  </si>
  <si>
    <t>No</t>
  </si>
  <si>
    <t>Transfer from A</t>
  </si>
  <si>
    <t>Received from A</t>
  </si>
  <si>
    <t>Scenario A: Current Trajectory (No offset or extra payment)</t>
  </si>
  <si>
    <t>Scenario B: Extra after-tax payment to mortgage( no offset)</t>
  </si>
  <si>
    <t>Scenario C: SuperSmart Strategy(Ofset &amp; Annual Sweep)</t>
  </si>
  <si>
    <t>TransferOut</t>
  </si>
  <si>
    <t>NetPersonalContribution</t>
  </si>
  <si>
    <t>Tracks deposits from PersonaA and PersonaB each period, accumulates, and sweeps to zero at the last period of each financial year.</t>
  </si>
  <si>
    <t>TaxSavedA</t>
  </si>
  <si>
    <t>TaxSavedB</t>
  </si>
  <si>
    <t>LOAN COMPARISON SUMMARY</t>
  </si>
  <si>
    <t>Metric</t>
  </si>
  <si>
    <t>Scenario A: Current</t>
  </si>
  <si>
    <t>Scenario B: Extra Payments</t>
  </si>
  <si>
    <t>Scenario C: SuperSmart</t>
  </si>
  <si>
    <t>Total Interest Paid</t>
  </si>
  <si>
    <t>Total Principal Paid</t>
  </si>
  <si>
    <t>Periods Until Loan Paid Off</t>
  </si>
  <si>
    <t>Years Until Loan Paid Off</t>
  </si>
  <si>
    <t>Interest Saved vs Scenario A</t>
  </si>
  <si>
    <t>-</t>
  </si>
  <si>
    <t>Time Saved vs Scenario A (months)</t>
  </si>
  <si>
    <t>Cumulative Interest Saved (SuperSmart)</t>
  </si>
  <si>
    <t>Total Offset Deposits Swept to Super</t>
  </si>
  <si>
    <t>Year 0</t>
  </si>
  <si>
    <t>Year 1</t>
  </si>
  <si>
    <t>Year 2</t>
  </si>
  <si>
    <t>Year 3</t>
  </si>
  <si>
    <t>Year 4</t>
  </si>
  <si>
    <t>Year 5</t>
  </si>
  <si>
    <t>Assumed super investment return p.a.</t>
  </si>
  <si>
    <t>Indexation increment for cap ($2,500 every 2 years)</t>
  </si>
  <si>
    <t>Start Date (enter as date e.g. 1/07/2027)</t>
  </si>
  <si>
    <t>Super contributions tax rate (inside fund)</t>
  </si>
  <si>
    <t>Blue text</t>
  </si>
  <si>
    <t>Yellow cells</t>
  </si>
  <si>
    <t>Client-specific (change per client)</t>
  </si>
  <si>
    <t>Tax Comparison: Without vs With SuperSmart</t>
  </si>
  <si>
    <t>Person A</t>
  </si>
  <si>
    <t>Person B</t>
  </si>
  <si>
    <t>Combined</t>
  </si>
  <si>
    <t>WITHOUT SuperSmart (Current Position)</t>
  </si>
  <si>
    <t>Annual Gross Income</t>
  </si>
  <si>
    <t>Marginal Tax Rate (incl. Medicare)</t>
  </si>
  <si>
    <t>Income Tax Payable (excl. Medicare)</t>
  </si>
  <si>
    <t>Medicare Levy (2%)</t>
  </si>
  <si>
    <t>Total Tax Payable</t>
  </si>
  <si>
    <t>After-Tax Income</t>
  </si>
  <si>
    <t>Effective Tax Rate</t>
  </si>
  <si>
    <t>WITH SuperSmart (Year 1)</t>
  </si>
  <si>
    <t>Year 1 Personal Super Contribution</t>
  </si>
  <si>
    <t>Reduced Taxable Income</t>
  </si>
  <si>
    <t>Total Tax Payable (on reduced income)</t>
  </si>
  <si>
    <t>After-Tax Income (before super contribution)</t>
  </si>
  <si>
    <t>TAX SAVINGS (Year 1)</t>
  </si>
  <si>
    <t>Interest Saved on Mortgage</t>
  </si>
  <si>
    <t>YearIndex</t>
  </si>
  <si>
    <t>Cumul_TaxSaved_A</t>
  </si>
  <si>
    <t>Cumul_TaxSaved_B</t>
  </si>
  <si>
    <t>Cumul_TaxSaved_Total</t>
  </si>
  <si>
    <t>SuperBalance_A</t>
  </si>
  <si>
    <t>SuperBalance_B</t>
  </si>
  <si>
    <t>SuperBalance_Combined</t>
  </si>
  <si>
    <t>LoanBal_ScenarioA</t>
  </si>
  <si>
    <t>LoanBal_ScenarioB</t>
  </si>
  <si>
    <t>LoanBal_ScenarioC</t>
  </si>
  <si>
    <t>InterestSaved_Annual</t>
  </si>
  <si>
    <t>InterestSaved_Cumul</t>
  </si>
  <si>
    <t>SweepAmount_Cumul</t>
  </si>
  <si>
    <t>OffsetPeakBalance</t>
  </si>
  <si>
    <t>AfterTaxContrib_Annual</t>
  </si>
  <si>
    <t>CompoundingBenefitRate</t>
  </si>
  <si>
    <t>Div293_Tax_A</t>
  </si>
  <si>
    <t>Div293_Tax_B</t>
  </si>
  <si>
    <t>EmployerSG_A</t>
  </si>
  <si>
    <t>EmployerSG_B</t>
  </si>
  <si>
    <t>CarryFwd_Remaining_A</t>
  </si>
  <si>
    <t>CarryFwd_Remaining_B</t>
  </si>
  <si>
    <t>ConcessionalCap</t>
  </si>
  <si>
    <t>NetSuperContrib_A</t>
  </si>
  <si>
    <t>NetSuperContrib_B</t>
  </si>
  <si>
    <t>EffectiveSavingsRate</t>
  </si>
  <si>
    <t>CumulativeInterest</t>
  </si>
  <si>
    <t>CumulativePayments</t>
  </si>
  <si>
    <t>LoanYear</t>
  </si>
  <si>
    <t>Total Payments Made</t>
  </si>
  <si>
    <t>Total Cash Outlay Savings vs A</t>
  </si>
  <si>
    <t>Cumulative Interest at End (from new cols)</t>
  </si>
  <si>
    <t>Net Position at Retirement (SuperSmart)</t>
  </si>
  <si>
    <t>Green text</t>
  </si>
  <si>
    <t>Calculated (formula-derived)</t>
  </si>
  <si>
    <t>① Personal &amp; Income</t>
  </si>
  <si>
    <t>② Medicare</t>
  </si>
  <si>
    <t>③ Superannuation Parameters</t>
  </si>
  <si>
    <t>④ Mortgage Parameters</t>
  </si>
  <si>
    <t>⑤ Spousal Transfer</t>
  </si>
  <si>
    <t>Inflation Rate (annual)</t>
  </si>
  <si>
    <t>Extra Repayment (weekly equivalent, optional)</t>
  </si>
  <si>
    <t>Opening Offset Account Balance</t>
  </si>
  <si>
    <t>Extra Repayment per Period  ▸ auto-converted</t>
  </si>
  <si>
    <t>Allow Spousal Transfer of Excess Contributions?</t>
  </si>
  <si>
    <t>If Yes, Transfer Excess from Person A to B?</t>
  </si>
  <si>
    <t>Pay Frequency -  Person A</t>
  </si>
  <si>
    <t>Annual Gross Income - Person A</t>
  </si>
  <si>
    <t>Desired After-Tax Contribution -  Person A</t>
  </si>
  <si>
    <t>Annual Gross Income - Person B</t>
  </si>
  <si>
    <t>Pay Frequency - Person B</t>
  </si>
  <si>
    <t>Desired After-Tax Contribution  - Person B</t>
  </si>
  <si>
    <t>Current Age - Person A</t>
  </si>
  <si>
    <t>Current Age - Person B</t>
  </si>
  <si>
    <t>Carry-Forward Balance - Person A</t>
  </si>
  <si>
    <t>Carry-Forward Balance - Person B</t>
  </si>
  <si>
    <t>Super Balance - Person A (for carry-forward eligibility)</t>
  </si>
  <si>
    <t>Super Balance - Person B (for carry-forward eligibility)</t>
  </si>
  <si>
    <t>LIVE MODEL PREVIEW</t>
  </si>
  <si>
    <t>Tax &amp; Income</t>
  </si>
  <si>
    <t>Combined Gross Income</t>
  </si>
  <si>
    <t>Effective Tax Rate (no strategy)</t>
  </si>
  <si>
    <t>Year 1 Tax Saved</t>
  </si>
  <si>
    <t>Lifetime Tax Saved</t>
  </si>
  <si>
    <t>Monthly Repayment</t>
  </si>
  <si>
    <t>Extra Repay (converted)</t>
  </si>
  <si>
    <t>Payoff (Scenario A)</t>
  </si>
  <si>
    <t>Payoff (SuperSmart)</t>
  </si>
  <si>
    <t>Interest Saved</t>
  </si>
  <si>
    <t>Super &amp; Strategy</t>
  </si>
  <si>
    <t>Yr 1 Contribution (combined)</t>
  </si>
  <si>
    <t>Combined Benefit (lifetime)</t>
  </si>
  <si>
    <t>📋 INPUT GUIDE</t>
  </si>
  <si>
    <t>Person A Tax Payable</t>
  </si>
  <si>
    <t>Person B Tax Payable</t>
  </si>
  <si>
    <t>LoanTermAdj</t>
  </si>
  <si>
    <t xml:space="preserve">Retirement Age  Person </t>
  </si>
  <si>
    <t>Projection Years (to Retirement) A</t>
  </si>
  <si>
    <t>Projection Years (to Retirement) B</t>
  </si>
  <si>
    <t xml:space="preserve">System assumptions (rarely changed) </t>
  </si>
  <si>
    <t>Tax Savings (Year 1)</t>
  </si>
  <si>
    <t>Lifetime Super Balance</t>
  </si>
  <si>
    <t>Combined Benefit (Tax + Interest)</t>
  </si>
  <si>
    <t>Ending Balance (Final Period)</t>
  </si>
  <si>
    <t>Expected Minimum Contribution</t>
  </si>
  <si>
    <t>Per Period — Person A</t>
  </si>
  <si>
    <t>Per Period — Person B</t>
  </si>
  <si>
    <t>EXPECTED LIFETIME TAX PAYABLE (No Strategy)</t>
  </si>
  <si>
    <t>Avg. Effective Tax Rate</t>
  </si>
  <si>
    <t>Lifetime Tax Payable</t>
  </si>
  <si>
    <t>Years to Retirement</t>
  </si>
  <si>
    <t>Total Lifetime Income</t>
  </si>
  <si>
    <t>Lifetime Tax Payable (no strategy)</t>
  </si>
  <si>
    <t>Total Lifetime tax payable</t>
  </si>
  <si>
    <t>TaxPayableNoStrategy</t>
  </si>
  <si>
    <t>SUPERSMART MORTGAGE STRATEGY MODEL 2.0</t>
  </si>
  <si>
    <t>README — Model Guide &amp; Methodology</t>
  </si>
  <si>
    <t>① PROJECT OVERVIEW</t>
  </si>
  <si>
    <t>This model implements an Australian tax-optimised mortgage repayment strategy ("SuperSmart") that coordinates salary sacrifice to superannuation, offset account accumulation, and annual sweeps to accelerate mortgage payoff while maximising lifetime tax savings.</t>
  </si>
  <si>
    <t>Client Requirements Met:</t>
  </si>
  <si>
    <t>✅  Dual-persona tax modelling (Person A &amp; B with different incomes, ages, retirement horizons)</t>
  </si>
  <si>
    <t>✅  Three-scenario mortgage comparison (No Strategy / Extra Repayments / SuperSmart with Offset)</t>
  </si>
  <si>
    <t>✅  Carry-forward concessional cap utilisation with 5-year rolling tracker and spousal transfers</t>
  </si>
  <si>
    <t>✅  Division 293 high-earner surcharge modelling and Medicare levy integration</t>
  </si>
  <si>
    <t>✅  Monthly-granularity offset account with annual sweep-to-mortgage mechanism</t>
  </si>
  <si>
    <t>✅  Inflation-adjusted projections with dynamic SG rate and concessional cap indexation</t>
  </si>
  <si>
    <t>✅  28 advanced DAX measures with Power BI-ready formulas for portfolio dashboarding</t>
  </si>
  <si>
    <t>✅  Executive dashboard with KPI scorecards, 6 charts, and conditional-formatted summary</t>
  </si>
  <si>
    <t>② HOW THE STRATEGY WORKS</t>
  </si>
  <si>
    <t>The SuperSmart strategy works in three coordinated stages each financial year:</t>
  </si>
  <si>
    <t>Step 1 — Salary Sacrifice to Super (Tax Reduction)</t>
  </si>
  <si>
    <t>Step 2 — Offset Account Accumulation (Interest Reduction)</t>
  </si>
  <si>
    <t>The tax-saved funds are deposited into a mortgage offset account each pay period. While sitting in offset, the balance directly reduces the effective mortgage principal that accrues interest. For example, a $400K offset against a $1.8M loan means interest accrues on $1.4M only.</t>
  </si>
  <si>
    <t>Step 3 — Annual Sweep to Mortgage (Principal Acceleration)</t>
  </si>
  <si>
    <t>At the end of each financial year, the accumulated offset balance is swept as a lump-sum extra repayment against the loan principal. This permanently reduces the outstanding balance, creating a compounding effect: each year's sweep means the following year's interest is lower, accelerating payoff.</t>
  </si>
  <si>
    <t>③ SHEET-BY-SHEET GUIDE</t>
  </si>
  <si>
    <t>Navigate the model using this flow: Input → Engine Sheets → Summary → Dashboard</t>
  </si>
  <si>
    <t>📘 Dashboard  (Start Here)</t>
  </si>
  <si>
    <t>Executive summary with 4 KPI scorecards (Tax Saved, Interest Saved, Super Wealth, ROI) and 6 visualisations. All values are formula-linked — changes to Input flow through automatically.</t>
  </si>
  <si>
    <t>📊 Measures</t>
  </si>
  <si>
    <t>28 advanced KPIs across 4 categories: Strategy Efficiency, Mortgage Acceleration, Super &amp; Wealth, Risk &amp; Sensitivity. Each row has the computed value, plain-English description, and a copy-pasteable Power BI DAX measure.</t>
  </si>
  <si>
    <t>⚙️ Input  (Client Configuration)</t>
  </si>
  <si>
    <t>All client-specific parameters: incomes, ages, super balances, carry-forward, mortgage terms, SG rate, Div 293 threshold, inflation. Blue text = change per client. Yellow = system assumptions. Green = formula-derived (do not edit). The Live Model Preview panel on the right shows real-time impacts.</t>
  </si>
  <si>
    <t>💰 Tax Helper</t>
  </si>
  <si>
    <t>Australian marginal tax table with Medicare levy. Calculates tax payable with and without the strategy for both personas. Produces the 'Year 1 Tax Saved' and 'Lifetime Tax Saved' headline figures. Uses the ATO 2024–25 tax brackets.</t>
  </si>
  <si>
    <t>👤 PersonaA / PersonaB  (Contribution Engines)</t>
  </si>
  <si>
    <t>Monthly-granularity salary sacrifice calculators for each persona. Tracks: base pre-tax contribution, carry-forward allowance, actual contribution, tax saved per period, cumulative YTD totals. Handles the carry-forward burn sequence and spousal transfer logic.</t>
  </si>
  <si>
    <t>🏠 Loan  (3-Scenario Amortisation)</t>
  </si>
  <si>
    <t>Full monthly amortisation for all three scenarios side-by-side (Scenario A: baseline, B: extra repayments, C: SuperSmart with offset + sweep). Includes a comparison summary table showing total interest paid, payoff periods, interest saved, and time saved for each scenario.</t>
  </si>
  <si>
    <t>💳 Offset  (Sweep Tracker)</t>
  </si>
  <si>
    <t>Tracks monthly deposits from both personas into the offset account. Accumulates through the year, then sweeps to zero at year-end. Records peak balance per period and the interest saved by having funds in offset before the sweep.</t>
  </si>
  <si>
    <t>📅 YearlyParamsA / YearlyParamsB</t>
  </si>
  <si>
    <t>Yearly rollup of superannuation parameters: concessional cap progression (with indexation), carry-forward balance tracking (5-year rolling window with expiry), employer SG, Division 293 income test, and net personal contribution after transfers.</t>
  </si>
  <si>
    <t>📊 YearlySummary  (Central Data Hub)</t>
  </si>
  <si>
    <t>The model's core output table — one row per projection year with 34 columns covering: contributions, tax saved, cumulative tax saved, super balances, loan balances (all 3 scenarios), interest saved, sweep amounts, offset peak, employer SG, carry-forward remaining, Div 293 tax, and savings rates. This sheet feeds the Dashboard and Measures.</t>
  </si>
  <si>
    <t>④ DATA FLOW &amp; FORMULA CHAIN</t>
  </si>
  <si>
    <t>Every output is formula-driven. No hardcoded results. Change any input and all 11 sheets recalculate.</t>
  </si>
  <si>
    <t>Layer 1: Input Parameters</t>
  </si>
  <si>
    <t>Input sheet → Named ranges (IncA, IncB, LoanRate, LoanAmount, etc.) feed all downstream sheets via absolute references.</t>
  </si>
  <si>
    <t>Layer 2: Tax Engine</t>
  </si>
  <si>
    <t>Tax Helper calculates marginal rates and tax payable → feeds PersonaA/B with each persona's marginal rate and the base pre-tax contribution amount per period.</t>
  </si>
  <si>
    <t>Layer 3: Contribution Engines</t>
  </si>
  <si>
    <t>PersonaA/B compute monthly salary sacrifice amounts → tax saved per period → deposits to Offset. YearlyParamsA/B track annual carry-forward, SG, Div 293, and cap indexation.</t>
  </si>
  <si>
    <t>Layer 4: Mortgage &amp; Offset</t>
  </si>
  <si>
    <t>Offset accumulates monthly deposits → reduces effective balance in Loan sheet → annual sweep resets offset to zero and applies lump sum to principal. Loan runs 3 parallel amortisation schedules.</t>
  </si>
  <si>
    <t>Layer 5: Aggregation &amp; Output</t>
  </si>
  <si>
    <t>YearlySummary aggregates all engines into 34-column yearly table → Measures derives 28 KPIs from YearlySummary → Dashboard visualises the headline outputs.</t>
  </si>
  <si>
    <t>⑤ KEY ASSUMPTIONS</t>
  </si>
  <si>
    <t>•  Tax brackets: ATO 2024–25 rates (incl. Stage 3 tax cuts). Medicare levy 2%.</t>
  </si>
  <si>
    <t>•  Carry-forward: 5-year rolling window. Available only if total super &lt; $500K.</t>
  </si>
  <si>
    <t>•  Super returns: 7% p.a. gross (before 15% earnings tax inside fund).</t>
  </si>
  <si>
    <t>•  Inflation: 2.5% p.a. applied to incomes and contribution capacity.</t>
  </si>
  <si>
    <t>•  Offset sweep: Annual frequency at end of financial year (June 30).</t>
  </si>
  <si>
    <t>⑥ QUICK-START: HOW TO USE</t>
  </si>
  <si>
    <t>Step 1 — Enter Client Details</t>
  </si>
  <si>
    <t>Step 2 — Verify Tax Calculation</t>
  </si>
  <si>
    <t>Check the Tax Helper sheet — confirm the marginal rates and tax payable figures match the client's latest tax assessment. The 'WITH SuperSmart' section should show the reduced taxable income after salary sacrifice.</t>
  </si>
  <si>
    <t>Step 3 — Review the Dashboard</t>
  </si>
  <si>
    <t>Navigate to Dashboard for the executive summary. The 4 KPI cards show headline metrics. Scroll down for the loan trajectory chart (3 scenarios), cumulative tax saved, super growth, and contribution breakdown.</t>
  </si>
  <si>
    <t>Step 4 — Deep-Dive with Measures</t>
  </si>
  <si>
    <t>The Measures sheet provides 28 KPIs with descriptions. Use these to answer client questions: 'What's my break-even super return?' (B35), 'How much risk is front-loaded in Year 1?' (B39), 'What's the real benefit after inflation?' (B37).</t>
  </si>
  <si>
    <t>Step 5 — Scenario Analysis</t>
  </si>
  <si>
    <t>Adjust Input parameters to test scenarios: change the interest rate (C38), super return (C31), or inflation rate (C13) and watch all sheets recalculate. Compare the Dashboard before/after to quantify the impact.</t>
  </si>
  <si>
    <t>Step 6 — Export to Power BI (Optional)</t>
  </si>
  <si>
    <t>Column D of the Measures sheet contains valid Power BI DAX measures. To use: (1) Import this workbook into Power BI via Get Data &gt; Excel, (2) Create relationships between Input, YearlySummary, and Loan tables, (3) Copy each DAX formula from column D into New Measure in Power BI Desktop.</t>
  </si>
  <si>
    <t>•  Concessional cap: $32,500 base, indexed $2,500 every 2 years.</t>
  </si>
  <si>
    <t>Each persona redirects pre-tax income into superannuation up to their allowable concessional cap (including carry-forward from unused prior years). This reduces taxable income from the marginal rate (up to 47% incl. Medicare) to the 15% super contributions tax — saving up to 32 cents per dollar contributed.</t>
  </si>
  <si>
    <t>•  Spousal transfer: Enabled by default — when one persona exhausts their concessional room, excess personal contributions are redirected to the other persona's available cap.</t>
  </si>
  <si>
    <t>Go to the Input sheet. Update the blue-text cells in sections ①–⑤: gross incomes, ages, super balances, carry-forward balances, loan amount, interest rate, and loan term. Leave green-text (formula) cells untouched.</t>
  </si>
  <si>
    <t>ClientPreTaxContrib</t>
  </si>
  <si>
    <t>ClientContribution</t>
  </si>
  <si>
    <t>TotalTaxBenefit</t>
  </si>
  <si>
    <t>CumulativeSuperYTD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</si>
</sst>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%"/>
    <numFmt numFmtId="165" formatCode="[$$-C09]#,##0.00"/>
    <numFmt numFmtId="166" formatCode="yyyy"/>
    <numFmt numFmtId="167" formatCode="[$$-C09]#,##0"/>
    <numFmt numFmtId="168" formatCode="0.0"/>
    <numFmt numFmtId="169" formatCode="[$-C09]dd/mm/yyyy"/>
    <numFmt numFmtId="170" formatCode="&quot;Ksh&quot;#,##0"/>
  </numFmts>
  <fonts count="7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F9FAFB"/>
      <name val="Consolas"/>
      <family val="3"/>
    </font>
    <font>
      <i/>
      <sz val="8"/>
      <color rgb="FFF9FAFB"/>
      <name val="Segoe UI"/>
      <family val="2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E284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1565C0"/>
      <name val="Aptos Narrow"/>
      <family val="2"/>
      <scheme val="minor"/>
    </font>
    <font>
      <b/>
      <sz val="11"/>
      <color rgb="FF2E7D32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999999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39C12"/>
      <name val="Aptos Narrow"/>
      <family val="2"/>
      <scheme val="minor"/>
    </font>
    <font>
      <b/>
      <sz val="11"/>
      <color rgb="FF00B894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1"/>
      <color rgb="FF1B4F72"/>
      <name val="Aptos Narrow"/>
      <family val="2"/>
      <scheme val="minor"/>
    </font>
    <font>
      <b/>
      <sz val="11"/>
      <color rgb="FF1E8449"/>
      <name val="Aptos Narrow"/>
      <family val="2"/>
      <scheme val="minor"/>
    </font>
    <font>
      <b/>
      <sz val="11"/>
      <color rgb="FFD35400"/>
      <name val="Aptos Narrow"/>
      <family val="2"/>
      <scheme val="minor"/>
    </font>
    <font>
      <b/>
      <sz val="11"/>
      <color rgb="FF2E86C1"/>
      <name val="Aptos Narrow"/>
      <family val="2"/>
      <scheme val="minor"/>
    </font>
    <font>
      <sz val="9"/>
      <color rgb="FFC0392B"/>
      <name val="Aptos Narrow"/>
      <family val="2"/>
      <scheme val="minor"/>
    </font>
    <font>
      <sz val="9"/>
      <color rgb="FFD4AC0D"/>
      <name val="Aptos Narrow"/>
      <family val="2"/>
      <scheme val="minor"/>
    </font>
    <font>
      <i/>
      <sz val="9"/>
      <color rgb="FFC0392B"/>
      <name val="Aptos Narrow"/>
      <family val="2"/>
      <scheme val="minor"/>
    </font>
    <font>
      <b/>
      <sz val="14"/>
      <color rgb="FFC0392B"/>
      <name val="Aptos Narrow"/>
      <family val="2"/>
      <scheme val="minor"/>
    </font>
    <font>
      <b/>
      <sz val="9"/>
      <color indexed="81"/>
      <name val="Tahoma"/>
      <charset val="1"/>
    </font>
    <font>
      <b/>
      <sz val="11"/>
      <color rgb="FF27AE60"/>
      <name val="Aptos Narrow"/>
      <family val="2"/>
      <scheme val="minor"/>
    </font>
    <font>
      <b/>
      <sz val="12"/>
      <color rgb="FF00B894"/>
      <name val="Aptos Narrow"/>
      <family val="2"/>
      <scheme val="minor"/>
    </font>
    <font>
      <b/>
      <sz val="11"/>
      <color rgb="FF7F8C8D"/>
      <name val="Aptos Narrow"/>
      <family val="2"/>
      <scheme val="minor"/>
    </font>
    <font>
      <b/>
      <i/>
      <sz val="9"/>
      <color rgb="FF7F8C8D"/>
      <name val="Aptos Narrow"/>
      <family val="2"/>
      <scheme val="minor"/>
    </font>
    <font>
      <b/>
      <sz val="11"/>
      <color rgb="FF95A5A6"/>
      <name val="Aptos Narrow"/>
      <family val="2"/>
      <scheme val="minor"/>
    </font>
    <font>
      <sz val="11"/>
      <color rgb="FF666666"/>
      <name val="Aptos Narrow"/>
      <family val="2"/>
      <scheme val="minor"/>
    </font>
    <font>
      <b/>
      <sz val="11"/>
      <color rgb="FF666666"/>
      <name val="Aptos Narrow"/>
      <family val="2"/>
      <scheme val="minor"/>
    </font>
    <font>
      <b/>
      <i/>
      <sz val="11"/>
      <color rgb="FFFFFFFF"/>
      <name val="Aptos Narrow"/>
      <family val="2"/>
      <scheme val="minor"/>
    </font>
    <font>
      <sz val="10"/>
      <color rgb="FF333333"/>
      <name val="Aptos Narrow"/>
      <scheme val="minor"/>
    </font>
    <font>
      <b/>
      <sz val="10"/>
      <color rgb="FF1B2A4A"/>
      <name val="Aptos"/>
      <family val="2"/>
    </font>
    <font>
      <b/>
      <sz val="11"/>
      <color rgb="FF00B4D8"/>
      <name val="Aptos"/>
      <family val="2"/>
    </font>
    <font>
      <b/>
      <sz val="11"/>
      <color rgb="FF1B2A4A"/>
      <name val="Aptos Narrow"/>
      <family val="2"/>
      <scheme val="minor"/>
    </font>
    <font>
      <b/>
      <sz val="10"/>
      <color rgb="FF1B2A4A"/>
      <name val="Aptos Narrow"/>
      <family val="2"/>
      <scheme val="minor"/>
    </font>
    <font>
      <b/>
      <sz val="11"/>
      <color rgb="FF00B4D8"/>
      <name val="Aptos Narrow"/>
      <family val="2"/>
      <scheme val="minor"/>
    </font>
    <font>
      <b/>
      <sz val="11"/>
      <color rgb="FF10B981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12"/>
      <color rgb="FF1B2A4A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3"/>
      <color rgb="FFFFFFFF"/>
      <name val="Aptos"/>
      <family val="2"/>
    </font>
    <font>
      <sz val="10"/>
      <color rgb="FF334155"/>
      <name val="Aptos"/>
      <family val="2"/>
    </font>
    <font>
      <b/>
      <sz val="10"/>
      <color rgb="FF00B4D8"/>
      <name val="Aptos"/>
      <family val="2"/>
    </font>
    <font>
      <i/>
      <sz val="10"/>
      <color rgb="FF64748B"/>
      <name val="Aptos"/>
      <family val="2"/>
    </font>
    <font>
      <b/>
      <sz val="11"/>
      <color rgb="FF1B2A4A"/>
      <name val="Aptos"/>
      <family val="2"/>
    </font>
    <font>
      <b/>
      <sz val="11"/>
      <color rgb="FF10B981"/>
      <name val="Aptos"/>
      <family val="2"/>
    </font>
    <font>
      <b/>
      <sz val="11"/>
      <color rgb="FF0077B6"/>
      <name val="Aptos"/>
      <family val="2"/>
    </font>
    <font>
      <b/>
      <sz val="11"/>
      <color rgb="FFF59E0B"/>
      <name val="Aptos"/>
      <family val="2"/>
    </font>
    <font>
      <b/>
      <sz val="11"/>
      <color rgb="FF7C3AED"/>
      <name val="Aptos"/>
      <family val="2"/>
    </font>
    <font>
      <b/>
      <sz val="11"/>
      <color rgb="FF023E8A"/>
      <name val="Aptos"/>
      <family val="2"/>
    </font>
    <font>
      <b/>
      <sz val="10"/>
      <color rgb="FF10B981"/>
      <name val="Aptos"/>
      <family val="2"/>
    </font>
    <font>
      <sz val="6"/>
      <color theme="1"/>
      <name val="Aptos"/>
      <family val="2"/>
    </font>
    <font>
      <sz val="2"/>
      <color theme="1"/>
      <name val="Aptos"/>
      <family val="2"/>
    </font>
    <font>
      <sz val="2"/>
      <color theme="1"/>
      <name val="Aptos Narrow"/>
      <family val="2"/>
      <scheme val="minor"/>
    </font>
    <font>
      <b/>
      <sz val="11"/>
      <color rgb="FF94A3B8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7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95A5A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5E7E9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00B4D8"/>
        <bgColor indexed="64"/>
      </patternFill>
    </fill>
    <fill>
      <patternFill patternType="solid">
        <fgColor rgb="FF0077B6"/>
        <bgColor indexed="64"/>
      </patternFill>
    </fill>
    <fill>
      <patternFill patternType="solid">
        <fgColor rgb="FF023E8A"/>
        <bgColor indexed="64"/>
      </patternFill>
    </fill>
    <fill>
      <patternFill patternType="solid">
        <fgColor rgb="FF1B433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94A3B8"/>
        <bgColor indexed="64"/>
      </patternFill>
    </fill>
    <fill>
      <patternFill patternType="solid">
        <fgColor rgb="FF10B98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medium">
        <color auto="1"/>
      </bottom>
      <diagonal/>
    </border>
    <border>
      <left/>
      <right/>
      <top style="medium">
        <color rgb="FFD9D9D9"/>
      </top>
      <bottom style="thin">
        <color rgb="FFD9D9D9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rgb="FFD9D9D9"/>
      </bottom>
      <diagonal/>
    </border>
    <border>
      <left style="medium">
        <color rgb="FF0E2841"/>
      </left>
      <right/>
      <top style="medium">
        <color rgb="FF0E2841"/>
      </top>
      <bottom/>
      <diagonal/>
    </border>
    <border>
      <left style="medium">
        <color rgb="FF0E2841"/>
      </left>
      <right/>
      <top/>
      <bottom/>
      <diagonal/>
    </border>
    <border>
      <left style="medium">
        <color rgb="FF0E2841"/>
      </left>
      <right/>
      <top/>
      <bottom style="medium">
        <color rgb="FF0E2841"/>
      </bottom>
      <diagonal/>
    </border>
    <border>
      <left/>
      <right style="medium">
        <color rgb="FF0E2841"/>
      </right>
      <top style="medium">
        <color rgb="FF0E2841"/>
      </top>
      <bottom/>
      <diagonal/>
    </border>
    <border>
      <left/>
      <right style="medium">
        <color rgb="FF0E2841"/>
      </right>
      <top/>
      <bottom/>
      <diagonal/>
    </border>
    <border>
      <left/>
      <right style="medium">
        <color rgb="FF0E2841"/>
      </right>
      <top/>
      <bottom style="medium">
        <color rgb="FF0E2841"/>
      </bottom>
      <diagonal/>
    </border>
    <border>
      <left style="medium">
        <color rgb="FF0E2841"/>
      </left>
      <right/>
      <top/>
      <bottom style="thin">
        <color rgb="FFC5D9E8"/>
      </bottom>
      <diagonal/>
    </border>
    <border>
      <left/>
      <right style="medium">
        <color rgb="FF0E2841"/>
      </right>
      <top/>
      <bottom style="thin">
        <color rgb="FFC5D9E8"/>
      </bottom>
      <diagonal/>
    </border>
    <border>
      <left style="medium">
        <color rgb="FF0E2841"/>
      </left>
      <right/>
      <top style="thin">
        <color rgb="FFC5D9E8"/>
      </top>
      <bottom style="thin">
        <color rgb="FFC5D9E8"/>
      </bottom>
      <diagonal/>
    </border>
    <border>
      <left/>
      <right style="medium">
        <color rgb="FF0E2841"/>
      </right>
      <top style="thin">
        <color rgb="FFC5D9E8"/>
      </top>
      <bottom style="thin">
        <color rgb="FFC5D9E8"/>
      </bottom>
      <diagonal/>
    </border>
    <border>
      <left style="medium">
        <color rgb="FF0E2841"/>
      </left>
      <right/>
      <top style="thin">
        <color rgb="FFC5D9E8"/>
      </top>
      <bottom/>
      <diagonal/>
    </border>
    <border>
      <left/>
      <right style="medium">
        <color rgb="FF0E2841"/>
      </right>
      <top style="thin">
        <color rgb="FFC5D9E8"/>
      </top>
      <bottom/>
      <diagonal/>
    </border>
    <border>
      <left style="medium">
        <color rgb="FF0E2841"/>
      </left>
      <right/>
      <top style="thin">
        <color rgb="FFD5E8F0"/>
      </top>
      <bottom style="thin">
        <color rgb="FFD5E8F0"/>
      </bottom>
      <diagonal/>
    </border>
    <border>
      <left/>
      <right style="medium">
        <color rgb="FF0E2841"/>
      </right>
      <top style="thin">
        <color rgb="FFD5E8F0"/>
      </top>
      <bottom style="thin">
        <color rgb="FFD5E8F0"/>
      </bottom>
      <diagonal/>
    </border>
    <border>
      <left style="medium">
        <color rgb="FF0E2841"/>
      </left>
      <right/>
      <top style="thin">
        <color rgb="FFD5E8F0"/>
      </top>
      <bottom/>
      <diagonal/>
    </border>
    <border>
      <left/>
      <right style="medium">
        <color rgb="FF0E2841"/>
      </right>
      <top style="thin">
        <color rgb="FFD5E8F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E2841"/>
      </top>
      <bottom/>
      <diagonal/>
    </border>
    <border>
      <left/>
      <right/>
      <top style="thin">
        <color rgb="FFC5D9E8"/>
      </top>
      <bottom/>
      <diagonal/>
    </border>
    <border>
      <left/>
      <right/>
      <top style="thin">
        <color rgb="FFC5D9E8"/>
      </top>
      <bottom style="medium">
        <color rgb="FF0E2841"/>
      </bottom>
      <diagonal/>
    </border>
    <border>
      <left/>
      <right/>
      <top style="medium">
        <color rgb="FF1B4F72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rgb="FF0E2841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medium">
        <color indexed="64"/>
      </left>
      <right/>
      <top style="medium">
        <color indexed="64"/>
      </top>
      <bottom style="thin">
        <color rgb="FFE2E8F0"/>
      </bottom>
      <diagonal/>
    </border>
    <border>
      <left/>
      <right/>
      <top style="medium">
        <color auto="1"/>
      </top>
      <bottom style="thin">
        <color rgb="FFE2E8F0"/>
      </bottom>
      <diagonal/>
    </border>
    <border>
      <left/>
      <right style="medium">
        <color indexed="64"/>
      </right>
      <top style="medium">
        <color indexed="64"/>
      </top>
      <bottom style="thin">
        <color rgb="FFE2E8F0"/>
      </bottom>
      <diagonal/>
    </border>
    <border>
      <left style="medium">
        <color indexed="64"/>
      </left>
      <right/>
      <top style="thin">
        <color rgb="FFE2E8F0"/>
      </top>
      <bottom style="thin">
        <color rgb="FFE2E8F0"/>
      </bottom>
      <diagonal/>
    </border>
    <border>
      <left/>
      <right style="medium">
        <color indexed="64"/>
      </right>
      <top style="thin">
        <color rgb="FFE2E8F0"/>
      </top>
      <bottom style="thin">
        <color rgb="FFE2E8F0"/>
      </bottom>
      <diagonal/>
    </border>
    <border>
      <left style="medium">
        <color indexed="64"/>
      </left>
      <right/>
      <top style="thin">
        <color rgb="FFE2E8F0"/>
      </top>
      <bottom/>
      <diagonal/>
    </border>
    <border>
      <left/>
      <right style="medium">
        <color indexed="64"/>
      </right>
      <top style="thin">
        <color rgb="FFE2E8F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6">
    <xf numFmtId="0" fontId="0" fillId="0" borderId="0" xfId="0"/>
    <xf numFmtId="0" fontId="1" fillId="0" borderId="0" xfId="0" applyFont="1"/>
    <xf numFmtId="43" fontId="0" fillId="0" borderId="0" xfId="1" applyFont="1"/>
    <xf numFmtId="9" fontId="0" fillId="0" borderId="0" xfId="2" applyFont="1" applyAlignment="1">
      <alignment horizontal="center" vertical="center"/>
    </xf>
    <xf numFmtId="9" fontId="0" fillId="0" borderId="0" xfId="2" applyFont="1" applyAlignment="1">
      <alignment horizontal="center"/>
    </xf>
    <xf numFmtId="165" fontId="0" fillId="0" borderId="0" xfId="0" applyNumberFormat="1"/>
    <xf numFmtId="10" fontId="0" fillId="0" borderId="0" xfId="2" applyNumberFormat="1" applyFont="1"/>
    <xf numFmtId="165" fontId="0" fillId="0" borderId="0" xfId="1" applyNumberFormat="1" applyFont="1"/>
    <xf numFmtId="0" fontId="4" fillId="0" borderId="0" xfId="0" applyFont="1" applyAlignment="1">
      <alignment horizontal="left" vertical="center" indent="1"/>
    </xf>
    <xf numFmtId="9" fontId="0" fillId="0" borderId="0" xfId="0" applyNumberFormat="1"/>
    <xf numFmtId="165" fontId="1" fillId="0" borderId="0" xfId="0" applyNumberFormat="1" applyFont="1"/>
    <xf numFmtId="0" fontId="5" fillId="0" borderId="0" xfId="0" applyFont="1" applyAlignment="1">
      <alignment horizontal="center"/>
    </xf>
    <xf numFmtId="166" fontId="0" fillId="0" borderId="0" xfId="0" applyNumberFormat="1"/>
    <xf numFmtId="1" fontId="0" fillId="0" borderId="0" xfId="0" applyNumberFormat="1"/>
    <xf numFmtId="165" fontId="4" fillId="0" borderId="0" xfId="0" applyNumberFormat="1" applyFont="1" applyAlignment="1">
      <alignment horizontal="left" vertical="center" indent="1"/>
    </xf>
    <xf numFmtId="165" fontId="0" fillId="2" borderId="0" xfId="0" applyNumberFormat="1" applyFill="1"/>
    <xf numFmtId="165" fontId="0" fillId="3" borderId="0" xfId="0" applyNumberFormat="1" applyFill="1"/>
    <xf numFmtId="165" fontId="0" fillId="2" borderId="7" xfId="0" applyNumberFormat="1" applyFill="1" applyBorder="1"/>
    <xf numFmtId="165" fontId="0" fillId="3" borderId="8" xfId="0" applyNumberFormat="1" applyFill="1" applyBorder="1"/>
    <xf numFmtId="167" fontId="0" fillId="0" borderId="0" xfId="0" applyNumberFormat="1"/>
    <xf numFmtId="164" fontId="0" fillId="0" borderId="0" xfId="0" applyNumberFormat="1"/>
    <xf numFmtId="0" fontId="0" fillId="0" borderId="10" xfId="0" applyBorder="1"/>
    <xf numFmtId="167" fontId="0" fillId="0" borderId="10" xfId="0" applyNumberFormat="1" applyBorder="1"/>
    <xf numFmtId="164" fontId="0" fillId="0" borderId="10" xfId="0" applyNumberFormat="1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164" fontId="0" fillId="0" borderId="12" xfId="0" applyNumberFormat="1" applyBorder="1"/>
    <xf numFmtId="167" fontId="0" fillId="0" borderId="11" xfId="0" applyNumberFormat="1" applyBorder="1"/>
    <xf numFmtId="167" fontId="0" fillId="0" borderId="9" xfId="0" applyNumberFormat="1" applyBorder="1"/>
    <xf numFmtId="0" fontId="0" fillId="0" borderId="13" xfId="0" applyBorder="1"/>
    <xf numFmtId="167" fontId="1" fillId="0" borderId="13" xfId="0" applyNumberFormat="1" applyFont="1" applyBorder="1"/>
    <xf numFmtId="0" fontId="0" fillId="5" borderId="10" xfId="0" applyFill="1" applyBorder="1"/>
    <xf numFmtId="167" fontId="0" fillId="5" borderId="10" xfId="0" applyNumberFormat="1" applyFill="1" applyBorder="1"/>
    <xf numFmtId="0" fontId="0" fillId="5" borderId="13" xfId="0" applyFill="1" applyBorder="1"/>
    <xf numFmtId="167" fontId="1" fillId="5" borderId="13" xfId="0" applyNumberFormat="1" applyFont="1" applyFill="1" applyBorder="1"/>
    <xf numFmtId="0" fontId="0" fillId="5" borderId="12" xfId="0" applyFill="1" applyBorder="1"/>
    <xf numFmtId="164" fontId="0" fillId="5" borderId="12" xfId="0" applyNumberFormat="1" applyFill="1" applyBorder="1"/>
    <xf numFmtId="0" fontId="0" fillId="5" borderId="11" xfId="0" applyFill="1" applyBorder="1"/>
    <xf numFmtId="167" fontId="0" fillId="5" borderId="11" xfId="0" applyNumberFormat="1" applyFill="1" applyBorder="1"/>
    <xf numFmtId="0" fontId="0" fillId="5" borderId="9" xfId="0" applyFill="1" applyBorder="1"/>
    <xf numFmtId="167" fontId="0" fillId="5" borderId="9" xfId="0" applyNumberFormat="1" applyFill="1" applyBorder="1"/>
    <xf numFmtId="0" fontId="10" fillId="0" borderId="0" xfId="0" applyFont="1"/>
    <xf numFmtId="165" fontId="14" fillId="0" borderId="0" xfId="0" applyNumberFormat="1" applyFont="1"/>
    <xf numFmtId="0" fontId="10" fillId="6" borderId="18" xfId="0" applyFont="1" applyFill="1" applyBorder="1"/>
    <xf numFmtId="165" fontId="17" fillId="3" borderId="21" xfId="0" applyNumberFormat="1" applyFont="1" applyFill="1" applyBorder="1" applyAlignment="1">
      <alignment horizontal="right"/>
    </xf>
    <xf numFmtId="0" fontId="10" fillId="3" borderId="24" xfId="0" applyFont="1" applyFill="1" applyBorder="1"/>
    <xf numFmtId="0" fontId="17" fillId="3" borderId="27" xfId="0" applyFont="1" applyFill="1" applyBorder="1" applyAlignment="1">
      <alignment horizontal="right"/>
    </xf>
    <xf numFmtId="0" fontId="10" fillId="6" borderId="26" xfId="0" applyFont="1" applyFill="1" applyBorder="1"/>
    <xf numFmtId="0" fontId="10" fillId="6" borderId="17" xfId="0" applyFont="1" applyFill="1" applyBorder="1" applyAlignment="1">
      <alignment horizontal="left" indent="1"/>
    </xf>
    <xf numFmtId="0" fontId="10" fillId="3" borderId="26" xfId="0" applyFont="1" applyFill="1" applyBorder="1" applyAlignment="1">
      <alignment horizontal="left" indent="1"/>
    </xf>
    <xf numFmtId="0" fontId="10" fillId="6" borderId="26" xfId="0" applyFont="1" applyFill="1" applyBorder="1" applyAlignment="1">
      <alignment horizontal="left" indent="1"/>
    </xf>
    <xf numFmtId="0" fontId="10" fillId="0" borderId="3" xfId="0" applyFont="1" applyBorder="1" applyAlignment="1">
      <alignment horizontal="left" indent="1"/>
    </xf>
    <xf numFmtId="0" fontId="10" fillId="6" borderId="24" xfId="0" applyFont="1" applyFill="1" applyBorder="1" applyAlignment="1">
      <alignment horizontal="left" indent="1"/>
    </xf>
    <xf numFmtId="0" fontId="12" fillId="3" borderId="18" xfId="0" applyFont="1" applyFill="1" applyBorder="1" applyAlignment="1">
      <alignment horizontal="left" indent="1"/>
    </xf>
    <xf numFmtId="0" fontId="10" fillId="3" borderId="18" xfId="0" applyFont="1" applyFill="1" applyBorder="1" applyAlignment="1">
      <alignment horizontal="left" indent="1"/>
    </xf>
    <xf numFmtId="1" fontId="17" fillId="6" borderId="27" xfId="0" applyNumberFormat="1" applyFont="1" applyFill="1" applyBorder="1" applyAlignment="1">
      <alignment horizontal="right"/>
    </xf>
    <xf numFmtId="1" fontId="17" fillId="3" borderId="27" xfId="0" applyNumberFormat="1" applyFont="1" applyFill="1" applyBorder="1" applyAlignment="1">
      <alignment horizontal="right"/>
    </xf>
    <xf numFmtId="164" fontId="11" fillId="7" borderId="27" xfId="2" applyNumberFormat="1" applyFont="1" applyFill="1" applyBorder="1" applyAlignment="1">
      <alignment horizontal="right"/>
    </xf>
    <xf numFmtId="1" fontId="11" fillId="7" borderId="25" xfId="0" applyNumberFormat="1" applyFont="1" applyFill="1" applyBorder="1" applyAlignment="1">
      <alignment horizontal="right"/>
    </xf>
    <xf numFmtId="0" fontId="10" fillId="0" borderId="4" xfId="0" applyFont="1" applyBorder="1" applyAlignment="1">
      <alignment horizontal="right"/>
    </xf>
    <xf numFmtId="164" fontId="11" fillId="7" borderId="21" xfId="0" applyNumberFormat="1" applyFont="1" applyFill="1" applyBorder="1" applyAlignment="1">
      <alignment horizontal="right"/>
    </xf>
    <xf numFmtId="165" fontId="14" fillId="0" borderId="4" xfId="0" applyNumberFormat="1" applyFont="1" applyBorder="1" applyAlignment="1">
      <alignment horizontal="right"/>
    </xf>
    <xf numFmtId="0" fontId="15" fillId="8" borderId="16" xfId="0" applyFont="1" applyFill="1" applyBorder="1"/>
    <xf numFmtId="0" fontId="10" fillId="0" borderId="19" xfId="0" applyFont="1" applyBorder="1"/>
    <xf numFmtId="0" fontId="15" fillId="4" borderId="17" xfId="0" applyFont="1" applyFill="1" applyBorder="1"/>
    <xf numFmtId="0" fontId="15" fillId="4" borderId="20" xfId="0" applyFont="1" applyFill="1" applyBorder="1"/>
    <xf numFmtId="0" fontId="10" fillId="6" borderId="21" xfId="0" applyFont="1" applyFill="1" applyBorder="1"/>
    <xf numFmtId="0" fontId="10" fillId="6" borderId="27" xfId="0" applyFont="1" applyFill="1" applyBorder="1"/>
    <xf numFmtId="0" fontId="10" fillId="3" borderId="25" xfId="0" applyFont="1" applyFill="1" applyBorder="1"/>
    <xf numFmtId="0" fontId="21" fillId="0" borderId="0" xfId="0" applyFont="1"/>
    <xf numFmtId="167" fontId="17" fillId="6" borderId="20" xfId="0" applyNumberFormat="1" applyFont="1" applyFill="1" applyBorder="1" applyAlignment="1">
      <alignment horizontal="right"/>
    </xf>
    <xf numFmtId="167" fontId="17" fillId="6" borderId="27" xfId="0" applyNumberFormat="1" applyFont="1" applyFill="1" applyBorder="1" applyAlignment="1">
      <alignment horizontal="right"/>
    </xf>
    <xf numFmtId="167" fontId="17" fillId="3" borderId="27" xfId="0" applyNumberFormat="1" applyFont="1" applyFill="1" applyBorder="1" applyAlignment="1">
      <alignment horizontal="right"/>
    </xf>
    <xf numFmtId="167" fontId="13" fillId="6" borderId="25" xfId="0" applyNumberFormat="1" applyFont="1" applyFill="1" applyBorder="1" applyAlignment="1">
      <alignment horizontal="right"/>
    </xf>
    <xf numFmtId="167" fontId="11" fillId="7" borderId="20" xfId="0" applyNumberFormat="1" applyFont="1" applyFill="1" applyBorder="1" applyAlignment="1">
      <alignment horizontal="right"/>
    </xf>
    <xf numFmtId="167" fontId="11" fillId="7" borderId="27" xfId="0" applyNumberFormat="1" applyFont="1" applyFill="1" applyBorder="1" applyAlignment="1">
      <alignment horizontal="right"/>
    </xf>
    <xf numFmtId="164" fontId="17" fillId="3" borderId="27" xfId="0" applyNumberFormat="1" applyFont="1" applyFill="1" applyBorder="1" applyAlignment="1">
      <alignment horizontal="right"/>
    </xf>
    <xf numFmtId="169" fontId="17" fillId="6" borderId="27" xfId="0" applyNumberFormat="1" applyFont="1" applyFill="1" applyBorder="1" applyAlignment="1">
      <alignment horizontal="right"/>
    </xf>
    <xf numFmtId="169" fontId="18" fillId="3" borderId="27" xfId="0" applyNumberFormat="1" applyFont="1" applyFill="1" applyBorder="1" applyAlignment="1">
      <alignment horizontal="right"/>
    </xf>
    <xf numFmtId="0" fontId="23" fillId="4" borderId="0" xfId="0" applyFont="1" applyFill="1"/>
    <xf numFmtId="165" fontId="23" fillId="4" borderId="0" xfId="0" applyNumberFormat="1" applyFont="1" applyFill="1"/>
    <xf numFmtId="0" fontId="1" fillId="0" borderId="3" xfId="0" applyFont="1" applyBorder="1"/>
    <xf numFmtId="167" fontId="0" fillId="0" borderId="4" xfId="0" applyNumberFormat="1" applyBorder="1"/>
    <xf numFmtId="165" fontId="0" fillId="0" borderId="4" xfId="0" applyNumberFormat="1" applyBorder="1"/>
    <xf numFmtId="0" fontId="1" fillId="0" borderId="5" xfId="0" applyFont="1" applyBorder="1"/>
    <xf numFmtId="0" fontId="0" fillId="0" borderId="14" xfId="0" applyBorder="1"/>
    <xf numFmtId="165" fontId="0" fillId="0" borderId="14" xfId="0" applyNumberFormat="1" applyBorder="1"/>
    <xf numFmtId="165" fontId="0" fillId="0" borderId="6" xfId="0" applyNumberFormat="1" applyBorder="1"/>
    <xf numFmtId="0" fontId="23" fillId="9" borderId="0" xfId="0" applyFont="1" applyFill="1"/>
    <xf numFmtId="0" fontId="27" fillId="6" borderId="18" xfId="0" applyFont="1" applyFill="1" applyBorder="1"/>
    <xf numFmtId="0" fontId="27" fillId="6" borderId="30" xfId="0" applyFont="1" applyFill="1" applyBorder="1"/>
    <xf numFmtId="0" fontId="27" fillId="3" borderId="28" xfId="0" applyFont="1" applyFill="1" applyBorder="1"/>
    <xf numFmtId="0" fontId="27" fillId="3" borderId="30" xfId="0" applyFont="1" applyFill="1" applyBorder="1"/>
    <xf numFmtId="0" fontId="10" fillId="0" borderId="30" xfId="0" applyFont="1" applyBorder="1"/>
    <xf numFmtId="0" fontId="10" fillId="0" borderId="31" xfId="0" applyFont="1" applyBorder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horizontal="left"/>
    </xf>
    <xf numFmtId="0" fontId="16" fillId="8" borderId="0" xfId="0" applyFont="1" applyFill="1"/>
    <xf numFmtId="0" fontId="16" fillId="9" borderId="15" xfId="0" applyFont="1" applyFill="1" applyBorder="1"/>
    <xf numFmtId="167" fontId="37" fillId="5" borderId="10" xfId="0" applyNumberFormat="1" applyFont="1" applyFill="1" applyBorder="1"/>
    <xf numFmtId="167" fontId="37" fillId="0" borderId="10" xfId="0" applyNumberFormat="1" applyFont="1" applyBorder="1"/>
    <xf numFmtId="167" fontId="26" fillId="0" borderId="10" xfId="0" applyNumberFormat="1" applyFont="1" applyBorder="1"/>
    <xf numFmtId="0" fontId="26" fillId="0" borderId="10" xfId="0" applyFont="1" applyBorder="1"/>
    <xf numFmtId="167" fontId="38" fillId="8" borderId="12" xfId="0" applyNumberFormat="1" applyFont="1" applyFill="1" applyBorder="1"/>
    <xf numFmtId="0" fontId="38" fillId="8" borderId="12" xfId="0" applyFont="1" applyFill="1" applyBorder="1"/>
    <xf numFmtId="0" fontId="7" fillId="8" borderId="12" xfId="0" applyFont="1" applyFill="1" applyBorder="1"/>
    <xf numFmtId="0" fontId="23" fillId="8" borderId="0" xfId="0" applyFont="1" applyFill="1"/>
    <xf numFmtId="166" fontId="23" fillId="8" borderId="0" xfId="0" applyNumberFormat="1" applyFont="1" applyFill="1"/>
    <xf numFmtId="165" fontId="23" fillId="9" borderId="0" xfId="1" applyNumberFormat="1" applyFont="1" applyFill="1"/>
    <xf numFmtId="165" fontId="23" fillId="12" borderId="0" xfId="1" applyNumberFormat="1" applyFont="1" applyFill="1"/>
    <xf numFmtId="165" fontId="23" fillId="12" borderId="0" xfId="0" applyNumberFormat="1" applyFont="1" applyFill="1"/>
    <xf numFmtId="165" fontId="23" fillId="9" borderId="0" xfId="0" applyNumberFormat="1" applyFont="1" applyFill="1"/>
    <xf numFmtId="165" fontId="23" fillId="11" borderId="0" xfId="0" applyNumberFormat="1" applyFont="1" applyFill="1"/>
    <xf numFmtId="165" fontId="23" fillId="13" borderId="7" xfId="0" applyNumberFormat="1" applyFont="1" applyFill="1" applyBorder="1"/>
    <xf numFmtId="0" fontId="26" fillId="8" borderId="0" xfId="0" applyFont="1" applyFill="1"/>
    <xf numFmtId="165" fontId="26" fillId="8" borderId="0" xfId="0" applyNumberFormat="1" applyFont="1" applyFill="1"/>
    <xf numFmtId="1" fontId="26" fillId="8" borderId="0" xfId="0" applyNumberFormat="1" applyFont="1" applyFill="1"/>
    <xf numFmtId="0" fontId="41" fillId="8" borderId="0" xfId="0" applyFont="1" applyFill="1"/>
    <xf numFmtId="165" fontId="41" fillId="8" borderId="0" xfId="0" applyNumberFormat="1" applyFont="1" applyFill="1"/>
    <xf numFmtId="1" fontId="41" fillId="8" borderId="0" xfId="0" applyNumberFormat="1" applyFont="1" applyFill="1"/>
    <xf numFmtId="0" fontId="25" fillId="8" borderId="0" xfId="0" applyFont="1" applyFill="1"/>
    <xf numFmtId="165" fontId="25" fillId="8" borderId="0" xfId="0" applyNumberFormat="1" applyFont="1" applyFill="1"/>
    <xf numFmtId="1" fontId="25" fillId="8" borderId="0" xfId="0" applyNumberFormat="1" applyFont="1" applyFill="1"/>
    <xf numFmtId="0" fontId="23" fillId="12" borderId="0" xfId="0" applyFont="1" applyFill="1"/>
    <xf numFmtId="0" fontId="23" fillId="13" borderId="0" xfId="0" applyFont="1" applyFill="1"/>
    <xf numFmtId="1" fontId="23" fillId="14" borderId="0" xfId="0" applyNumberFormat="1" applyFont="1" applyFill="1"/>
    <xf numFmtId="0" fontId="23" fillId="14" borderId="0" xfId="0" applyFont="1" applyFill="1"/>
    <xf numFmtId="0" fontId="23" fillId="11" borderId="0" xfId="0" applyFont="1" applyFill="1"/>
    <xf numFmtId="0" fontId="27" fillId="6" borderId="17" xfId="0" applyFont="1" applyFill="1" applyBorder="1"/>
    <xf numFmtId="0" fontId="17" fillId="6" borderId="1" xfId="0" applyFont="1" applyFill="1" applyBorder="1"/>
    <xf numFmtId="0" fontId="19" fillId="6" borderId="2" xfId="0" applyFont="1" applyFill="1" applyBorder="1"/>
    <xf numFmtId="0" fontId="20" fillId="7" borderId="5" xfId="0" applyFont="1" applyFill="1" applyBorder="1"/>
    <xf numFmtId="0" fontId="20" fillId="7" borderId="6" xfId="0" applyFont="1" applyFill="1" applyBorder="1"/>
    <xf numFmtId="0" fontId="18" fillId="3" borderId="32" xfId="0" applyFont="1" applyFill="1" applyBorder="1"/>
    <xf numFmtId="0" fontId="19" fillId="3" borderId="33" xfId="0" applyFont="1" applyFill="1" applyBorder="1"/>
    <xf numFmtId="1" fontId="11" fillId="7" borderId="27" xfId="2" applyNumberFormat="1" applyFont="1" applyFill="1" applyBorder="1" applyAlignment="1">
      <alignment horizontal="right"/>
    </xf>
    <xf numFmtId="1" fontId="39" fillId="20" borderId="25" xfId="0" applyNumberFormat="1" applyFont="1" applyFill="1" applyBorder="1" applyAlignment="1">
      <alignment horizontal="right"/>
    </xf>
    <xf numFmtId="164" fontId="1" fillId="0" borderId="0" xfId="2" applyNumberFormat="1" applyFont="1"/>
    <xf numFmtId="43" fontId="1" fillId="0" borderId="0" xfId="1" applyFont="1"/>
    <xf numFmtId="0" fontId="7" fillId="4" borderId="34" xfId="0" applyFont="1" applyFill="1" applyBorder="1" applyAlignment="1">
      <alignment horizontal="left" indent="1"/>
    </xf>
    <xf numFmtId="0" fontId="10" fillId="3" borderId="17" xfId="0" applyFont="1" applyFill="1" applyBorder="1" applyAlignment="1">
      <alignment horizontal="left" indent="1"/>
    </xf>
    <xf numFmtId="167" fontId="7" fillId="4" borderId="34" xfId="0" applyNumberFormat="1" applyFont="1" applyFill="1" applyBorder="1" applyAlignment="1">
      <alignment horizontal="right"/>
    </xf>
    <xf numFmtId="167" fontId="18" fillId="3" borderId="20" xfId="0" applyNumberFormat="1" applyFont="1" applyFill="1" applyBorder="1" applyAlignment="1">
      <alignment horizontal="right"/>
    </xf>
    <xf numFmtId="0" fontId="12" fillId="6" borderId="35" xfId="0" applyFont="1" applyFill="1" applyBorder="1" applyAlignment="1">
      <alignment horizontal="left" indent="1"/>
    </xf>
    <xf numFmtId="167" fontId="18" fillId="6" borderId="35" xfId="0" applyNumberFormat="1" applyFont="1" applyFill="1" applyBorder="1" applyAlignment="1">
      <alignment horizontal="right"/>
    </xf>
    <xf numFmtId="0" fontId="12" fillId="3" borderId="36" xfId="0" applyFont="1" applyFill="1" applyBorder="1" applyAlignment="1">
      <alignment horizontal="left" indent="1"/>
    </xf>
    <xf numFmtId="167" fontId="18" fillId="3" borderId="36" xfId="0" applyNumberFormat="1" applyFont="1" applyFill="1" applyBorder="1" applyAlignment="1">
      <alignment horizontal="right"/>
    </xf>
    <xf numFmtId="0" fontId="10" fillId="0" borderId="20" xfId="0" applyFont="1" applyBorder="1"/>
    <xf numFmtId="0" fontId="10" fillId="0" borderId="17" xfId="0" applyFont="1" applyBorder="1"/>
    <xf numFmtId="167" fontId="14" fillId="3" borderId="27" xfId="0" applyNumberFormat="1" applyFont="1" applyFill="1" applyBorder="1" applyAlignment="1">
      <alignment horizontal="right"/>
    </xf>
    <xf numFmtId="0" fontId="35" fillId="15" borderId="0" xfId="0" applyFont="1" applyFill="1" applyAlignment="1">
      <alignment horizontal="left"/>
    </xf>
    <xf numFmtId="0" fontId="20" fillId="6" borderId="0" xfId="0" applyFont="1" applyFill="1"/>
    <xf numFmtId="167" fontId="28" fillId="6" borderId="0" xfId="0" applyNumberFormat="1" applyFont="1" applyFill="1"/>
    <xf numFmtId="0" fontId="43" fillId="3" borderId="0" xfId="0" applyFont="1" applyFill="1"/>
    <xf numFmtId="0" fontId="42" fillId="3" borderId="0" xfId="0" applyFont="1" applyFill="1" applyAlignment="1">
      <alignment horizontal="right"/>
    </xf>
    <xf numFmtId="167" fontId="20" fillId="6" borderId="0" xfId="0" applyNumberFormat="1" applyFont="1" applyFill="1" applyAlignment="1">
      <alignment horizontal="right"/>
    </xf>
    <xf numFmtId="167" fontId="19" fillId="6" borderId="0" xfId="0" applyNumberFormat="1" applyFont="1" applyFill="1" applyAlignment="1">
      <alignment horizontal="right"/>
    </xf>
    <xf numFmtId="0" fontId="45" fillId="3" borderId="30" xfId="0" applyFont="1" applyFill="1" applyBorder="1"/>
    <xf numFmtId="0" fontId="16" fillId="21" borderId="37" xfId="0" applyFont="1" applyFill="1" applyBorder="1"/>
    <xf numFmtId="0" fontId="0" fillId="21" borderId="37" xfId="0" applyFill="1" applyBorder="1"/>
    <xf numFmtId="0" fontId="44" fillId="8" borderId="38" xfId="0" applyFont="1" applyFill="1" applyBorder="1"/>
    <xf numFmtId="164" fontId="26" fillId="8" borderId="38" xfId="0" applyNumberFormat="1" applyFont="1" applyFill="1" applyBorder="1" applyAlignment="1">
      <alignment horizontal="right"/>
    </xf>
    <xf numFmtId="0" fontId="0" fillId="22" borderId="0" xfId="0" applyFill="1"/>
    <xf numFmtId="170" fontId="0" fillId="0" borderId="0" xfId="0" applyNumberFormat="1"/>
    <xf numFmtId="0" fontId="6" fillId="22" borderId="18" xfId="0" applyFont="1" applyFill="1" applyBorder="1" applyAlignment="1">
      <alignment horizontal="left" indent="1"/>
    </xf>
    <xf numFmtId="164" fontId="7" fillId="22" borderId="21" xfId="2" applyNumberFormat="1" applyFont="1" applyFill="1" applyBorder="1" applyAlignment="1">
      <alignment horizontal="right"/>
    </xf>
    <xf numFmtId="0" fontId="6" fillId="22" borderId="22" xfId="0" applyFont="1" applyFill="1" applyBorder="1" applyAlignment="1">
      <alignment horizontal="left" indent="1"/>
    </xf>
    <xf numFmtId="49" fontId="7" fillId="22" borderId="23" xfId="0" applyNumberFormat="1" applyFont="1" applyFill="1" applyBorder="1" applyAlignment="1">
      <alignment horizontal="right"/>
    </xf>
    <xf numFmtId="0" fontId="24" fillId="23" borderId="16" xfId="0" applyFont="1" applyFill="1" applyBorder="1"/>
    <xf numFmtId="0" fontId="24" fillId="23" borderId="19" xfId="0" applyFont="1" applyFill="1" applyBorder="1"/>
    <xf numFmtId="0" fontId="23" fillId="24" borderId="17" xfId="0" applyFont="1" applyFill="1" applyBorder="1"/>
    <xf numFmtId="0" fontId="7" fillId="24" borderId="20" xfId="0" applyFont="1" applyFill="1" applyBorder="1"/>
    <xf numFmtId="0" fontId="23" fillId="24" borderId="30" xfId="0" applyFont="1" applyFill="1" applyBorder="1"/>
    <xf numFmtId="0" fontId="7" fillId="24" borderId="31" xfId="0" applyFont="1" applyFill="1" applyBorder="1"/>
    <xf numFmtId="167" fontId="30" fillId="28" borderId="31" xfId="0" applyNumberFormat="1" applyFont="1" applyFill="1" applyBorder="1" applyAlignment="1">
      <alignment horizontal="right"/>
    </xf>
    <xf numFmtId="0" fontId="49" fillId="28" borderId="30" xfId="0" applyFont="1" applyFill="1" applyBorder="1"/>
    <xf numFmtId="0" fontId="7" fillId="22" borderId="16" xfId="0" applyFont="1" applyFill="1" applyBorder="1"/>
    <xf numFmtId="0" fontId="6" fillId="22" borderId="19" xfId="0" applyFont="1" applyFill="1" applyBorder="1"/>
    <xf numFmtId="167" fontId="50" fillId="6" borderId="31" xfId="0" applyNumberFormat="1" applyFont="1" applyFill="1" applyBorder="1" applyAlignment="1">
      <alignment horizontal="right"/>
    </xf>
    <xf numFmtId="164" fontId="50" fillId="3" borderId="31" xfId="0" applyNumberFormat="1" applyFont="1" applyFill="1" applyBorder="1" applyAlignment="1">
      <alignment horizontal="right"/>
    </xf>
    <xf numFmtId="167" fontId="50" fillId="3" borderId="31" xfId="0" applyNumberFormat="1" applyFont="1" applyFill="1" applyBorder="1" applyAlignment="1">
      <alignment horizontal="right"/>
    </xf>
    <xf numFmtId="0" fontId="50" fillId="6" borderId="31" xfId="0" applyFont="1" applyFill="1" applyBorder="1" applyAlignment="1">
      <alignment horizontal="right"/>
    </xf>
    <xf numFmtId="1" fontId="50" fillId="3" borderId="29" xfId="0" applyNumberFormat="1" applyFont="1" applyFill="1" applyBorder="1" applyAlignment="1">
      <alignment horizontal="right"/>
    </xf>
    <xf numFmtId="167" fontId="50" fillId="6" borderId="20" xfId="0" applyNumberFormat="1" applyFont="1" applyFill="1" applyBorder="1" applyAlignment="1">
      <alignment horizontal="right"/>
    </xf>
    <xf numFmtId="167" fontId="50" fillId="3" borderId="29" xfId="0" applyNumberFormat="1" applyFont="1" applyFill="1" applyBorder="1" applyAlignment="1">
      <alignment horizontal="right"/>
    </xf>
    <xf numFmtId="167" fontId="50" fillId="6" borderId="21" xfId="0" applyNumberFormat="1" applyFont="1" applyFill="1" applyBorder="1" applyAlignment="1">
      <alignment horizontal="right"/>
    </xf>
    <xf numFmtId="165" fontId="0" fillId="22" borderId="0" xfId="0" applyNumberFormat="1" applyFill="1"/>
    <xf numFmtId="0" fontId="16" fillId="22" borderId="0" xfId="0" applyFont="1" applyFill="1"/>
    <xf numFmtId="0" fontId="7" fillId="24" borderId="0" xfId="0" applyFont="1" applyFill="1"/>
    <xf numFmtId="0" fontId="7" fillId="24" borderId="42" xfId="0" applyFont="1" applyFill="1" applyBorder="1"/>
    <xf numFmtId="0" fontId="7" fillId="24" borderId="43" xfId="0" applyFont="1" applyFill="1" applyBorder="1"/>
    <xf numFmtId="0" fontId="7" fillId="29" borderId="43" xfId="0" applyFont="1" applyFill="1" applyBorder="1" applyAlignment="1">
      <alignment wrapText="1"/>
    </xf>
    <xf numFmtId="165" fontId="7" fillId="29" borderId="43" xfId="0" applyNumberFormat="1" applyFont="1" applyFill="1" applyBorder="1"/>
    <xf numFmtId="165" fontId="7" fillId="24" borderId="43" xfId="0" applyNumberFormat="1" applyFont="1" applyFill="1" applyBorder="1"/>
    <xf numFmtId="165" fontId="7" fillId="23" borderId="44" xfId="0" applyNumberFormat="1" applyFont="1" applyFill="1" applyBorder="1"/>
    <xf numFmtId="0" fontId="7" fillId="23" borderId="41" xfId="0" applyFont="1" applyFill="1" applyBorder="1"/>
    <xf numFmtId="0" fontId="48" fillId="17" borderId="45" xfId="0" applyFont="1" applyFill="1" applyBorder="1"/>
    <xf numFmtId="0" fontId="0" fillId="0" borderId="40" xfId="0" applyBorder="1"/>
    <xf numFmtId="167" fontId="0" fillId="17" borderId="40" xfId="0" applyNumberFormat="1" applyFill="1" applyBorder="1"/>
    <xf numFmtId="165" fontId="0" fillId="0" borderId="40" xfId="0" applyNumberFormat="1" applyBorder="1"/>
    <xf numFmtId="167" fontId="0" fillId="18" borderId="40" xfId="0" applyNumberFormat="1" applyFill="1" applyBorder="1"/>
    <xf numFmtId="167" fontId="1" fillId="19" borderId="46" xfId="0" applyNumberFormat="1" applyFont="1" applyFill="1" applyBorder="1"/>
    <xf numFmtId="1" fontId="0" fillId="17" borderId="40" xfId="0" applyNumberFormat="1" applyFill="1" applyBorder="1"/>
    <xf numFmtId="1" fontId="0" fillId="18" borderId="40" xfId="0" applyNumberFormat="1" applyFill="1" applyBorder="1"/>
    <xf numFmtId="1" fontId="1" fillId="19" borderId="46" xfId="0" applyNumberFormat="1" applyFont="1" applyFill="1" applyBorder="1"/>
    <xf numFmtId="168" fontId="0" fillId="17" borderId="40" xfId="0" applyNumberFormat="1" applyFill="1" applyBorder="1"/>
    <xf numFmtId="168" fontId="0" fillId="18" borderId="40" xfId="0" applyNumberFormat="1" applyFill="1" applyBorder="1"/>
    <xf numFmtId="168" fontId="1" fillId="19" borderId="46" xfId="0" applyNumberFormat="1" applyFont="1" applyFill="1" applyBorder="1"/>
    <xf numFmtId="0" fontId="29" fillId="0" borderId="40" xfId="0" applyFont="1" applyBorder="1"/>
    <xf numFmtId="0" fontId="29" fillId="17" borderId="40" xfId="0" applyFont="1" applyFill="1" applyBorder="1" applyAlignment="1">
      <alignment horizontal="center"/>
    </xf>
    <xf numFmtId="165" fontId="29" fillId="0" borderId="40" xfId="0" applyNumberFormat="1" applyFont="1" applyBorder="1"/>
    <xf numFmtId="167" fontId="51" fillId="18" borderId="40" xfId="0" applyNumberFormat="1" applyFont="1" applyFill="1" applyBorder="1"/>
    <xf numFmtId="167" fontId="51" fillId="19" borderId="46" xfId="0" applyNumberFormat="1" applyFont="1" applyFill="1" applyBorder="1"/>
    <xf numFmtId="0" fontId="48" fillId="17" borderId="47" xfId="0" applyFont="1" applyFill="1" applyBorder="1"/>
    <xf numFmtId="0" fontId="31" fillId="0" borderId="39" xfId="0" applyFont="1" applyBorder="1"/>
    <xf numFmtId="0" fontId="31" fillId="17" borderId="39" xfId="0" applyFont="1" applyFill="1" applyBorder="1" applyAlignment="1">
      <alignment horizontal="center"/>
    </xf>
    <xf numFmtId="165" fontId="31" fillId="0" borderId="39" xfId="0" applyNumberFormat="1" applyFont="1" applyBorder="1"/>
    <xf numFmtId="1" fontId="51" fillId="18" borderId="39" xfId="0" applyNumberFormat="1" applyFont="1" applyFill="1" applyBorder="1"/>
    <xf numFmtId="1" fontId="51" fillId="19" borderId="48" xfId="0" applyNumberFormat="1" applyFont="1" applyFill="1" applyBorder="1"/>
    <xf numFmtId="0" fontId="0" fillId="0" borderId="39" xfId="0" applyBorder="1"/>
    <xf numFmtId="0" fontId="52" fillId="22" borderId="0" xfId="0" applyFont="1" applyFill="1"/>
    <xf numFmtId="1" fontId="0" fillId="27" borderId="0" xfId="0" applyNumberFormat="1" applyFill="1"/>
    <xf numFmtId="170" fontId="0" fillId="27" borderId="0" xfId="0" applyNumberFormat="1" applyFill="1"/>
    <xf numFmtId="164" fontId="0" fillId="27" borderId="0" xfId="0" applyNumberFormat="1" applyFill="1"/>
    <xf numFmtId="167" fontId="0" fillId="27" borderId="0" xfId="0" applyNumberFormat="1" applyFill="1"/>
    <xf numFmtId="0" fontId="53" fillId="8" borderId="0" xfId="0" applyFont="1" applyFill="1"/>
    <xf numFmtId="0" fontId="7" fillId="22" borderId="0" xfId="0" applyFont="1" applyFill="1" applyAlignment="1">
      <alignment horizontal="center"/>
    </xf>
    <xf numFmtId="0" fontId="7" fillId="22" borderId="0" xfId="0" applyFont="1" applyFill="1"/>
    <xf numFmtId="0" fontId="7" fillId="29" borderId="13" xfId="0" applyFont="1" applyFill="1" applyBorder="1"/>
    <xf numFmtId="0" fontId="7" fillId="23" borderId="15" xfId="0" applyFont="1" applyFill="1" applyBorder="1"/>
    <xf numFmtId="0" fontId="7" fillId="30" borderId="0" xfId="0" applyFont="1" applyFill="1"/>
    <xf numFmtId="0" fontId="7" fillId="10" borderId="0" xfId="0" applyFont="1" applyFill="1"/>
    <xf numFmtId="0" fontId="0" fillId="27" borderId="0" xfId="0" applyFill="1"/>
    <xf numFmtId="0" fontId="67" fillId="27" borderId="0" xfId="0" applyFont="1" applyFill="1" applyAlignment="1">
      <alignment vertical="top" wrapText="1"/>
    </xf>
    <xf numFmtId="0" fontId="68" fillId="27" borderId="0" xfId="0" applyFont="1" applyFill="1" applyAlignment="1">
      <alignment vertical="top" wrapText="1"/>
    </xf>
    <xf numFmtId="0" fontId="55" fillId="23" borderId="49" xfId="0" applyFont="1" applyFill="1" applyBorder="1" applyAlignment="1">
      <alignment vertical="top" wrapText="1"/>
    </xf>
    <xf numFmtId="0" fontId="56" fillId="27" borderId="50" xfId="0" applyFont="1" applyFill="1" applyBorder="1" applyAlignment="1">
      <alignment vertical="top" wrapText="1"/>
    </xf>
    <xf numFmtId="0" fontId="57" fillId="27" borderId="50" xfId="0" applyFont="1" applyFill="1" applyBorder="1" applyAlignment="1">
      <alignment vertical="top" wrapText="1"/>
    </xf>
    <xf numFmtId="0" fontId="66" fillId="27" borderId="50" xfId="0" applyFont="1" applyFill="1" applyBorder="1" applyAlignment="1">
      <alignment vertical="top" wrapText="1"/>
    </xf>
    <xf numFmtId="0" fontId="56" fillId="27" borderId="51" xfId="0" applyFont="1" applyFill="1" applyBorder="1" applyAlignment="1">
      <alignment vertical="top" wrapText="1"/>
    </xf>
    <xf numFmtId="0" fontId="55" fillId="25" borderId="49" xfId="0" applyFont="1" applyFill="1" applyBorder="1" applyAlignment="1">
      <alignment vertical="top" wrapText="1"/>
    </xf>
    <xf numFmtId="0" fontId="58" fillId="27" borderId="50" xfId="0" applyFont="1" applyFill="1" applyBorder="1" applyAlignment="1">
      <alignment vertical="top" wrapText="1"/>
    </xf>
    <xf numFmtId="0" fontId="46" fillId="27" borderId="50" xfId="0" applyFont="1" applyFill="1" applyBorder="1" applyAlignment="1">
      <alignment vertical="top" wrapText="1"/>
    </xf>
    <xf numFmtId="0" fontId="55" fillId="22" borderId="49" xfId="0" applyFont="1" applyFill="1" applyBorder="1" applyAlignment="1">
      <alignment vertical="top" wrapText="1"/>
    </xf>
    <xf numFmtId="0" fontId="55" fillId="24" borderId="49" xfId="0" applyFont="1" applyFill="1" applyBorder="1" applyAlignment="1">
      <alignment vertical="top" wrapText="1"/>
    </xf>
    <xf numFmtId="0" fontId="47" fillId="27" borderId="50" xfId="0" applyFont="1" applyFill="1" applyBorder="1" applyAlignment="1">
      <alignment vertical="top" wrapText="1"/>
    </xf>
    <xf numFmtId="0" fontId="59" fillId="27" borderId="50" xfId="0" applyFont="1" applyFill="1" applyBorder="1" applyAlignment="1">
      <alignment vertical="top" wrapText="1"/>
    </xf>
    <xf numFmtId="0" fontId="60" fillId="27" borderId="50" xfId="0" applyFont="1" applyFill="1" applyBorder="1" applyAlignment="1">
      <alignment vertical="top" wrapText="1"/>
    </xf>
    <xf numFmtId="0" fontId="61" fillId="27" borderId="50" xfId="0" applyFont="1" applyFill="1" applyBorder="1" applyAlignment="1">
      <alignment vertical="top" wrapText="1"/>
    </xf>
    <xf numFmtId="0" fontId="62" fillId="27" borderId="50" xfId="0" applyFont="1" applyFill="1" applyBorder="1" applyAlignment="1">
      <alignment vertical="top" wrapText="1"/>
    </xf>
    <xf numFmtId="0" fontId="63" fillId="27" borderId="50" xfId="0" applyFont="1" applyFill="1" applyBorder="1" applyAlignment="1">
      <alignment vertical="top" wrapText="1"/>
    </xf>
    <xf numFmtId="0" fontId="64" fillId="27" borderId="50" xfId="0" applyFont="1" applyFill="1" applyBorder="1" applyAlignment="1">
      <alignment vertical="top" wrapText="1"/>
    </xf>
    <xf numFmtId="0" fontId="55" fillId="30" borderId="49" xfId="0" applyFont="1" applyFill="1" applyBorder="1" applyAlignment="1">
      <alignment vertical="top" wrapText="1"/>
    </xf>
    <xf numFmtId="0" fontId="65" fillId="27" borderId="50" xfId="0" applyFont="1" applyFill="1" applyBorder="1" applyAlignment="1">
      <alignment vertical="top" wrapText="1"/>
    </xf>
    <xf numFmtId="0" fontId="67" fillId="27" borderId="50" xfId="0" applyFont="1" applyFill="1" applyBorder="1" applyAlignment="1">
      <alignment vertical="top" wrapText="1"/>
    </xf>
    <xf numFmtId="0" fontId="55" fillId="26" borderId="49" xfId="0" applyFont="1" applyFill="1" applyBorder="1" applyAlignment="1">
      <alignment horizontal="left" vertical="top" wrapText="1"/>
    </xf>
    <xf numFmtId="0" fontId="7" fillId="22" borderId="16" xfId="0" applyFont="1" applyFill="1" applyBorder="1" applyAlignment="1">
      <alignment horizontal="left" indent="1"/>
    </xf>
    <xf numFmtId="49" fontId="16" fillId="22" borderId="19" xfId="0" applyNumberFormat="1" applyFont="1" applyFill="1" applyBorder="1" applyAlignment="1">
      <alignment horizontal="right"/>
    </xf>
    <xf numFmtId="0" fontId="10" fillId="0" borderId="0" xfId="0" applyFont="1"/>
    <xf numFmtId="0" fontId="22" fillId="9" borderId="0" xfId="0" applyFont="1" applyFill="1" applyAlignment="1">
      <alignment horizontal="center"/>
    </xf>
    <xf numFmtId="0" fontId="22" fillId="9" borderId="0" xfId="0" applyFont="1" applyFill="1"/>
    <xf numFmtId="0" fontId="7" fillId="22" borderId="16" xfId="0" applyFont="1" applyFill="1" applyBorder="1" applyAlignment="1">
      <alignment horizontal="left"/>
    </xf>
    <xf numFmtId="0" fontId="16" fillId="22" borderId="19" xfId="0" applyFont="1" applyFill="1" applyBorder="1" applyAlignment="1">
      <alignment horizontal="left"/>
    </xf>
    <xf numFmtId="0" fontId="16" fillId="22" borderId="19" xfId="0" applyFont="1" applyFill="1" applyBorder="1" applyAlignment="1">
      <alignment horizontal="right"/>
    </xf>
    <xf numFmtId="0" fontId="54" fillId="22" borderId="0" xfId="0" applyFont="1" applyFill="1" applyAlignment="1">
      <alignment horizontal="center"/>
    </xf>
    <xf numFmtId="0" fontId="0" fillId="22" borderId="0" xfId="0" applyFill="1"/>
    <xf numFmtId="0" fontId="69" fillId="22" borderId="0" xfId="0" applyFont="1" applyFill="1" applyAlignment="1">
      <alignment horizontal="center"/>
    </xf>
    <xf numFmtId="0" fontId="1" fillId="22" borderId="0" xfId="0" applyFont="1" applyFill="1"/>
    <xf numFmtId="165" fontId="16" fillId="9" borderId="0" xfId="0" applyNumberFormat="1" applyFont="1" applyFill="1" applyAlignment="1">
      <alignment horizontal="center"/>
    </xf>
    <xf numFmtId="0" fontId="16" fillId="16" borderId="0" xfId="0" applyFont="1" applyFill="1" applyAlignment="1">
      <alignment horizontal="center"/>
    </xf>
    <xf numFmtId="165" fontId="16" fillId="13" borderId="0" xfId="0" applyNumberFormat="1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40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96">
    <dxf>
      <numFmt numFmtId="165" formatCode="[$$-C09]#,##0.00"/>
    </dxf>
    <dxf>
      <font>
        <color rgb="FFC0392B"/>
      </font>
      <fill>
        <patternFill patternType="solid">
          <fgColor indexed="64"/>
          <bgColor rgb="FFFADBD8"/>
        </patternFill>
      </fill>
    </dxf>
    <dxf>
      <font>
        <color rgb="FFC0392B"/>
      </font>
      <fill>
        <patternFill patternType="solid">
          <fgColor indexed="64"/>
          <bgColor rgb="FFFADBD8"/>
        </patternFill>
      </fill>
    </dxf>
    <dxf>
      <font>
        <color rgb="FF922B21"/>
      </font>
    </dxf>
    <dxf>
      <font>
        <color rgb="FF922B21"/>
      </font>
    </dxf>
    <dxf>
      <font>
        <color rgb="FF922B21"/>
      </font>
    </dxf>
    <dxf>
      <font>
        <color rgb="FF922B21"/>
      </font>
    </dxf>
    <dxf>
      <font>
        <color rgb="FF922B21"/>
      </font>
    </dxf>
    <dxf>
      <numFmt numFmtId="164" formatCode="0.0%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64" formatCode="0.0%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70" formatCode="&quot;Ksh&quot;#,##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 Narrow"/>
        <family val="2"/>
        <scheme val="minor"/>
      </font>
      <fill>
        <patternFill patternType="solid">
          <fgColor indexed="64"/>
          <bgColor rgb="FF1B2A4A"/>
        </patternFill>
      </fill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9FAFB"/>
        <name val="Consolas"/>
        <family val="3"/>
        <scheme val="none"/>
      </font>
      <numFmt numFmtId="165" formatCode="[$$-C09]#,##0.00"/>
    </dxf>
    <dxf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9FAFB"/>
        <name val="Consolas"/>
        <family val="3"/>
        <scheme val="none"/>
      </font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/>
        <sz val="10"/>
        <color rgb="FFFFFFFF"/>
      </font>
      <fill>
        <patternFill patternType="solid">
          <fgColor indexed="64"/>
          <bgColor rgb="FF156082"/>
        </patternFill>
      </fill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9FAFB"/>
        <name val="Consolas"/>
        <family val="3"/>
        <scheme val="none"/>
      </font>
      <numFmt numFmtId="165" formatCode="[$$-C09]#,##0.00"/>
    </dxf>
    <dxf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F9FAFB"/>
        <name val="Consolas"/>
        <family val="3"/>
        <scheme val="none"/>
      </font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6" formatCode="yyyy"/>
    </dxf>
    <dxf>
      <font>
        <b/>
        <sz val="10"/>
        <color rgb="FFFFFFFF"/>
      </font>
      <fill>
        <patternFill patternType="solid">
          <fgColor indexed="64"/>
          <bgColor rgb="FF156082"/>
        </patternFill>
      </fill>
    </dxf>
    <dxf>
      <numFmt numFmtId="165" formatCode="[$$-C09]#,##0.00"/>
    </dxf>
    <dxf>
      <numFmt numFmtId="165" formatCode="[$$-C09]#,##0.00"/>
    </dxf>
    <dxf>
      <numFmt numFmtId="165" formatCode="[$$-C09]#,##0.00"/>
      <fill>
        <patternFill patternType="solid">
          <fgColor indexed="64"/>
          <bgColor rgb="FFD9D9D9"/>
        </patternFill>
      </fill>
      <border diagonalUp="0" diagonalDown="0" outline="0">
        <left/>
        <right/>
        <top style="thin">
          <color auto="1"/>
        </top>
        <bottom/>
      </border>
    </dxf>
    <dxf>
      <numFmt numFmtId="165" formatCode="[$$-C09]#,##0.00"/>
      <fill>
        <patternFill patternType="solid">
          <fgColor indexed="64"/>
          <bgColor rgb="FFD9D9D9"/>
        </patternFill>
      </fill>
      <border diagonalUp="0" diagonalDown="0" outline="0">
        <left/>
        <right/>
        <top style="thin">
          <color auto="1"/>
        </top>
        <bottom/>
      </border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  <fill>
        <patternFill patternType="none">
          <fgColor indexed="64"/>
          <bgColor auto="1"/>
        </patternFill>
      </fill>
    </dxf>
    <dxf>
      <numFmt numFmtId="165" formatCode="[$$-C09]#,##0.00"/>
      <fill>
        <patternFill patternType="none">
          <fgColor indexed="64"/>
          <bgColor auto="1"/>
        </patternFill>
      </fill>
    </dxf>
    <dxf>
      <font>
        <b/>
        <sz val="10"/>
        <color rgb="FFFFFFFF"/>
      </font>
      <numFmt numFmtId="165" formatCode="[$$-C09]#,##0.00"/>
      <fill>
        <patternFill patternType="solid">
          <fgColor indexed="64"/>
          <bgColor rgb="FF156082"/>
        </patternFill>
      </fill>
    </dxf>
    <dxf>
      <numFmt numFmtId="1" formatCode="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39C12"/>
        <name val="Aptos Narrow"/>
        <family val="2"/>
        <scheme val="minor"/>
      </font>
      <numFmt numFmtId="165" formatCode="[$$-C09]#,##0.00"/>
      <fill>
        <patternFill patternType="solid">
          <fgColor indexed="64"/>
          <bgColor rgb="FF0E2841"/>
        </patternFill>
      </fill>
    </dxf>
    <dxf>
      <numFmt numFmtId="1" formatCode="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5A5A6"/>
        <name val="Aptos Narrow"/>
        <family val="2"/>
        <scheme val="minor"/>
      </font>
      <numFmt numFmtId="165" formatCode="[$$-C09]#,##0.00"/>
      <fill>
        <patternFill patternType="solid">
          <fgColor indexed="64"/>
          <bgColor rgb="FF0E2841"/>
        </patternFill>
      </fill>
    </dxf>
    <dxf>
      <numFmt numFmtId="1" formatCode="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/>
        <color rgb="FF00B894"/>
      </font>
      <numFmt numFmtId="165" formatCode="[$$-C09]#,##0.00"/>
      <fill>
        <patternFill patternType="solid">
          <fgColor indexed="64"/>
          <bgColor rgb="FF0E2841"/>
        </patternFill>
      </fill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C09]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C09]#,##0.00"/>
    </dxf>
    <dxf>
      <numFmt numFmtId="0" formatCode="General"/>
    </dxf>
    <dxf>
      <numFmt numFmtId="0" formatCode="General"/>
    </dxf>
    <dxf>
      <numFmt numFmtId="166" formatCode="yyyy"/>
    </dxf>
    <dxf>
      <numFmt numFmtId="0" formatCode="General"/>
    </dxf>
    <dxf>
      <font>
        <b/>
        <sz val="10"/>
        <color rgb="FFFFFFFF"/>
      </font>
      <numFmt numFmtId="165" formatCode="[$$-C09]#,##0.00"/>
      <fill>
        <patternFill patternType="solid">
          <fgColor indexed="64"/>
          <bgColor rgb="FF156082"/>
        </patternFill>
      </fill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C09]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C09]#,##0.00"/>
    </dxf>
    <dxf>
      <numFmt numFmtId="0" formatCode="General"/>
    </dxf>
    <dxf>
      <numFmt numFmtId="0" formatCode="General"/>
    </dxf>
    <dxf>
      <numFmt numFmtId="166" formatCode="yyyy"/>
    </dxf>
    <dxf>
      <numFmt numFmtId="0" formatCode="General"/>
    </dxf>
    <dxf>
      <font>
        <b/>
        <sz val="10"/>
        <color rgb="FFFFFFFF"/>
      </font>
      <numFmt numFmtId="165" formatCode="[$$-C09]#,##0.00"/>
      <fill>
        <patternFill patternType="solid">
          <fgColor indexed="64"/>
          <bgColor rgb="FF15608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z val="11"/>
        <name val="Aptos Narrow"/>
      </font>
    </dxf>
    <dxf>
      <font>
        <sz val="11"/>
        <name val="Aptos Narrow"/>
      </font>
    </dxf>
    <dxf>
      <font>
        <sz val="11"/>
        <name val="Aptos Narrow"/>
      </font>
    </dxf>
    <dxf>
      <border>
        <bottom style="thin">
          <color rgb="FFC5D9E8"/>
        </bottom>
      </border>
    </dxf>
    <dxf>
      <font>
        <b/>
        <sz val="11"/>
        <color rgb="FFFFFFFF"/>
        <name val="Aptos Narrow"/>
      </font>
      <fill>
        <patternFill patternType="solid">
          <fgColor indexed="64"/>
          <bgColor rgb="FF156082"/>
        </patternFill>
      </fill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F04ADB-4201-4B65-90DF-09CA99611676}" name="FreqLookup" displayName="FreqLookup" ref="B57:C60" totalsRowShown="0" headerRowDxfId="195" dataDxfId="193" headerRowBorderDxfId="194">
  <autoFilter ref="B57:C60" xr:uid="{94F04ADB-4201-4B65-90DF-09CA99611676}"/>
  <tableColumns count="2">
    <tableColumn id="1" xr3:uid="{974EE389-D62B-4459-A8F8-C1C6571CC626}" name="Frequency" dataDxfId="192"/>
    <tableColumn id="2" xr3:uid="{B3B47B76-CB31-41AA-9330-41A85A7D5DE6}" name="PeriodsPerYear" dataDxfId="19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132DC-ABF8-4B9F-9582-E450B682F97D}" name="TaxBracketAdj" displayName="TaxBracketAdj" ref="B14:D19" totalsRowShown="0">
  <autoFilter ref="B14:D19" xr:uid="{673132DC-ABF8-4B9F-9582-E450B682F97D}"/>
  <tableColumns count="3">
    <tableColumn id="1" xr3:uid="{4577A0AD-1DCA-43E0-907B-6B5AD0EAD173}" name="Lower Limit" dataDxfId="190" dataCellStyle="Comma"/>
    <tableColumn id="4" xr3:uid="{B89DC811-A9AA-40BE-8CB7-56EEF2A3B2AF}" name="Upper Limit" dataDxfId="189" dataCellStyle="Comma"/>
    <tableColumn id="2" xr3:uid="{35E33CC9-E995-4F57-BCC6-98C6410B6D98}" name="Rate" dataDxfId="188" dataCellStyle="Percent">
      <calculatedColumnFormula>D7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F45D35-B986-48ED-AADA-558DDEF5F2E0}" name="TaxBracketsOrig" displayName="TaxBracketsOrig" ref="B6:E11" totalsRowShown="0">
  <autoFilter ref="B6:E11" xr:uid="{6AF45D35-B986-48ED-AADA-558DDEF5F2E0}"/>
  <tableColumns count="4">
    <tableColumn id="1" xr3:uid="{208B67EF-B9DC-49B9-B663-C9017218F88B}" name="Lower Limit" dataDxfId="187" dataCellStyle="Comma"/>
    <tableColumn id="4" xr3:uid="{9CE6FA67-A99D-465C-A7D5-D9FDC96B6AFA}" name="Upper Limit" dataDxfId="186" dataCellStyle="Comma"/>
    <tableColumn id="2" xr3:uid="{BDF82D91-AE00-41FB-A421-C10DFC6D965C}" name="Rate" dataDxfId="185" dataCellStyle="Percent"/>
    <tableColumn id="3" xr3:uid="{114FD428-8AC4-43AD-976A-C0AE11D45769}" name="Adjusted Rate(Medicare Inc)">
      <calculatedColumnFormula>D7+0.02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FD038B5-D639-4490-B67D-016AD0C70304}" name="Tbl_PersonaA" displayName="Tbl_PersonaA" ref="A1:S145" totalsRowShown="0" headerRowDxfId="184">
  <autoFilter ref="A1:S145" xr:uid="{2FD038B5-D639-4490-B67D-016AD0C70304}"/>
  <tableColumns count="19">
    <tableColumn id="1" xr3:uid="{9DC17DE0-A89F-4AA9-A2E8-65796EFBD383}" name="Period" dataDxfId="183">
      <calculatedColumnFormula>IF(ROW()-1 &lt;= TotalPeriodsA, ROW()-1, "")</calculatedColumnFormula>
    </tableColumn>
    <tableColumn id="2" xr3:uid="{CC62AE0B-C222-4F51-9616-0FC40C2E360B}" name="Year" dataDxfId="182">
      <calculatedColumnFormula>IF(ROW()-1 &lt;= TotalPeriodsA, StartYear + INT((ROW()-2)/PPYA), "")</calculatedColumnFormula>
    </tableColumn>
    <tableColumn id="3" xr3:uid="{E10123AB-2DBF-40BE-89DB-70212959A033}" name="PeriodInYear" dataDxfId="181">
      <calculatedColumnFormula>IF($A2="", "", MOD($A2-1, PPYA)+1)</calculatedColumnFormula>
    </tableColumn>
    <tableColumn id="4" xr3:uid="{FAC6B73E-E6CD-4531-8336-093351CBCCF2}" name="IsSweepPeriod" dataDxfId="180">
      <calculatedColumnFormula>IF($A2="", "", C2=PPYA)</calculatedColumnFormula>
    </tableColumn>
    <tableColumn id="5" xr3:uid="{1B52199C-74BD-43DC-B631-6A233BCBED5C}" name="AnnualIncome" dataDxfId="179" dataCellStyle="Comma">
      <calculatedColumnFormula>IF($A2="","",IncA*(1+Inflation)^((B2 - YEAR(StartYear))))</calculatedColumnFormula>
    </tableColumn>
    <tableColumn id="6" xr3:uid="{7558EFC1-10DC-4A0C-9B1C-0A13BE59B2BF}" name="MarginalRate" dataDxfId="178">
      <calculatedColumnFormula array="1">IF($A2="", "", MRate(E2))</calculatedColumnFormula>
    </tableColumn>
    <tableColumn id="7" xr3:uid="{007D3E3D-7F19-4DCA-9A72-ACEAB687B0EA}" name="BasePreTax" dataDxfId="177" dataCellStyle="Comma">
      <calculatedColumnFormula>IF($A2="", "", AfterTaxA/(1-F2))</calculatedColumnFormula>
    </tableColumn>
    <tableColumn id="8" xr3:uid="{28CE57E8-A3A1-40F9-954B-D8CCC0243AAE}" name="CarryFwdThisYear" dataDxfId="176" dataCellStyle="Comma">
      <calculatedColumnFormula>IF($A2="", "", _xlfn.XLOOKUP($B2, YearlyParamsA!$A:$A, YearlyParamsA!$E:$E, 0))</calculatedColumnFormula>
    </tableColumn>
    <tableColumn id="9" xr3:uid="{FD2BAA90-8DA8-47C1-8280-29284AFF2BB2}" name="EmployerSGAnnual" dataDxfId="175">
      <calculatedColumnFormula>IF($A2="", "", E2*SGRate)</calculatedColumnFormula>
    </tableColumn>
    <tableColumn id="10" xr3:uid="{711CE6C2-99A5-43F1-861B-2D3EA8751700}" name="AllowablePersonalAnnual" dataDxfId="174">
      <calculatedColumnFormula>IFERROR(IF($A2="", "", _xlfn.XLOOKUP($B2, YearlyParamsA!$A:$A, YearlyParamsA!$I:$I, 0)), 0)</calculatedColumnFormula>
    </tableColumn>
    <tableColumn id="11" xr3:uid="{DDBB9DDD-5DD3-43C3-A59C-CCE9919D776B}" name="CumulativePrev" dataDxfId="173">
      <calculatedColumnFormula>IF(B2&lt;&gt;B1,0,Q1)</calculatedColumnFormula>
    </tableColumn>
    <tableColumn id="12" xr3:uid="{3286D2A4-A333-4549-9487-A3D9D53541D6}" name="TaxSavedPrev" dataDxfId="172">
      <calculatedColumnFormula>IF(B2&lt;&gt;B1,0,P1)</calculatedColumnFormula>
    </tableColumn>
    <tableColumn id="13" xr3:uid="{B745C56F-F6D0-4B0E-8571-EFBB2B2269D9}" name="ClientPreTaxContrib" dataDxfId="171">
      <calculatedColumnFormula>IF($A2="", "", G2+L2/PPYA)</calculatedColumnFormula>
    </tableColumn>
    <tableColumn id="14" xr3:uid="{8DC424E9-50D2-40A1-B8C8-CA9B784E7A23}" name="AvailableRoom" dataDxfId="170">
      <calculatedColumnFormula>IF($A2="", "", J2-K2)</calculatedColumnFormula>
    </tableColumn>
    <tableColumn id="15" xr3:uid="{304242F6-E1E7-43AC-B325-2C54CE66CF04}" name="ClientContribution" dataDxfId="169">
      <calculatedColumnFormula>IFERROR(IF($A2="", "", MIN(M2,N2)), 0)</calculatedColumnFormula>
    </tableColumn>
    <tableColumn id="16" xr3:uid="{1D468380-B345-4728-9BB3-944B4810BEAB}" name="TotalTaxBenefit" dataDxfId="168">
      <calculatedColumnFormula>IFERROR(IF($A2="", "", O2*F2), 0)</calculatedColumnFormula>
    </tableColumn>
    <tableColumn id="17" xr3:uid="{335C20A0-FADC-4A01-BC77-A37FFA40B97A}" name="CumulativeSuperYTD" dataDxfId="167">
      <calculatedColumnFormula>IFERROR(IF($A2="", "", K2+O2), 0)</calculatedColumnFormula>
    </tableColumn>
    <tableColumn id="18" xr3:uid="{DE173782-7778-4B69-83AC-9A953219A260}" name="CumulativeTaxSavedYTD" dataDxfId="166">
      <calculatedColumnFormula>R1+P2</calculatedColumnFormula>
    </tableColumn>
    <tableColumn id="19" xr3:uid="{13B2E744-6D70-4C50-878F-F0C35517ED0A}" name="CumulativeTaxSavedTotal" dataDxfId="165">
      <calculatedColumnFormula>IFERROR(IF($A2="","",IF(B2&lt;&gt;B1,0,R1)+R2),0)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EBEDB9-0E63-499C-BE9C-5941B7152385}" name="Tbl_PersonaB" displayName="Tbl_PersonaB" ref="A1:T181" totalsRowShown="0" headerRowDxfId="164">
  <autoFilter ref="A1:T181" xr:uid="{12EBEDB9-0E63-499C-BE9C-5941B7152385}"/>
  <tableColumns count="20">
    <tableColumn id="1" xr3:uid="{F94F0C2A-43B1-4C57-B877-B75FFFCF6E31}" name="Period" dataDxfId="163">
      <calculatedColumnFormula>IF(ROW()-1 &lt;= TotalPeriodsB, ROW()-1, "")</calculatedColumnFormula>
    </tableColumn>
    <tableColumn id="2" xr3:uid="{AFF8FC31-6C6E-450E-A36B-B3CF418D1199}" name="Year" dataDxfId="162">
      <calculatedColumnFormula>IF(ROW()-1 &lt;= TotalPeriodsB, YEAR(StartYear) + INT((ROW()-2)/PPYB), "")</calculatedColumnFormula>
    </tableColumn>
    <tableColumn id="3" xr3:uid="{358C14C9-E0C7-4EE2-B418-5F8E93F089DC}" name="PeriodInYear" dataDxfId="161">
      <calculatedColumnFormula>IF($A2="", "", MOD($A2-1, PPYB)+1)</calculatedColumnFormula>
    </tableColumn>
    <tableColumn id="4" xr3:uid="{E1536C18-2858-4E67-A337-389117B3AC29}" name="IsSweepPeriod" dataDxfId="160">
      <calculatedColumnFormula>IF($A2="", "", C2=PPYB)</calculatedColumnFormula>
    </tableColumn>
    <tableColumn id="5" xr3:uid="{259DD9C1-D191-48D9-BDA4-5635E577363B}" name="AnnualIncome" dataDxfId="159" dataCellStyle="Comma">
      <calculatedColumnFormula>IF($A2="","",IncB*(1+Inflation)^((B2 - YEAR(StartYear))))</calculatedColumnFormula>
    </tableColumn>
    <tableColumn id="6" xr3:uid="{314CE375-AE1B-41D5-8652-53CE3066334A}" name="MarginalRate" dataDxfId="158">
      <calculatedColumnFormula array="1">IF($A2="", "", MRate(E2))</calculatedColumnFormula>
    </tableColumn>
    <tableColumn id="7" xr3:uid="{6A890F8D-8688-41AF-BDC0-4252C56A1078}" name="BasePreTax" dataDxfId="157" dataCellStyle="Comma">
      <calculatedColumnFormula>IF($A2="", "", AfterTaxB/(1-F2))</calculatedColumnFormula>
    </tableColumn>
    <tableColumn id="8" xr3:uid="{D092B235-3DC1-4E77-B03B-14B29738A6A5}" name="CarryFwdThisYear" dataDxfId="156" dataCellStyle="Comma">
      <calculatedColumnFormula>IF($A2="", "", _xlfn.XLOOKUP($B2, YearlyParamsB!$A:$A, YearlyParamsB!$E:$E, 0))</calculatedColumnFormula>
    </tableColumn>
    <tableColumn id="9" xr3:uid="{2A1C6F58-1E59-47D9-8B62-7E48A9F31E9A}" name="EmployerSGAnnual" dataDxfId="155">
      <calculatedColumnFormula>IF($A2="", "", E2*SGRate)</calculatedColumnFormula>
    </tableColumn>
    <tableColumn id="10" xr3:uid="{C108996A-3599-4F3F-8AF4-8501A4DEBFCE}" name="AllowablePersonalAnnual" dataDxfId="154">
      <calculatedColumnFormula>IFERROR(IF($A2="", "", _xlfn.XLOOKUP($B2, YearlyParamsB!$A:$A, YearlyParamsB!$I:$I, 0)), 0)</calculatedColumnFormula>
    </tableColumn>
    <tableColumn id="11" xr3:uid="{7931D198-C381-4630-87A2-CEB36E188FF7}" name="CumulativePrev" dataDxfId="153">
      <calculatedColumnFormula>IF(B2&lt;&gt;B1,0,Q1)</calculatedColumnFormula>
    </tableColumn>
    <tableColumn id="12" xr3:uid="{6F0A8047-12C3-485B-812B-91EE4B3BF8D3}" name="TaxSavedPrev" dataDxfId="152">
      <calculatedColumnFormula>IF(B2&lt;&gt;B1,0,P1)</calculatedColumnFormula>
    </tableColumn>
    <tableColumn id="13" xr3:uid="{EE59A0E7-F6ED-4170-80C6-31300255A2B4}" name="ClientPreTaxContrib" dataDxfId="151">
      <calculatedColumnFormula>IF($A2="", "", G2+L2/PPYB)</calculatedColumnFormula>
    </tableColumn>
    <tableColumn id="14" xr3:uid="{C61AFD18-0C5F-419E-933F-628DB507C880}" name="AvailableRoom" dataDxfId="150">
      <calculatedColumnFormula>IF($A2="", "", J2-K2)</calculatedColumnFormula>
    </tableColumn>
    <tableColumn id="15" xr3:uid="{2ACA0198-62B9-4C74-BA47-3057A7501D34}" name="ClientContribution" dataDxfId="149">
      <calculatedColumnFormula>IFERROR(IF($A2="", "", MIN(M2,N2)), 0)</calculatedColumnFormula>
    </tableColumn>
    <tableColumn id="16" xr3:uid="{43437540-AD8D-4B4B-96C0-5B93F075AA93}" name="TotalTaxBenefit" dataDxfId="148">
      <calculatedColumnFormula>IFERROR(IF($A2="", "", O2*F2), 0)</calculatedColumnFormula>
    </tableColumn>
    <tableColumn id="17" xr3:uid="{BE08ABAC-982B-4A15-B131-FFBFEFD43537}" name="CumulativeSuperYTD" dataDxfId="147">
      <calculatedColumnFormula>IFERROR(IF($A2="", "", K2+O2), 0)</calculatedColumnFormula>
    </tableColumn>
    <tableColumn id="18" xr3:uid="{7E73684B-C37D-404B-B68A-B97DD4519B1D}" name="CumulativeTaxSavedYTD" dataDxfId="146">
      <calculatedColumnFormula>R1+P2</calculatedColumnFormula>
    </tableColumn>
    <tableColumn id="19" xr3:uid="{BD9378E9-9FAD-4B29-AB74-26FFF716E8EB}" name="CumulativeTaxSavedTotal" dataDxfId="145">
      <calculatedColumnFormula>IFERROR(IF($A2="","",IF(B2&lt;&gt;B1,0,R1)+R2),0)</calculatedColumnFormula>
    </tableColumn>
    <tableColumn id="20" xr3:uid="{62F42CA7-C9FE-48F7-8569-4BE601282857}" name="LoanTermAdj" dataDxfId="14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78866B-7F30-4EAF-948A-A1FFB3196106}" name="Tbl_LoanC" displayName="Tbl_LoanC" ref="A3:O183" totalsRowShown="0" headerRowDxfId="143">
  <autoFilter ref="A3:O183" xr:uid="{4F78866B-7F30-4EAF-948A-A1FFB3196106}"/>
  <tableColumns count="15">
    <tableColumn id="1" xr3:uid="{5E4C1793-02B3-4487-95F6-030642FFC3D8}" name="Period">
      <calculatedColumnFormula>IF(ROW()-3&lt;=TotalPeriods_Loan,ROW()-3,"")</calculatedColumnFormula>
    </tableColumn>
    <tableColumn id="2" xr3:uid="{B08938E5-D16D-4333-8EBB-52FAB1332D07}" name="Year">
      <calculatedColumnFormula>IF($A4="", "", YEAR(StartYear) + INT(($A4-1)/PPY_Loan))</calculatedColumnFormula>
    </tableColumn>
    <tableColumn id="3" xr3:uid="{D5D37D1F-4D19-42EB-B332-745E29DA519B}" name="PeriodInYear">
      <calculatedColumnFormula>IF($A4="", "", MOD(A4-1, PPY_Loan)+1)</calculatedColumnFormula>
    </tableColumn>
    <tableColumn id="4" xr3:uid="{47134813-F1A8-4004-BA29-A81CB446533B}" name="OpeningBalance" dataDxfId="142">
      <calculatedColumnFormula>IF(J3&lt;=0, 0,J3)</calculatedColumnFormula>
    </tableColumn>
    <tableColumn id="5" xr3:uid="{FF97753B-C6BF-4B41-AE02-F681F43D25CA}" name="OffsetBeforeSweep" dataDxfId="141">
      <calculatedColumnFormula>IFERROR(IF($A4="", "", _xlfn.XLOOKUP(A4,Offset!A:A,Offset!I:I, 0)), 0)</calculatedColumnFormula>
    </tableColumn>
    <tableColumn id="6" xr3:uid="{BFFD9DFB-D2C2-474B-8A11-858E841DD908}" name="EffectiveBalance" dataDxfId="140">
      <calculatedColumnFormula>IFERROR(IF($A4="", "", MAX(0, D4 - E4)), 0)</calculatedColumnFormula>
    </tableColumn>
    <tableColumn id="7" xr3:uid="{5D797006-9DDD-4AC1-8214-5698C5F47006}" name="Interest" dataDxfId="139">
      <calculatedColumnFormula>IFERROR(IF($A4="", "", F4*(LoanRate/PPY_Loan)), 0)</calculatedColumnFormula>
    </tableColumn>
    <tableColumn id="8" xr3:uid="{39097E88-57D7-48B7-B4F7-9D78039056EA}" name="TotalPayment" dataDxfId="138">
      <calculatedColumnFormula>IFERROR(IF($A4="", "", IF(D4&lt;=0, 0, StdPayment)), 0)</calculatedColumnFormula>
    </tableColumn>
    <tableColumn id="9" xr3:uid="{B80A3122-9DAF-4F34-B9E9-B77386E0329F}" name="Principal" dataDxfId="137">
      <calculatedColumnFormula>IFERROR(IF($A4="", "", IF(D4&lt;=0, 0,H4-G4)), 0)</calculatedColumnFormula>
    </tableColumn>
    <tableColumn id="10" xr3:uid="{0363514F-C139-4C09-AA29-5356589B6C5F}" name="ClosingBalance" dataDxfId="136">
      <calculatedColumnFormula>IFERROR(IF($A4="", "", IF(D4&lt;=0,0,D4-I4)), 0)</calculatedColumnFormula>
    </tableColumn>
    <tableColumn id="11" xr3:uid="{AB25BA05-B7FD-4287-87BB-CDE0C3FD9E27}" name="InterestSaved" dataDxfId="135">
      <calculatedColumnFormula>IFERROR(IF($A4="", "", E4*(LoanRate/PPY_Loan)), 0)</calculatedColumnFormula>
    </tableColumn>
    <tableColumn id="12" xr3:uid="{03953FD9-27A1-4CAA-898E-96D842318D97}" name="CumulativeInterestSaved" dataDxfId="134">
      <calculatedColumnFormula>IF($A4="", "", IF($A4=1,K4, K3+K4))</calculatedColumnFormula>
    </tableColumn>
    <tableColumn id="13" xr3:uid="{505921E7-B6A0-4FF4-BE2C-ED684EF290F8}" name="CumulativeInterest" dataDxfId="133"/>
    <tableColumn id="14" xr3:uid="{72A191E8-3359-477A-AAF5-30B23A1787E4}" name="CumulativePayments" dataDxfId="132"/>
    <tableColumn id="15" xr3:uid="{CA702E72-AAE6-40AA-A8BE-A6F6929799BA}" name="LoanYear" dataDxfId="13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96E41D-D25B-41EE-8A1E-1F015B69563D}" name="Tbl_LoanA" displayName="Tbl_LoanA" ref="Q3:AA183" totalsRowShown="0" headerRowDxfId="130">
  <autoFilter ref="Q3:AA183" xr:uid="{E596E41D-D25B-41EE-8A1E-1F015B69563D}"/>
  <tableColumns count="11">
    <tableColumn id="1" xr3:uid="{7491ECEC-0BC1-4C0D-8244-EA03F8675E6E}" name="Period">
      <calculatedColumnFormula>IF(ROW()-3&lt;=TotalPeriods_Loan,ROW()-3,"")</calculatedColumnFormula>
    </tableColumn>
    <tableColumn id="2" xr3:uid="{175040B7-FD7E-4096-8B71-F28C43895727}" name="Year">
      <calculatedColumnFormula>IF($Q4="", "", YEAR(StartYear) + INT(($Q4-1)/PPY_Loan))</calculatedColumnFormula>
    </tableColumn>
    <tableColumn id="3" xr3:uid="{B809629F-B576-46C0-8D4A-F7FE8B9F2A31}" name="PeriodInYear">
      <calculatedColumnFormula>IF($Q4="", "", MOD(Q4-1, PPY_Loan)+1)</calculatedColumnFormula>
    </tableColumn>
    <tableColumn id="4" xr3:uid="{76361098-3441-4E64-B387-52F716C6B4EB}" name="OpeningBalance" dataDxfId="129">
      <calculatedColumnFormula>IF($Q4="", "",IF(X3&lt;0, 0, X3))</calculatedColumnFormula>
    </tableColumn>
    <tableColumn id="5" xr3:uid="{61594CCA-0C8A-48DC-AB8A-8E80B23C14E7}" name="Interest" dataDxfId="128">
      <calculatedColumnFormula>IFERROR(IF($Q4="", "", T4*(LoanRate/PPY_Loan)), 0)</calculatedColumnFormula>
    </tableColumn>
    <tableColumn id="6" xr3:uid="{2DA80E8F-B89F-4D0D-B47E-E388F6E75C5E}" name="TotalPayment" dataDxfId="127">
      <calculatedColumnFormula>IF($Q4="", "", IF(T4&lt;=0, 0, StdPayment))</calculatedColumnFormula>
    </tableColumn>
    <tableColumn id="7" xr3:uid="{58581881-B9FC-4710-B78A-68903F950512}" name="Principal" dataDxfId="126">
      <calculatedColumnFormula>IF($Q4="", "", IF(T4&lt;=0, 0, V4-U4))</calculatedColumnFormula>
    </tableColumn>
    <tableColumn id="8" xr3:uid="{F9B013E4-1638-46E9-A331-D9365C9C29E8}" name="ClosingBalance" dataDxfId="125">
      <calculatedColumnFormula>IF($Q4="", "", IF(T4&lt;=0, 0,  T4-W4))</calculatedColumnFormula>
    </tableColumn>
    <tableColumn id="9" xr3:uid="{D9BE0400-1EF9-45DC-979A-564C96F15B42}" name="CumulativeInterest" dataDxfId="124"/>
    <tableColumn id="10" xr3:uid="{14164A9A-879A-42E1-BAE2-76B3375FF04C}" name="CumulativePayments" dataDxfId="123"/>
    <tableColumn id="11" xr3:uid="{756C94FF-928C-490E-BA64-190C2B010ED7}" name="LoanYear" dataDxfId="122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E764736-8D7F-44BE-A4D0-FBBF4E2E0A77}" name="Tbl_LoanB" displayName="Tbl_LoanB" ref="AC3:AM183" totalsRowShown="0" headerRowDxfId="121">
  <autoFilter ref="AC3:AM183" xr:uid="{3E764736-8D7F-44BE-A4D0-FBBF4E2E0A77}"/>
  <tableColumns count="11">
    <tableColumn id="1" xr3:uid="{BCD5A939-267B-4A82-B634-C419AA9DA076}" name="Period">
      <calculatedColumnFormula>IF(ROW()-3&lt;=TotalPeriods_Loan,ROW()-3,"")</calculatedColumnFormula>
    </tableColumn>
    <tableColumn id="2" xr3:uid="{6200D8A4-74DE-4E21-B577-7C91DFCAABC7}" name="Year">
      <calculatedColumnFormula>IF($AC4="", "", YEAR(StartYear) + INT(($AC4-1)/PPY_Loan))</calculatedColumnFormula>
    </tableColumn>
    <tableColumn id="3" xr3:uid="{E81CBE03-0A51-47F9-9FAE-B89F5D706548}" name="PeriodInYear">
      <calculatedColumnFormula>IF($AC4="", "", MOD(AC4-1, PPY_Loan)+1)</calculatedColumnFormula>
    </tableColumn>
    <tableColumn id="4" xr3:uid="{8E1B0F84-CCB1-40A5-9F12-B02D6F8EF4CF}" name="OpeningBalance" dataDxfId="120">
      <calculatedColumnFormula>IF($AC4="", "",IF(AJ3&lt;0, 0, AJ3))</calculatedColumnFormula>
    </tableColumn>
    <tableColumn id="5" xr3:uid="{EAB0BA20-1D43-4B0B-9FAE-058B8D3352EB}" name="Interest" dataDxfId="119">
      <calculatedColumnFormula>IFERROR(IF($AC4="", "", AF4*(LoanRate/PPY_Loan)), 0)</calculatedColumnFormula>
    </tableColumn>
    <tableColumn id="6" xr3:uid="{8AD45F06-9B83-4ADC-9EED-E386D14A0981}" name="TotalPayment" dataDxfId="118">
      <calculatedColumnFormula>IF($AC4="", "", IF(AF4&lt;=0, 0, StdPayment + IF(ISBLANK(ExtraRepay), 0, ExtraRepay)))</calculatedColumnFormula>
    </tableColumn>
    <tableColumn id="7" xr3:uid="{345FDBD9-3C22-4A6C-8251-6A27E6C58C49}" name="Principal" dataDxfId="117">
      <calculatedColumnFormula>IF($AC4="", "", IF(AF4&lt;=0, 0, AH4-AG4))</calculatedColumnFormula>
    </tableColumn>
    <tableColumn id="8" xr3:uid="{64A533A0-11FD-48DF-A9C2-B39DD6311EDB}" name="ClosingBalance" dataDxfId="116">
      <calculatedColumnFormula>IF($AC4="", "", IF(AF4&lt;=0, 0,  AF4-AI4))</calculatedColumnFormula>
    </tableColumn>
    <tableColumn id="9" xr3:uid="{1D476CE4-7400-491E-9B3F-FE26DC71A2FC}" name="CumulativeInterest" dataDxfId="115"/>
    <tableColumn id="10" xr3:uid="{16468040-7DC2-4E56-BD97-A1CA16830779}" name="CumulativePayments" dataDxfId="114"/>
    <tableColumn id="11" xr3:uid="{8C26615D-D27F-43C0-9365-44F12010C336}" name="LoanYear" dataDxfId="113"/>
  </tableColumns>
  <tableStyleInfo name="TableStyleLight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ED46CF8-FA6E-4FB1-BD18-C80A0E5DB916}" name="Tbl_Offset" displayName="Tbl_Offset" ref="A2:O182" totalsRowShown="0" headerRowDxfId="112">
  <autoFilter ref="A2:O182" xr:uid="{5ED46CF8-FA6E-4FB1-BD18-C80A0E5DB916}"/>
  <tableColumns count="15">
    <tableColumn id="1" xr3:uid="{11007B8A-AB19-4055-A6D9-285E25820D94}" name="Period">
      <calculatedColumnFormula>IF(ROW()-2 &lt;= TotalPeriodsOffset, ROW()-2, "")</calculatedColumnFormula>
    </tableColumn>
    <tableColumn id="2" xr3:uid="{21AB80B8-741D-4A25-AF48-9F78D5674D21}" name="Year">
      <calculatedColumnFormula>IF($A3="", "", YEAR(StartYear) + INT(($A3-1)/PPY))</calculatedColumnFormula>
    </tableColumn>
    <tableColumn id="3" xr3:uid="{B0F90A3C-10BF-446E-A3A8-0D0CFE500479}" name="PeriodInYear">
      <calculatedColumnFormula>IF(A3="", "",MOD(A3-1, PPY)+1)</calculatedColumnFormula>
    </tableColumn>
    <tableColumn id="4" xr3:uid="{3496B633-4B7F-4DCA-B068-04FFC3EB5E30}" name="IsSweepPeriod">
      <calculatedColumnFormula>IF(A3="", "",C3=PPY)</calculatedColumnFormula>
    </tableColumn>
    <tableColumn id="5" xr3:uid="{6C117E80-F666-41E2-94FF-F8F3BCF68BB6}" name="DepositA" dataDxfId="111">
      <calculatedColumnFormula>IF($A3="", "", IFERROR(SUMIF(PersonaA!$B:$B, $B3, PersonaA!$O:$O) / PPY, 0))</calculatedColumnFormula>
    </tableColumn>
    <tableColumn id="6" xr3:uid="{9E1079E2-9024-49B7-A160-01F571B617C9}" name="DepositB" dataDxfId="110">
      <calculatedColumnFormula>IF($A3="", "", IFERROR(SUMIF(PersonaB!$B:$B, $B3, PersonaB!$O:$O) / PPY, 0))</calculatedColumnFormula>
    </tableColumn>
    <tableColumn id="7" xr3:uid="{D0FF2E00-5ACD-4BBB-9A8A-FCE8B33ED0F6}" name="TotalDeposit" dataDxfId="109">
      <calculatedColumnFormula>IF(A3="", "", E3+F3+L3+M3)</calculatedColumnFormula>
    </tableColumn>
    <tableColumn id="8" xr3:uid="{471FE68B-E38E-45D4-82F1-D8536B449E1B}" name="OffsetStart" dataDxfId="108">
      <calculatedColumnFormula>K2</calculatedColumnFormula>
    </tableColumn>
    <tableColumn id="9" xr3:uid="{4CDB8BCD-7480-49A9-8DAF-79E4CF3191DA}" name="OffsetBeforeSweep" dataDxfId="107">
      <calculatedColumnFormula>IF(A3="", "",H3+G3)</calculatedColumnFormula>
    </tableColumn>
    <tableColumn id="10" xr3:uid="{C1EDA387-6DF6-4F4A-AB4B-1422C9119704}" name="SweepAmount" dataDxfId="106">
      <calculatedColumnFormula>IF(A3="", "",IF(D3,I3,0))</calculatedColumnFormula>
    </tableColumn>
    <tableColumn id="11" xr3:uid="{1381538D-E449-4F7E-BAE7-3661717D3764}" name="OffsetEnd" dataDxfId="105">
      <calculatedColumnFormula>IF(A3="", "",IF(D3,0,I3))</calculatedColumnFormula>
    </tableColumn>
    <tableColumn id="12" xr3:uid="{6B7D5060-9A62-424B-BFB3-F1D2D9F2BCD4}" name="TaxSavedA" dataDxfId="104">
      <calculatedColumnFormula>IF($A3="", "", IFERROR(SUMIF(PersonaA!$B:$B, $B3, PersonaA!$P:$P) / PPY, 0))</calculatedColumnFormula>
    </tableColumn>
    <tableColumn id="13" xr3:uid="{B51FE6B2-EC52-4376-9F7A-657030127409}" name="TaxSavedB" dataDxfId="103">
      <calculatedColumnFormula>IF($A3="", "", IFERROR(SUMIF(PersonaB!$B:$B, $B3, PersonaB!$P:$P) / PPY, 0))</calculatedColumnFormula>
    </tableColumn>
    <tableColumn id="14" xr3:uid="{760A84BC-7797-448F-BDCC-014DE8099265}" name="InterestSaved" dataDxfId="102">
      <calculatedColumnFormula>IF($A3="", "", I3*(LoanRate/PPY))</calculatedColumnFormula>
    </tableColumn>
    <tableColumn id="15" xr3:uid="{6E97D5C3-4F89-41DA-AF8D-68B83F999D41}" name="CumulativeInterestSaved" dataDxfId="101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DA63D7-FC93-46F1-818E-B7AF87BB6AF5}" name="Tbl_YearlyParamsA" displayName="Tbl_YearlyParamsA" ref="A1:AB13" totalsRowShown="0" headerRowDxfId="100">
  <autoFilter ref="A1:AB13" xr:uid="{20DA63D7-FC93-46F1-818E-B7AF87BB6AF5}"/>
  <tableColumns count="28">
    <tableColumn id="1" xr3:uid="{DCC8944C-83FF-45A3-B979-2640051818E3}" name="Year" dataDxfId="99">
      <calculatedColumnFormula>A1+1</calculatedColumnFormula>
    </tableColumn>
    <tableColumn id="2" xr3:uid="{CDCC313B-D0A3-49C8-BD9D-C5A09D69E5CF}" name="AnnualIncome" dataDxfId="98">
      <calculatedColumnFormula>IF($A2="","",B1*(1+Inflation))</calculatedColumnFormula>
    </tableColumn>
    <tableColumn id="3" xr3:uid="{987EE3FC-D88A-49E9-9FF3-392C947DD4AC}" name="EmployerSG" dataDxfId="97">
      <calculatedColumnFormula>IFERROR(IF($A2="", "", B2*SGRate), 0)</calculatedColumnFormula>
    </tableColumn>
    <tableColumn id="4" xr3:uid="{A011C10B-6459-4405-854E-5C68D8D777C4}" name="ConcessCap" dataDxfId="96">
      <calculatedColumnFormula>IF($A2="","",D1+IF(MOD(A2-StartYear,CapIndexYears)=0,CapIncrement,0))</calculatedColumnFormula>
    </tableColumn>
    <tableColumn id="5" xr3:uid="{22BB15BC-C909-40C6-8C36-1141173AEB15}" name="CarryFwdStart" dataDxfId="95">
      <calculatedColumnFormula>G1</calculatedColumnFormula>
    </tableColumn>
    <tableColumn id="6" xr3:uid="{33D2EF89-9F66-4F3B-A31B-EFDB79610222}" name="PersonalContributionUsed" dataDxfId="94">
      <calculatedColumnFormula>IFERROR(IF($A2="", "",SUMIF(PersonaA!B:B,$A2, PersonaA!O:O)), 0)</calculatedColumnFormula>
    </tableColumn>
    <tableColumn id="7" xr3:uid="{59D42693-8FC9-4CA7-BC3A-32440A867697}" name="RemainingCarryFwd" dataDxfId="93">
      <calculatedColumnFormula>IFERROR(IF($A2="", "", MAX(0, D2+E2-C2-AA2)), 0)</calculatedColumnFormula>
    </tableColumn>
    <tableColumn id="8" xr3:uid="{1448C17A-63B6-42B7-9443-4859D3E7F04F}" name="ExpiredCarryFwd" dataDxfId="92">
      <calculatedColumnFormula>IFERROR(IF($A2="","",IF(N$1&lt;A2-5,N1-T1,0)+IF(O$1&lt;A2-5,O1-U1,0) + IF(P$1 &lt; A2-5, P1-V1, 0) + IF(Q$1 &lt; A2-5, Q1-W1, 0) + IF(R$1 &lt; A2-5, R1-X1, 0) + IF(S$1 &lt; A2-5, S1-Y1, 0)), 0)</calculatedColumnFormula>
    </tableColumn>
    <tableColumn id="9" xr3:uid="{49CC590D-7C40-4E18-9EE3-4773772B4C12}" name="AllowablePersonalAnnual" dataDxfId="91">
      <calculatedColumnFormula>IFERROR(IF($A2="", "", MAX(0, D2+E2-C2)), 0)</calculatedColumnFormula>
    </tableColumn>
    <tableColumn id="10" xr3:uid="{A424893D-D09C-4E06-BBCB-D8CC29148348}" name="SuperBalanceStart" dataDxfId="90">
      <calculatedColumnFormula>IFERROR(IF($A2="", "", K1), 0)</calculatedColumnFormula>
    </tableColumn>
    <tableColumn id="11" xr3:uid="{387F7CD5-8EE4-46FD-8A78-C9C3DE90C8C3}" name="SuperBalanceEnd" dataDxfId="89">
      <calculatedColumnFormula>IFERROR(IF($A2="", "", J2*(1+SuperReturn) + C2 + AA2 - M2), 0)</calculatedColumnFormula>
    </tableColumn>
    <tableColumn id="12" xr3:uid="{0B88D1E2-D69E-4114-9DBC-86065CA0581E}" name="Div293Income" dataDxfId="88">
      <calculatedColumnFormula>IFERROR(IF($A2="", "", B2 + AA2 + NetInvLoss), 0)</calculatedColumnFormula>
    </tableColumn>
    <tableColumn id="13" xr3:uid="{C11BCEF2-C878-47F6-8B90-0A0211617A39}" name="Div293Tax" dataDxfId="87">
      <calculatedColumnFormula>IFERROR(IF($A2="", "", IF(L2 &gt; Div293Thresh, 0.15 * MIN(AA2, L2 - Div293Thresh), 0)), 0)</calculatedColumnFormula>
    </tableColumn>
    <tableColumn id="14" xr3:uid="{17AD7F12-B2D1-44F6-BB80-AF805382E4FB}" name="Year 0" dataDxfId="86">
      <calculatedColumnFormula>IFERROR(IF($A2="", "", G1), 0)</calculatedColumnFormula>
    </tableColumn>
    <tableColumn id="15" xr3:uid="{8D6F931A-019E-4D89-A33E-DD940107C410}" name="Year 1" dataDxfId="85">
      <calculatedColumnFormula>IFERROR(IF($A2="", "", N1), 0)</calculatedColumnFormula>
    </tableColumn>
    <tableColumn id="16" xr3:uid="{074446F1-28A5-4CFD-8E42-7F32F8FB0F59}" name="Year 2" dataDxfId="84">
      <calculatedColumnFormula>IFERROR(IF($A2="", "", O1), 0)</calculatedColumnFormula>
    </tableColumn>
    <tableColumn id="17" xr3:uid="{C3C9B5E6-C327-489A-A7AA-D65F24B44482}" name="Year 3" dataDxfId="83">
      <calculatedColumnFormula>IFERROR(IF($A2="", "", P1), 0)</calculatedColumnFormula>
    </tableColumn>
    <tableColumn id="18" xr3:uid="{83B33E01-F2BD-475A-86A2-4BA97D0F5780}" name="Year 4" dataDxfId="82">
      <calculatedColumnFormula>IFERROR(IF($A2="", "", Q1), 0)</calculatedColumnFormula>
    </tableColumn>
    <tableColumn id="19" xr3:uid="{1D03A9DB-C6EC-4000-A5AD-D7E7791EED4F}" name="Year 5" dataDxfId="81">
      <calculatedColumnFormula>IFERROR(IF($A2="", "", R1), 0)</calculatedColumnFormula>
    </tableColumn>
    <tableColumn id="20" xr3:uid="{2EA1EFF2-AE7D-4868-AE7B-2495166795B1}" name="Used0" dataDxfId="80">
      <calculatedColumnFormula>IF($A2="","",MIN(MAX(0,F2-U2),N2))</calculatedColumnFormula>
    </tableColumn>
    <tableColumn id="21" xr3:uid="{313B7BC4-178E-47D7-96AD-8C841B575679}" name="Used1" dataDxfId="79">
      <calculatedColumnFormula>MIN(MAX(0, F2-T2-V2), O2)</calculatedColumnFormula>
    </tableColumn>
    <tableColumn id="22" xr3:uid="{65F7E139-F266-48FB-B0B9-CE8038B1D5D2}" name="Used2" dataDxfId="78">
      <calculatedColumnFormula>MIN(MAX(0, F2-T2-U2-W2), P2)</calculatedColumnFormula>
    </tableColumn>
    <tableColumn id="23" xr3:uid="{0E20B5C5-35E5-4CB0-8A5F-0E9A8E1ADFAC}" name="Used3" dataDxfId="77">
      <calculatedColumnFormula>MIN(MAX(0, F2-T2-U2-V2-X2), Q2)</calculatedColumnFormula>
    </tableColumn>
    <tableColumn id="24" xr3:uid="{B2C193BF-0D3F-4FC8-8E7C-32C99049777F}" name="Used4" dataDxfId="76">
      <calculatedColumnFormula>MIN(MAX(0, F2-T2-U2-V2-W2-Y2), R2)</calculatedColumnFormula>
    </tableColumn>
    <tableColumn id="25" xr3:uid="{FB229787-EE88-4F70-B50A-2AF21157668C}" name="Used5" dataDxfId="75">
      <calculatedColumnFormula>MIN(MAX(0, F2-T2-U2-V2-W2-X2), S2)</calculatedColumnFormula>
    </tableColumn>
    <tableColumn id="27" xr3:uid="{E37604F4-8F52-4EEF-B170-A0F7C73FF06C}" name="TransferOut" dataDxfId="74">
      <calculatedColumnFormula>IF(AND(SpousalTransfer="Yes", TransferDir="Yes", J2&gt;=500000), F3, 0)</calculatedColumnFormula>
    </tableColumn>
    <tableColumn id="28" xr3:uid="{2ECDD4E7-A992-4D87-B773-311FFBECFAC8}" name="NetPersonalContribution" dataDxfId="73"/>
    <tableColumn id="26" xr3:uid="{DDF79603-48F4-496E-93A6-88470A9A558C}" name="TaxPayableNoStrategy" dataDxfId="7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7ADBAB-F730-42E0-AC66-3E49CD7E1521}" name="Tbl_YearlyParamsB" displayName="Tbl_YearlyParamsB" ref="A1:AC16" totalsRowShown="0" headerRowDxfId="71">
  <autoFilter ref="A1:AC16" xr:uid="{DE7ADBAB-F730-42E0-AC66-3E49CD7E1521}"/>
  <tableColumns count="29">
    <tableColumn id="1" xr3:uid="{B3A566BE-2E07-4779-8521-1467BF82E799}" name="Year">
      <calculatedColumnFormula>A1+1</calculatedColumnFormula>
    </tableColumn>
    <tableColumn id="2" xr3:uid="{4FCCE3BA-1A5B-4273-8546-932875B354FC}" name="AnnualIncome" dataDxfId="70">
      <calculatedColumnFormula>IF($A2="","",B1*(1+Inflation))</calculatedColumnFormula>
    </tableColumn>
    <tableColumn id="3" xr3:uid="{36926C42-BB8F-45FE-A0C8-88CD19076227}" name="EmployerSG" dataDxfId="69">
      <calculatedColumnFormula>IFERROR(IF($A2="", "", B2*SGRate), 0)</calculatedColumnFormula>
    </tableColumn>
    <tableColumn id="4" xr3:uid="{65989449-EFB9-4F07-B39B-E550DE070CB0}" name="ConcessCap" dataDxfId="68">
      <calculatedColumnFormula>IF($A2="","",D1+IF(MOD(A2-StartYear,CapIndexYears)=0,CapIncrement,0))</calculatedColumnFormula>
    </tableColumn>
    <tableColumn id="5" xr3:uid="{185CAD8F-BA62-4CC9-96A7-1F0E4688D8E5}" name="CarryFwdStart" dataDxfId="67">
      <calculatedColumnFormula>G1</calculatedColumnFormula>
    </tableColumn>
    <tableColumn id="6" xr3:uid="{6BA8A2DC-BB34-47F6-9EAF-F065A19B00E5}" name="PersonalContributionUsed" dataDxfId="66">
      <calculatedColumnFormula>IFERROR(IF($A2="", "",SUMIF(PersonaB!B:B,$A2, PersonaB!O:O)), 0)</calculatedColumnFormula>
    </tableColumn>
    <tableColumn id="7" xr3:uid="{37950C66-5AC9-4DC0-BF00-C24452A90DD0}" name="RemainingCarryFwd" dataDxfId="65">
      <calculatedColumnFormula>IFERROR(IF($A2="", "", MAX(0, D2+E2-C2-AB2)), 0)</calculatedColumnFormula>
    </tableColumn>
    <tableColumn id="8" xr3:uid="{782FCDF5-8F3C-4908-9AF7-093F6B58C0FF}" name="ExpiredCarryFwd" dataDxfId="64">
      <calculatedColumnFormula>IFERROR(IF($A2="","",IF(N$1&lt;A2-5,N1-T1,0)+IF(O$1&lt;A2-5,O1-U1,0) + IF(P$1 &lt; A2-5, P1-V1, 0) + IF(Q$1 &lt; A2-5, Q1-W1, 0) + IF(R$1 &lt; A2-5, R1-X1, 0) + IF(S$1 &lt; A2-5, S1-Y1, 0)), 0)</calculatedColumnFormula>
    </tableColumn>
    <tableColumn id="9" xr3:uid="{EF8B7D86-A1ED-4381-A111-6518014B944A}" name="AllowablePersonalAnnual" dataDxfId="63">
      <calculatedColumnFormula>IFERROR(IF($A2="", "", MAX(0, D2+E2-C2)), 0)</calculatedColumnFormula>
    </tableColumn>
    <tableColumn id="10" xr3:uid="{D3F2DAE0-8951-488E-9183-1DDCB1E10083}" name="SuperBalanceStart" dataDxfId="62">
      <calculatedColumnFormula>IFERROR(IF($A2="", "", K1), 0)</calculatedColumnFormula>
    </tableColumn>
    <tableColumn id="11" xr3:uid="{8EEB455B-515C-42C4-AF1F-FC910B9D001D}" name="SuperBalanceEnd" dataDxfId="61">
      <calculatedColumnFormula>IFERROR(IF($A2="", "", J2*(1+SuperReturn) + C2 + AB2 - M2), 0)</calculatedColumnFormula>
    </tableColumn>
    <tableColumn id="12" xr3:uid="{996D7A2D-CC42-4A1C-B465-FE171A820BBA}" name="Div293Income" dataDxfId="60">
      <calculatedColumnFormula>IFERROR(IF($A2="", "", B2 + AB2 + NetInvLoss), 0)</calculatedColumnFormula>
    </tableColumn>
    <tableColumn id="13" xr3:uid="{A29B4605-D34F-4FB0-98E9-98A54C66EA26}" name="Div293Tax" dataDxfId="59">
      <calculatedColumnFormula>IFERROR(IF($A2="", "", IF(L2 &gt; Div293Thresh, 0.15 * MIN(AB2, L2 - Div293Thresh), 0)), 0)</calculatedColumnFormula>
    </tableColumn>
    <tableColumn id="14" xr3:uid="{CE8BBC9B-D114-488D-8BF4-221732032DEB}" name="Year 0" dataDxfId="58">
      <calculatedColumnFormula>IFERROR(IF($A2="", "", G1), 0)</calculatedColumnFormula>
    </tableColumn>
    <tableColumn id="15" xr3:uid="{C92B3A63-89F0-461C-AD91-7F663B8A2504}" name="Year 1" dataDxfId="57">
      <calculatedColumnFormula>IFERROR(IF($A2="", "", N1), 0)</calculatedColumnFormula>
    </tableColumn>
    <tableColumn id="16" xr3:uid="{CAFA04DE-831F-4956-9544-AEF971C7A51D}" name="Year 2" dataDxfId="56">
      <calculatedColumnFormula>IFERROR(IF($A2="", "", O1), 0)</calculatedColumnFormula>
    </tableColumn>
    <tableColumn id="17" xr3:uid="{118ADB67-8BCF-4C6F-A0FB-534A9568ADCE}" name="Year 3" dataDxfId="55">
      <calculatedColumnFormula>IFERROR(IF($A2="", "", P1), 0)</calculatedColumnFormula>
    </tableColumn>
    <tableColumn id="18" xr3:uid="{98C986FE-8493-432D-9DE5-CE7C2C2EC0A2}" name="Year 4" dataDxfId="54">
      <calculatedColumnFormula>IFERROR(IF($A2="", "", Q1), 0)</calculatedColumnFormula>
    </tableColumn>
    <tableColumn id="19" xr3:uid="{5078BAED-2D76-4BE6-9ED5-FCEBD3DB79E5}" name="Year 5" dataDxfId="53">
      <calculatedColumnFormula>IFERROR(IF($A2="", "", R1), 0)</calculatedColumnFormula>
    </tableColumn>
    <tableColumn id="20" xr3:uid="{E5E57D46-6ED5-4630-8B08-6E264DBB7E73}" name="Used0" dataDxfId="52">
      <calculatedColumnFormula>IF($A2="","",MIN(MAX(0,F2-U2),N2))</calculatedColumnFormula>
    </tableColumn>
    <tableColumn id="21" xr3:uid="{1593447E-1BF5-460C-94AD-BD2C5A49DF89}" name="Used1" dataDxfId="51">
      <calculatedColumnFormula>MIN(MAX(0, F2-T2-V2), O2)</calculatedColumnFormula>
    </tableColumn>
    <tableColumn id="22" xr3:uid="{B0A68CCE-A34F-43C1-B7CE-E3095BC868C6}" name="Used2" dataDxfId="50">
      <calculatedColumnFormula>MIN(MAX(0, F2-T2-U2-W2), P2)</calculatedColumnFormula>
    </tableColumn>
    <tableColumn id="23" xr3:uid="{ECA6CD3A-D5C2-4094-9D2D-C40E8675C31D}" name="Used3" dataDxfId="49">
      <calculatedColumnFormula>MIN(MAX(0, F2-T2-U2-V2-X2), Q2)</calculatedColumnFormula>
    </tableColumn>
    <tableColumn id="24" xr3:uid="{91EA5830-D92C-4FEB-AEDF-12EC9B5C1802}" name="Used4" dataDxfId="48">
      <calculatedColumnFormula>MIN(MAX(0, F2-T2-U2-V2-W2-Y2), R2)</calculatedColumnFormula>
    </tableColumn>
    <tableColumn id="25" xr3:uid="{B6380C3E-13AE-46CF-A94B-6F618AFC8952}" name="Used5" dataDxfId="47">
      <calculatedColumnFormula>MIN(MAX(0, F2-T2-U2-V2-W2-X2), S2)</calculatedColumnFormula>
    </tableColumn>
    <tableColumn id="27" xr3:uid="{1EA4CDD4-1A62-41FD-9152-DAF226121A8C}" name="Transfer from A" dataDxfId="46"/>
    <tableColumn id="28" xr3:uid="{C26651D9-8136-4813-9E6C-313D4FE1D0BF}" name="Received from A" dataDxfId="45"/>
    <tableColumn id="29" xr3:uid="{5821C843-CBE2-401B-8192-197D4DCEFC71}" name="NetPersonalContribution" dataDxfId="44"/>
    <tableColumn id="26" xr3:uid="{5E6DA390-4B76-4B8C-9695-66BB9E429075}" name="TaxPayableNoStrategy" dataDxfId="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02A3D2-3D47-4D84-85E8-8130FE02DF1D}" name="YearlySummary" displayName="YearlySummary" ref="A1:AH16" totalsRowShown="0" headerRowDxfId="42">
  <autoFilter ref="A1:AH16" xr:uid="{0802A3D2-3D47-4D84-85E8-8130FE02DF1D}"/>
  <tableColumns count="34">
    <tableColumn id="1" xr3:uid="{A94328EB-53FE-4D63-A22D-3EBEF45A0B85}" name="Year" dataDxfId="41">
      <calculatedColumnFormula>IF(ROW()-1&lt;=ProjYears,A1+1,"")</calculatedColumnFormula>
    </tableColumn>
    <tableColumn id="2" xr3:uid="{48108B35-CFAD-4666-9A56-81218B911AEB}" name="YearIndex" dataDxfId="40">
      <calculatedColumnFormula>IF($A2="","",ROW()-1)</calculatedColumnFormula>
    </tableColumn>
    <tableColumn id="3" xr3:uid="{1F433F33-9531-44AC-8F6A-2356A26D8CDC}" name="PersonA_Contribution" dataDxfId="39">
      <calculatedColumnFormula>IF($A2="","",IFERROR(SUMIF(PersonaA!B:B,$A2,PersonaA!O:O),0))</calculatedColumnFormula>
    </tableColumn>
    <tableColumn id="4" xr3:uid="{665D6D03-9C8A-4E2C-A386-DFE5940B974E}" name="PersonB_Contribution" dataDxfId="38">
      <calculatedColumnFormula>IF($A2="","",IFERROR(SUMIF(PersonaB!B:B,$A2,PersonaB!O:O),0))</calculatedColumnFormula>
    </tableColumn>
    <tableColumn id="5" xr3:uid="{50195F42-FA38-411C-94E0-1B815BA30061}" name="Total_Contribution" dataDxfId="37">
      <calculatedColumnFormula>IF($A2="","",C2+D2)</calculatedColumnFormula>
    </tableColumn>
    <tableColumn id="6" xr3:uid="{EB5A3E33-1160-4FBE-8C48-8FB712DC6DFA}" name="PersonA_TaxSaved" dataDxfId="36">
      <calculatedColumnFormula>IF($A2="","",IFERROR(SUMIF(PersonaA!B:B,$A2,PersonaA!P:P),0))</calculatedColumnFormula>
    </tableColumn>
    <tableColumn id="7" xr3:uid="{EAE42DCD-B6A8-4C04-8241-690F9D855D35}" name="PersonB_TaxSaved" dataDxfId="35">
      <calculatedColumnFormula>IF($A2="","",IFERROR(SUMIF(PersonaB!B:B,$A2,PersonaB!P:P),0))</calculatedColumnFormula>
    </tableColumn>
    <tableColumn id="8" xr3:uid="{0C3244C2-5992-45B4-9551-FC31ECE9A802}" name="Total_TaxSaved" dataDxfId="34">
      <calculatedColumnFormula>IF($A2="","",F2+G2)</calculatedColumnFormula>
    </tableColumn>
    <tableColumn id="9" xr3:uid="{CC50B6BC-0BA6-4525-AAA5-67C5D1FCEB7E}" name="Cumul_TaxSaved_A" dataDxfId="33">
      <calculatedColumnFormula>IF($A2="","",IFERROR(_xlfn.XLOOKUP($A2,PersonaA!B:B,PersonaA!S:S,,,-1),0))</calculatedColumnFormula>
    </tableColumn>
    <tableColumn id="10" xr3:uid="{0CCF6A4C-9B0C-46CE-B6E1-EC871D032E86}" name="Cumul_TaxSaved_B" dataDxfId="32">
      <calculatedColumnFormula>IF($A2="","",IFERROR(_xlfn.XLOOKUP($A2,PersonaB!B:B,PersonaB!S:S,,,-1),0))</calculatedColumnFormula>
    </tableColumn>
    <tableColumn id="11" xr3:uid="{0AD9B2D5-DD4A-4196-B5BB-37FBDCED57DD}" name="Cumul_TaxSaved_Total" dataDxfId="31">
      <calculatedColumnFormula>IF($A2="","",I2+J2)</calculatedColumnFormula>
    </tableColumn>
    <tableColumn id="12" xr3:uid="{2132E122-556D-48AA-BAA0-64C326F4B5F0}" name="SuperBalance_A" dataDxfId="30">
      <calculatedColumnFormula>IF($A2="","",IFERROR(_xlfn.XLOOKUP($A2,YearlyParamsA!A:A,YearlyParamsA!K:K,0),0))</calculatedColumnFormula>
    </tableColumn>
    <tableColumn id="13" xr3:uid="{81D563CC-8826-49E5-B0B7-62D0A2B6B6FD}" name="SuperBalance_B" dataDxfId="29">
      <calculatedColumnFormula>IF($A2="","",IFERROR(_xlfn.XLOOKUP($A2,YearlyParamsB!A:A,YearlyParamsB!K:K,0),0))</calculatedColumnFormula>
    </tableColumn>
    <tableColumn id="14" xr3:uid="{48E7A411-EC16-4425-832E-FDD9E2C9626F}" name="SuperBalance_Combined" dataDxfId="28">
      <calculatedColumnFormula>IF($A2="","",L2+M2)</calculatedColumnFormula>
    </tableColumn>
    <tableColumn id="15" xr3:uid="{E52E2783-5BBA-4B03-99B6-CEDB62201961}" name="LoanBal_ScenarioA" dataDxfId="27">
      <calculatedColumnFormula>IF($A2="","",IFERROR(_xlfn.XLOOKUP($A2,Loan!R:R,Loan!X:X,,,-1),0))</calculatedColumnFormula>
    </tableColumn>
    <tableColumn id="16" xr3:uid="{F19B30A1-D4BD-49EA-A038-41E101918A1C}" name="LoanBal_ScenarioB" dataDxfId="26">
      <calculatedColumnFormula>IF($A2="","",IFERROR(_xlfn.XLOOKUP($A2,Loan!AD:AD,Loan!AJ:AJ,,,-1),0))</calculatedColumnFormula>
    </tableColumn>
    <tableColumn id="17" xr3:uid="{B0E42C36-038A-4BFB-8655-B41F25557618}" name="LoanBal_ScenarioC" dataDxfId="25">
      <calculatedColumnFormula>IF($A2="","",IFERROR(_xlfn.XLOOKUP($A2,Loan!B:B,Loan!J:J,,,-1),0))</calculatedColumnFormula>
    </tableColumn>
    <tableColumn id="18" xr3:uid="{315455E0-BC8D-44FD-919C-D2D49B40F711}" name="InterestSaved_Annual" dataDxfId="24">
      <calculatedColumnFormula>IF($A2="","",IFERROR(SUMIF(Loan!B:B,$A2,Loan!K:K),0))</calculatedColumnFormula>
    </tableColumn>
    <tableColumn id="19" xr3:uid="{C27A5FA9-C005-4FE7-840A-20E31F29B53C}" name="InterestSaved_Cumul" dataDxfId="23">
      <calculatedColumnFormula>IF($A2="","",IFERROR(_xlfn.XLOOKUP($A2,Loan!B:B,Loan!L:L,,,-1),0))</calculatedColumnFormula>
    </tableColumn>
    <tableColumn id="20" xr3:uid="{E8B62435-59BC-4A16-B071-2F33713351EE}" name="SweepAmount" dataDxfId="22">
      <calculatedColumnFormula>IF($A2="","",IFERROR(SUMIF(Offset!B:B,$A2,Offset!J:J),0))</calculatedColumnFormula>
    </tableColumn>
    <tableColumn id="21" xr3:uid="{31062F5C-C2A8-411C-8D19-F12AFFBF24DD}" name="SweepAmount_Cumul" dataDxfId="21">
      <calculatedColumnFormula>IF($A2="","",U1+T2)</calculatedColumnFormula>
    </tableColumn>
    <tableColumn id="22" xr3:uid="{6E593397-D8FA-4071-8A09-437A3BB612A8}" name="OffsetPeakBalance" dataDxfId="20">
      <calculatedColumnFormula>IF($A2="","",IFERROR(_xlfn.MAXIFS(Offset!I:I,Offset!B:B,$A2),0))</calculatedColumnFormula>
    </tableColumn>
    <tableColumn id="23" xr3:uid="{EAAF1820-E32E-439B-8858-08795E0BA68A}" name="AfterTaxContrib_Annual" dataDxfId="19">
      <calculatedColumnFormula>IF($A2="","",W1*(1+Inflation))</calculatedColumnFormula>
    </tableColumn>
    <tableColumn id="24" xr3:uid="{F1A5C49F-5FB1-4AC9-979A-6C42BA1CA6BD}" name="CompoundingBenefitRate" dataDxfId="18">
      <calculatedColumnFormula>IF($A2="","",IF(W2=0,0,(E2-W2)/W2))</calculatedColumnFormula>
    </tableColumn>
    <tableColumn id="25" xr3:uid="{D9F7A922-0E80-4E3C-BE24-A8C5E7DC5CA4}" name="Div293_Tax_A" dataDxfId="17"/>
    <tableColumn id="26" xr3:uid="{EF61D716-1C85-483F-BFD4-23EC395AD07F}" name="Div293_Tax_B" dataDxfId="16"/>
    <tableColumn id="27" xr3:uid="{B26355A1-20D5-4347-A874-A24A1F190078}" name="EmployerSG_A" dataDxfId="15"/>
    <tableColumn id="28" xr3:uid="{4B65644B-CAC9-487D-B548-602A1C213886}" name="EmployerSG_B" dataDxfId="14"/>
    <tableColumn id="29" xr3:uid="{AFCEF38F-F3EB-4150-B98E-E5062656DB17}" name="CarryFwd_Remaining_A" dataDxfId="13"/>
    <tableColumn id="30" xr3:uid="{9CEF9CAF-64C3-4433-A63E-141A880A7C75}" name="CarryFwd_Remaining_B" dataDxfId="12"/>
    <tableColumn id="31" xr3:uid="{45FDC645-204B-4A4B-B6E5-8DD31932CC3B}" name="ConcessionalCap" dataDxfId="11"/>
    <tableColumn id="32" xr3:uid="{7B10C7F1-8827-45CC-8EAD-2789254D8308}" name="NetSuperContrib_A" dataDxfId="10"/>
    <tableColumn id="33" xr3:uid="{82615298-999F-492D-BD9D-1B05585AC932}" name="NetSuperContrib_B" dataDxfId="9"/>
    <tableColumn id="34" xr3:uid="{BD500333-3006-447D-BCE2-C768F2A4CC2E}" name="EffectiveSavingsRate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40FF1A0-BBFB-4784-BEF0-95C2C51D8965}">
  <we:reference id="wa200006575" version="1.0.0.8" store="en-U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DE58D5-BA73-4D48-98B8-B6E69ED2AA67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5" Type="http://schemas.openxmlformats.org/officeDocument/2006/relationships/comments" Target="../comments2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685D-B03F-4747-B5CB-DFD969CE5BED}">
  <sheetPr>
    <tabColor rgb="FFE2E8F0"/>
  </sheetPr>
  <dimension ref="A1:E55"/>
  <sheetViews>
    <sheetView workbookViewId="0">
      <pane ySplit="2" topLeftCell="A3" activePane="bottomLeft" state="frozen"/>
      <selection pane="bottomLeft" activeCell="G6" sqref="G6"/>
    </sheetView>
  </sheetViews>
  <sheetFormatPr defaultRowHeight="14.5" x14ac:dyDescent="0.35"/>
  <cols>
    <col min="1" max="1" width="3.26953125" customWidth="1"/>
    <col min="2" max="2" width="72.7265625" customWidth="1"/>
    <col min="3" max="3" width="4.36328125" customWidth="1"/>
    <col min="4" max="4" width="58.1796875" customWidth="1"/>
    <col min="5" max="5" width="3.26953125" customWidth="1"/>
  </cols>
  <sheetData>
    <row r="1" spans="1:5" ht="26" x14ac:dyDescent="0.6">
      <c r="A1" s="267" t="s">
        <v>236</v>
      </c>
      <c r="B1" s="268"/>
      <c r="C1" s="268"/>
      <c r="D1" s="268"/>
      <c r="E1" s="268"/>
    </row>
    <row r="2" spans="1:5" x14ac:dyDescent="0.35">
      <c r="A2" s="269" t="s">
        <v>237</v>
      </c>
      <c r="B2" s="270"/>
      <c r="C2" s="270"/>
      <c r="D2" s="270"/>
      <c r="E2" s="270"/>
    </row>
    <row r="3" spans="1:5" ht="15" thickBot="1" x14ac:dyDescent="0.4">
      <c r="A3" s="235"/>
      <c r="B3" s="235"/>
      <c r="C3" s="235"/>
      <c r="D3" s="235"/>
      <c r="E3" s="235"/>
    </row>
    <row r="4" spans="1:5" ht="17" x14ac:dyDescent="0.35">
      <c r="A4" s="235"/>
      <c r="B4" s="246" t="s">
        <v>238</v>
      </c>
      <c r="C4" s="235"/>
      <c r="D4" s="238" t="s">
        <v>249</v>
      </c>
      <c r="E4" s="235"/>
    </row>
    <row r="5" spans="1:5" ht="52" x14ac:dyDescent="0.35">
      <c r="A5" s="235"/>
      <c r="B5" s="239" t="s">
        <v>239</v>
      </c>
      <c r="C5" s="235"/>
      <c r="D5" s="239" t="s">
        <v>250</v>
      </c>
      <c r="E5" s="235"/>
    </row>
    <row r="6" spans="1:5" x14ac:dyDescent="0.35">
      <c r="A6" s="235"/>
      <c r="B6" s="245" t="s">
        <v>240</v>
      </c>
      <c r="C6" s="235"/>
      <c r="D6" s="240" t="s">
        <v>251</v>
      </c>
      <c r="E6" s="235"/>
    </row>
    <row r="7" spans="1:5" ht="65" x14ac:dyDescent="0.35">
      <c r="A7" s="235"/>
      <c r="B7" s="239" t="s">
        <v>241</v>
      </c>
      <c r="C7" s="235"/>
      <c r="D7" s="239" t="s">
        <v>307</v>
      </c>
      <c r="E7" s="235"/>
    </row>
    <row r="8" spans="1:5" ht="26" x14ac:dyDescent="0.35">
      <c r="A8" s="235"/>
      <c r="B8" s="239" t="s">
        <v>242</v>
      </c>
      <c r="C8" s="235"/>
      <c r="D8" s="241"/>
      <c r="E8" s="235"/>
    </row>
    <row r="9" spans="1:5" ht="26" x14ac:dyDescent="0.35">
      <c r="A9" s="235"/>
      <c r="B9" s="239" t="s">
        <v>243</v>
      </c>
      <c r="C9" s="235"/>
      <c r="D9" s="240" t="s">
        <v>252</v>
      </c>
      <c r="E9" s="235"/>
    </row>
    <row r="10" spans="1:5" ht="65" x14ac:dyDescent="0.35">
      <c r="A10" s="235"/>
      <c r="B10" s="239" t="s">
        <v>244</v>
      </c>
      <c r="C10" s="235"/>
      <c r="D10" s="239" t="s">
        <v>253</v>
      </c>
      <c r="E10" s="235"/>
    </row>
    <row r="11" spans="1:5" x14ac:dyDescent="0.35">
      <c r="A11" s="235"/>
      <c r="B11" s="239" t="s">
        <v>245</v>
      </c>
      <c r="C11" s="235"/>
      <c r="D11" s="241"/>
      <c r="E11" s="235"/>
    </row>
    <row r="12" spans="1:5" x14ac:dyDescent="0.35">
      <c r="A12" s="235"/>
      <c r="B12" s="239" t="s">
        <v>246</v>
      </c>
      <c r="C12" s="235"/>
      <c r="D12" s="240" t="s">
        <v>254</v>
      </c>
      <c r="E12" s="235"/>
    </row>
    <row r="13" spans="1:5" ht="65" x14ac:dyDescent="0.35">
      <c r="A13" s="235"/>
      <c r="B13" s="239" t="s">
        <v>247</v>
      </c>
      <c r="C13" s="235"/>
      <c r="D13" s="239" t="s">
        <v>255</v>
      </c>
      <c r="E13" s="235"/>
    </row>
    <row r="14" spans="1:5" ht="26.5" thickBot="1" x14ac:dyDescent="0.4">
      <c r="A14" s="235"/>
      <c r="B14" s="242" t="s">
        <v>248</v>
      </c>
      <c r="C14" s="235"/>
      <c r="D14" s="242"/>
      <c r="E14" s="235"/>
    </row>
    <row r="15" spans="1:5" ht="17" x14ac:dyDescent="0.35">
      <c r="A15" s="235"/>
      <c r="B15" s="247" t="s">
        <v>256</v>
      </c>
      <c r="C15" s="235"/>
      <c r="D15" s="243" t="s">
        <v>276</v>
      </c>
      <c r="E15" s="235"/>
    </row>
    <row r="16" spans="1:5" ht="26" x14ac:dyDescent="0.35">
      <c r="A16" s="235"/>
      <c r="B16" s="244" t="s">
        <v>257</v>
      </c>
      <c r="C16" s="235"/>
      <c r="D16" s="244" t="s">
        <v>277</v>
      </c>
      <c r="E16" s="235"/>
    </row>
    <row r="17" spans="1:5" x14ac:dyDescent="0.35">
      <c r="A17" s="235"/>
      <c r="B17" s="248" t="s">
        <v>258</v>
      </c>
      <c r="C17" s="235"/>
      <c r="D17" s="245" t="s">
        <v>278</v>
      </c>
      <c r="E17" s="235"/>
    </row>
    <row r="18" spans="1:5" ht="38.5" customHeight="1" x14ac:dyDescent="0.35">
      <c r="A18" s="235"/>
      <c r="B18" s="239" t="s">
        <v>259</v>
      </c>
      <c r="C18" s="235"/>
      <c r="D18" s="239" t="s">
        <v>279</v>
      </c>
      <c r="E18" s="235"/>
    </row>
    <row r="19" spans="1:5" x14ac:dyDescent="0.35">
      <c r="A19" s="235"/>
      <c r="B19" s="249" t="s">
        <v>260</v>
      </c>
      <c r="C19" s="235"/>
      <c r="D19" s="245" t="s">
        <v>280</v>
      </c>
      <c r="E19" s="235"/>
    </row>
    <row r="20" spans="1:5" ht="39" x14ac:dyDescent="0.35">
      <c r="A20" s="235"/>
      <c r="B20" s="239" t="s">
        <v>261</v>
      </c>
      <c r="C20" s="235"/>
      <c r="D20" s="239" t="s">
        <v>281</v>
      </c>
      <c r="E20" s="235"/>
    </row>
    <row r="21" spans="1:5" x14ac:dyDescent="0.35">
      <c r="A21" s="235"/>
      <c r="B21" s="249" t="s">
        <v>262</v>
      </c>
      <c r="C21" s="235"/>
      <c r="D21" s="245" t="s">
        <v>282</v>
      </c>
      <c r="E21" s="235"/>
    </row>
    <row r="22" spans="1:5" ht="52" x14ac:dyDescent="0.35">
      <c r="A22" s="235"/>
      <c r="B22" s="239" t="s">
        <v>263</v>
      </c>
      <c r="C22" s="235"/>
      <c r="D22" s="239" t="s">
        <v>283</v>
      </c>
      <c r="E22" s="235"/>
    </row>
    <row r="23" spans="1:5" x14ac:dyDescent="0.35">
      <c r="A23" s="235"/>
      <c r="B23" s="250" t="s">
        <v>264</v>
      </c>
      <c r="C23" s="235"/>
      <c r="D23" s="245" t="s">
        <v>284</v>
      </c>
      <c r="E23" s="235"/>
    </row>
    <row r="24" spans="1:5" ht="39" x14ac:dyDescent="0.35">
      <c r="A24" s="235"/>
      <c r="B24" s="239" t="s">
        <v>265</v>
      </c>
      <c r="C24" s="235"/>
      <c r="D24" s="239" t="s">
        <v>285</v>
      </c>
      <c r="E24" s="235"/>
    </row>
    <row r="25" spans="1:5" x14ac:dyDescent="0.35">
      <c r="A25" s="235"/>
      <c r="B25" s="248" t="s">
        <v>266</v>
      </c>
      <c r="C25" s="235"/>
      <c r="D25" s="245" t="s">
        <v>286</v>
      </c>
      <c r="E25" s="235"/>
    </row>
    <row r="26" spans="1:5" ht="52.5" thickBot="1" x14ac:dyDescent="0.4">
      <c r="A26" s="235"/>
      <c r="B26" s="239" t="s">
        <v>267</v>
      </c>
      <c r="C26" s="235"/>
      <c r="D26" s="242" t="s">
        <v>287</v>
      </c>
      <c r="E26" s="235"/>
    </row>
    <row r="27" spans="1:5" ht="17" x14ac:dyDescent="0.35">
      <c r="A27" s="235"/>
      <c r="B27" s="251" t="s">
        <v>268</v>
      </c>
      <c r="C27" s="235"/>
      <c r="D27" s="258" t="s">
        <v>288</v>
      </c>
      <c r="E27" s="235"/>
    </row>
    <row r="28" spans="1:5" ht="52" x14ac:dyDescent="0.35">
      <c r="A28" s="235"/>
      <c r="B28" s="239" t="s">
        <v>269</v>
      </c>
      <c r="C28" s="235"/>
      <c r="D28" s="239" t="s">
        <v>289</v>
      </c>
      <c r="E28" s="235"/>
    </row>
    <row r="29" spans="1:5" x14ac:dyDescent="0.35">
      <c r="A29" s="235"/>
      <c r="B29" s="252" t="s">
        <v>270</v>
      </c>
      <c r="C29" s="235"/>
      <c r="D29" s="239" t="s">
        <v>306</v>
      </c>
      <c r="E29" s="235"/>
    </row>
    <row r="30" spans="1:5" ht="39" x14ac:dyDescent="0.35">
      <c r="A30" s="235"/>
      <c r="B30" s="239" t="s">
        <v>271</v>
      </c>
      <c r="C30" s="235"/>
      <c r="D30" s="239" t="s">
        <v>290</v>
      </c>
      <c r="E30" s="235"/>
    </row>
    <row r="31" spans="1:5" x14ac:dyDescent="0.35">
      <c r="A31" s="235"/>
      <c r="B31" s="253" t="s">
        <v>272</v>
      </c>
      <c r="C31" s="235"/>
      <c r="D31" s="239" t="s">
        <v>291</v>
      </c>
      <c r="E31" s="235"/>
    </row>
    <row r="32" spans="1:5" ht="39" x14ac:dyDescent="0.35">
      <c r="A32" s="235"/>
      <c r="B32" s="239" t="s">
        <v>273</v>
      </c>
      <c r="C32" s="235"/>
      <c r="D32" s="239" t="s">
        <v>292</v>
      </c>
      <c r="E32" s="235"/>
    </row>
    <row r="33" spans="1:5" ht="39" x14ac:dyDescent="0.35">
      <c r="A33" s="235"/>
      <c r="B33" s="254" t="s">
        <v>274</v>
      </c>
      <c r="C33" s="235"/>
      <c r="D33" s="239" t="s">
        <v>308</v>
      </c>
      <c r="E33" s="235"/>
    </row>
    <row r="34" spans="1:5" ht="52.5" thickBot="1" x14ac:dyDescent="0.4">
      <c r="A34" s="235"/>
      <c r="B34" s="242" t="s">
        <v>275</v>
      </c>
      <c r="C34" s="235"/>
      <c r="D34" s="242" t="s">
        <v>293</v>
      </c>
      <c r="E34" s="235"/>
    </row>
    <row r="35" spans="1:5" ht="17" x14ac:dyDescent="0.35">
      <c r="A35" s="235"/>
      <c r="B35" s="255" t="s">
        <v>294</v>
      </c>
      <c r="C35" s="235"/>
      <c r="D35" s="235"/>
      <c r="E35" s="235"/>
    </row>
    <row r="36" spans="1:5" x14ac:dyDescent="0.35">
      <c r="A36" s="235"/>
      <c r="B36" s="256" t="s">
        <v>295</v>
      </c>
      <c r="C36" s="235"/>
      <c r="D36" s="235"/>
      <c r="E36" s="235"/>
    </row>
    <row r="37" spans="1:5" ht="39" x14ac:dyDescent="0.35">
      <c r="A37" s="235"/>
      <c r="B37" s="239" t="s">
        <v>309</v>
      </c>
      <c r="C37" s="235"/>
      <c r="D37" s="235"/>
      <c r="E37" s="235"/>
    </row>
    <row r="38" spans="1:5" x14ac:dyDescent="0.35">
      <c r="A38" s="235"/>
      <c r="B38" s="257"/>
      <c r="C38" s="235"/>
      <c r="D38" s="235"/>
      <c r="E38" s="235"/>
    </row>
    <row r="39" spans="1:5" x14ac:dyDescent="0.35">
      <c r="A39" s="235"/>
      <c r="B39" s="256" t="s">
        <v>296</v>
      </c>
      <c r="C39" s="235"/>
      <c r="D39" s="235"/>
      <c r="E39" s="235"/>
    </row>
    <row r="40" spans="1:5" ht="39" x14ac:dyDescent="0.35">
      <c r="A40" s="235"/>
      <c r="B40" s="239" t="s">
        <v>297</v>
      </c>
      <c r="C40" s="235"/>
      <c r="D40" s="235"/>
      <c r="E40" s="235"/>
    </row>
    <row r="41" spans="1:5" x14ac:dyDescent="0.35">
      <c r="A41" s="235"/>
      <c r="B41" s="257"/>
      <c r="C41" s="235"/>
      <c r="D41" s="235"/>
      <c r="E41" s="235"/>
    </row>
    <row r="42" spans="1:5" x14ac:dyDescent="0.35">
      <c r="A42" s="235"/>
      <c r="B42" s="256" t="s">
        <v>298</v>
      </c>
      <c r="C42" s="235"/>
      <c r="D42" s="235"/>
      <c r="E42" s="235"/>
    </row>
    <row r="43" spans="1:5" ht="39" x14ac:dyDescent="0.35">
      <c r="A43" s="235"/>
      <c r="B43" s="239" t="s">
        <v>299</v>
      </c>
      <c r="C43" s="235"/>
      <c r="D43" s="235"/>
      <c r="E43" s="235"/>
    </row>
    <row r="44" spans="1:5" x14ac:dyDescent="0.35">
      <c r="A44" s="235"/>
      <c r="B44" s="257"/>
      <c r="C44" s="235"/>
      <c r="D44" s="235"/>
      <c r="E44" s="235"/>
    </row>
    <row r="45" spans="1:5" x14ac:dyDescent="0.35">
      <c r="A45" s="235"/>
      <c r="B45" s="256" t="s">
        <v>300</v>
      </c>
      <c r="C45" s="235"/>
      <c r="D45" s="235"/>
      <c r="E45" s="235"/>
    </row>
    <row r="46" spans="1:5" ht="39" x14ac:dyDescent="0.35">
      <c r="A46" s="235"/>
      <c r="B46" s="239" t="s">
        <v>301</v>
      </c>
      <c r="C46" s="235"/>
      <c r="D46" s="235"/>
      <c r="E46" s="235"/>
    </row>
    <row r="47" spans="1:5" x14ac:dyDescent="0.35">
      <c r="A47" s="235"/>
      <c r="B47" s="257"/>
      <c r="C47" s="235"/>
      <c r="D47" s="235"/>
      <c r="E47" s="235"/>
    </row>
    <row r="48" spans="1:5" x14ac:dyDescent="0.35">
      <c r="A48" s="235"/>
      <c r="B48" s="256" t="s">
        <v>302</v>
      </c>
      <c r="C48" s="235"/>
      <c r="D48" s="235"/>
      <c r="E48" s="235"/>
    </row>
    <row r="49" spans="1:5" ht="39" x14ac:dyDescent="0.35">
      <c r="A49" s="235"/>
      <c r="B49" s="239" t="s">
        <v>303</v>
      </c>
      <c r="C49" s="235"/>
      <c r="D49" s="235"/>
      <c r="E49" s="235"/>
    </row>
    <row r="50" spans="1:5" x14ac:dyDescent="0.35">
      <c r="A50" s="235"/>
      <c r="B50" s="257"/>
      <c r="C50" s="235"/>
      <c r="D50" s="235"/>
      <c r="E50" s="235"/>
    </row>
    <row r="51" spans="1:5" x14ac:dyDescent="0.35">
      <c r="A51" s="235"/>
      <c r="B51" s="256" t="s">
        <v>304</v>
      </c>
      <c r="C51" s="235"/>
      <c r="D51" s="235"/>
      <c r="E51" s="235"/>
    </row>
    <row r="52" spans="1:5" ht="52.5" thickBot="1" x14ac:dyDescent="0.4">
      <c r="A52" s="235"/>
      <c r="B52" s="242" t="s">
        <v>305</v>
      </c>
      <c r="C52" s="235"/>
      <c r="D52" s="235"/>
      <c r="E52" s="235"/>
    </row>
    <row r="53" spans="1:5" x14ac:dyDescent="0.35">
      <c r="A53" s="235"/>
      <c r="B53" s="236"/>
      <c r="C53" s="235"/>
      <c r="D53" s="235"/>
      <c r="E53" s="235"/>
    </row>
    <row r="54" spans="1:5" x14ac:dyDescent="0.35">
      <c r="A54" s="235"/>
      <c r="B54" s="236"/>
      <c r="C54" s="235"/>
      <c r="D54" s="235"/>
      <c r="E54" s="235"/>
    </row>
    <row r="55" spans="1:5" x14ac:dyDescent="0.35">
      <c r="A55" s="235"/>
      <c r="B55" s="237"/>
      <c r="C55" s="235"/>
      <c r="D55" s="235"/>
      <c r="E55" s="235"/>
    </row>
  </sheetData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3CC3-E6AB-4EE4-BC98-12FBA73BF1A1}">
  <sheetPr>
    <tabColor rgb="FF1B2A4A"/>
  </sheetPr>
  <dimension ref="A1:R138"/>
  <sheetViews>
    <sheetView showGridLines="0" tabSelected="1" topLeftCell="B1" zoomScaleNormal="100" workbookViewId="0">
      <pane ySplit="1" topLeftCell="A9" activePane="bottomLeft" state="frozen"/>
      <selection pane="bottomLeft" activeCell="H8" sqref="H8"/>
    </sheetView>
  </sheetViews>
  <sheetFormatPr defaultRowHeight="14.5" x14ac:dyDescent="0.35"/>
  <cols>
    <col min="1" max="1" width="2.7265625" customWidth="1"/>
    <col min="2" max="2" width="61.81640625" customWidth="1"/>
    <col min="3" max="3" width="25.453125" customWidth="1"/>
    <col min="4" max="4" width="17.26953125" customWidth="1"/>
    <col min="5" max="5" width="21.81640625" customWidth="1"/>
    <col min="6" max="6" width="45.453125" customWidth="1"/>
    <col min="8" max="8" width="18.54296875" bestFit="1" customWidth="1"/>
    <col min="14" max="14" width="9.36328125" customWidth="1"/>
  </cols>
  <sheetData>
    <row r="1" spans="1:18" ht="21.5" thickBot="1" x14ac:dyDescent="0.55000000000000004">
      <c r="A1" s="261"/>
      <c r="B1" s="262"/>
      <c r="C1" s="263"/>
      <c r="D1" s="261"/>
      <c r="E1" s="261"/>
      <c r="F1" s="261"/>
    </row>
    <row r="2" spans="1:18" ht="28" customHeight="1" thickBot="1" x14ac:dyDescent="0.45">
      <c r="A2" s="42"/>
      <c r="B2" s="264" t="s">
        <v>176</v>
      </c>
      <c r="C2" s="265"/>
      <c r="D2" s="42"/>
      <c r="E2" s="179" t="s">
        <v>213</v>
      </c>
      <c r="F2" s="180"/>
    </row>
    <row r="3" spans="1:18" ht="22" customHeight="1" x14ac:dyDescent="0.45">
      <c r="A3" s="42"/>
      <c r="B3" s="50" t="s">
        <v>188</v>
      </c>
      <c r="C3" s="152">
        <v>145000</v>
      </c>
      <c r="D3" s="99" t="str">
        <f>IF(C3&gt;=250000,"⚠ Div293","")</f>
        <v/>
      </c>
      <c r="E3" s="132" t="s">
        <v>119</v>
      </c>
      <c r="F3" s="133" t="s">
        <v>121</v>
      </c>
    </row>
    <row r="4" spans="1:18" ht="22" customHeight="1" thickBot="1" x14ac:dyDescent="0.4">
      <c r="A4" s="42"/>
      <c r="B4" s="50" t="s">
        <v>187</v>
      </c>
      <c r="C4" s="47" t="s">
        <v>2</v>
      </c>
      <c r="D4" s="42"/>
      <c r="E4" s="134" t="s">
        <v>120</v>
      </c>
      <c r="F4" s="135" t="s">
        <v>220</v>
      </c>
    </row>
    <row r="5" spans="1:18" ht="22" customHeight="1" thickBot="1" x14ac:dyDescent="0.4">
      <c r="A5" s="42"/>
      <c r="B5" s="50" t="s">
        <v>189</v>
      </c>
      <c r="C5" s="152">
        <v>7000</v>
      </c>
      <c r="D5" s="42"/>
      <c r="E5" s="136" t="s">
        <v>174</v>
      </c>
      <c r="F5" s="137" t="s">
        <v>175</v>
      </c>
    </row>
    <row r="6" spans="1:18" ht="22" customHeight="1" x14ac:dyDescent="0.45">
      <c r="A6" s="42"/>
      <c r="B6" s="50" t="s">
        <v>190</v>
      </c>
      <c r="C6" s="152">
        <v>230000</v>
      </c>
      <c r="D6" s="153" t="str">
        <f>IF(C6&gt;=250000,"⚠ Div293","")</f>
        <v/>
      </c>
      <c r="E6" s="42"/>
      <c r="F6" s="42"/>
    </row>
    <row r="7" spans="1:18" ht="22" customHeight="1" x14ac:dyDescent="0.35">
      <c r="A7" s="42"/>
      <c r="B7" s="50" t="s">
        <v>191</v>
      </c>
      <c r="C7" s="47" t="s">
        <v>2</v>
      </c>
      <c r="D7" s="42"/>
      <c r="E7" s="98"/>
      <c r="F7" s="42"/>
    </row>
    <row r="8" spans="1:18" ht="22" customHeight="1" x14ac:dyDescent="0.35">
      <c r="A8" s="42"/>
      <c r="B8" s="50" t="s">
        <v>192</v>
      </c>
      <c r="C8" s="73">
        <v>5000</v>
      </c>
      <c r="D8" s="42"/>
      <c r="E8" s="98"/>
      <c r="F8" s="42"/>
    </row>
    <row r="9" spans="1:18" ht="22" customHeight="1" x14ac:dyDescent="0.35">
      <c r="A9" s="42"/>
      <c r="B9" s="50" t="s">
        <v>214</v>
      </c>
      <c r="C9" s="73">
        <f>'Tax Helper'!C33</f>
        <v>37620</v>
      </c>
      <c r="D9" s="42"/>
      <c r="E9" s="98"/>
      <c r="F9" s="42"/>
    </row>
    <row r="10" spans="1:18" ht="22" customHeight="1" thickBot="1" x14ac:dyDescent="0.4">
      <c r="A10" s="42"/>
      <c r="B10" s="50" t="s">
        <v>215</v>
      </c>
      <c r="C10" s="73">
        <f>'Tax Helper'!D33</f>
        <v>73970</v>
      </c>
      <c r="D10" s="42"/>
      <c r="E10" s="98"/>
      <c r="F10" s="42"/>
    </row>
    <row r="11" spans="1:18" ht="22" customHeight="1" x14ac:dyDescent="0.4">
      <c r="A11" s="42"/>
      <c r="B11" s="50" t="s">
        <v>193</v>
      </c>
      <c r="C11" s="57">
        <v>53</v>
      </c>
      <c r="D11" s="42"/>
      <c r="E11" s="171" t="s">
        <v>199</v>
      </c>
      <c r="F11" s="172"/>
    </row>
    <row r="12" spans="1:18" ht="22" customHeight="1" x14ac:dyDescent="0.35">
      <c r="A12" s="42"/>
      <c r="B12" s="50" t="s">
        <v>194</v>
      </c>
      <c r="C12" s="57">
        <v>50</v>
      </c>
      <c r="D12" s="42"/>
      <c r="E12" s="173" t="s">
        <v>200</v>
      </c>
      <c r="F12" s="174"/>
      <c r="R12" t="s">
        <v>16</v>
      </c>
    </row>
    <row r="13" spans="1:18" ht="22" customHeight="1" x14ac:dyDescent="0.35">
      <c r="A13" s="42"/>
      <c r="B13" s="50" t="s">
        <v>181</v>
      </c>
      <c r="C13" s="58">
        <v>2.5000000000000001E-2</v>
      </c>
      <c r="D13" s="42"/>
      <c r="E13" s="91" t="s">
        <v>201</v>
      </c>
      <c r="F13" s="181">
        <f>IncA+IncB</f>
        <v>375000</v>
      </c>
    </row>
    <row r="14" spans="1:18" ht="22" customHeight="1" x14ac:dyDescent="0.35">
      <c r="A14" s="42"/>
      <c r="B14" s="50" t="s">
        <v>218</v>
      </c>
      <c r="C14" s="138">
        <f>RetirementAgeA-CurrentAgeA</f>
        <v>12</v>
      </c>
      <c r="D14" s="42"/>
      <c r="E14" s="93" t="s">
        <v>202</v>
      </c>
      <c r="F14" s="182">
        <f>'Tax Helper'!E35</f>
        <v>0.29757333333333336</v>
      </c>
    </row>
    <row r="15" spans="1:18" ht="22" customHeight="1" x14ac:dyDescent="0.35">
      <c r="A15" s="42"/>
      <c r="B15" s="50" t="s">
        <v>219</v>
      </c>
      <c r="C15" s="138">
        <f>RetirementAgeB-CurrentAgeB</f>
        <v>15</v>
      </c>
      <c r="D15" s="42"/>
      <c r="E15" s="160" t="s">
        <v>233</v>
      </c>
      <c r="F15" s="183">
        <f>'Tax Helper'!E53</f>
        <v>1979489.9976134542</v>
      </c>
    </row>
    <row r="16" spans="1:18" ht="22" customHeight="1" x14ac:dyDescent="0.35">
      <c r="A16" s="42"/>
      <c r="B16" s="50" t="s">
        <v>117</v>
      </c>
      <c r="C16" s="78">
        <v>46388</v>
      </c>
      <c r="D16" s="42"/>
      <c r="E16" s="91" t="s">
        <v>203</v>
      </c>
      <c r="F16" s="181">
        <f>'Tax Helper'!E46</f>
        <v>77750</v>
      </c>
    </row>
    <row r="17" spans="1:6" ht="22" customHeight="1" x14ac:dyDescent="0.35">
      <c r="A17" s="42"/>
      <c r="B17" s="50" t="s">
        <v>217</v>
      </c>
      <c r="C17" s="139">
        <v>65</v>
      </c>
      <c r="D17" s="42"/>
      <c r="E17" s="93" t="s">
        <v>204</v>
      </c>
      <c r="F17" s="183">
        <f>'Tax Helper'!E47</f>
        <v>254263.08188044518</v>
      </c>
    </row>
    <row r="18" spans="1:6" ht="15" thickBot="1" x14ac:dyDescent="0.4">
      <c r="A18" s="42"/>
      <c r="B18" s="50" t="s">
        <v>234</v>
      </c>
      <c r="C18" s="75">
        <f>'Tax Helper'!E53</f>
        <v>1979489.9976134542</v>
      </c>
      <c r="D18" s="97" t="str">
        <f>IF(C17&gt;67,"⚠ Past preservation","")</f>
        <v/>
      </c>
      <c r="E18" s="94"/>
      <c r="F18" s="95"/>
    </row>
    <row r="19" spans="1:6" ht="16" x14ac:dyDescent="0.4">
      <c r="A19" s="42"/>
      <c r="B19" s="259" t="s">
        <v>177</v>
      </c>
      <c r="C19" s="266"/>
      <c r="D19" s="42"/>
      <c r="E19" s="178" t="s">
        <v>205</v>
      </c>
      <c r="F19" s="177">
        <f>StdPayment</f>
        <v>27061.314585087039</v>
      </c>
    </row>
    <row r="20" spans="1:6" ht="28" customHeight="1" thickBot="1" x14ac:dyDescent="0.4">
      <c r="A20" s="42"/>
      <c r="B20" s="167" t="s">
        <v>42</v>
      </c>
      <c r="C20" s="168">
        <v>0.02</v>
      </c>
      <c r="D20" s="42"/>
      <c r="E20" s="93" t="s">
        <v>206</v>
      </c>
      <c r="F20" s="183">
        <f>IF(C42=0,0,C42*52/PPY_Loan)</f>
        <v>650</v>
      </c>
    </row>
    <row r="21" spans="1:6" ht="22" customHeight="1" thickBot="1" x14ac:dyDescent="0.4">
      <c r="A21" s="42"/>
      <c r="B21" s="52"/>
      <c r="C21" s="60"/>
      <c r="D21" s="42"/>
      <c r="E21" s="91" t="s">
        <v>207</v>
      </c>
      <c r="F21" s="184" t="str">
        <f>IF(ISNUMBER(Loan!AR8), ROUND(Loan!AR8,1)&amp;" yrs", "&gt;"&amp;ProjYears&amp;" yrs")</f>
        <v>12.1 yrs</v>
      </c>
    </row>
    <row r="22" spans="1:6" ht="16" x14ac:dyDescent="0.4">
      <c r="A22" s="42"/>
      <c r="B22" s="259" t="s">
        <v>178</v>
      </c>
      <c r="C22" s="266"/>
      <c r="D22" s="42"/>
      <c r="E22" s="92" t="s">
        <v>208</v>
      </c>
      <c r="F22" s="185" t="str">
        <f>IF(ISNUMBER(Loan!AV8), ROUND(Loan!AV8,1)&amp;" yrs", "&gt;"&amp;ProjYears&amp;" yrs")</f>
        <v>11.8 yrs</v>
      </c>
    </row>
    <row r="23" spans="1:6" ht="28" customHeight="1" x14ac:dyDescent="0.35">
      <c r="A23" s="42"/>
      <c r="B23" s="49" t="s">
        <v>6</v>
      </c>
      <c r="C23" s="75">
        <v>32500</v>
      </c>
      <c r="D23" s="42"/>
      <c r="E23" s="131" t="s">
        <v>209</v>
      </c>
      <c r="F23" s="186">
        <f>'Tax Helper'!E49</f>
        <v>30271.924680702195</v>
      </c>
    </row>
    <row r="24" spans="1:6" x14ac:dyDescent="0.35">
      <c r="A24" s="42"/>
      <c r="B24" s="50" t="s">
        <v>7</v>
      </c>
      <c r="C24" s="58">
        <v>0.12</v>
      </c>
      <c r="D24" s="42"/>
      <c r="E24" s="94"/>
      <c r="F24" s="95"/>
    </row>
    <row r="25" spans="1:6" ht="22" customHeight="1" x14ac:dyDescent="0.35">
      <c r="A25" s="42"/>
      <c r="B25" s="51" t="s">
        <v>195</v>
      </c>
      <c r="C25" s="72">
        <v>70000</v>
      </c>
      <c r="D25" s="42"/>
      <c r="E25" s="175" t="s">
        <v>210</v>
      </c>
      <c r="F25" s="176"/>
    </row>
    <row r="26" spans="1:6" ht="22" customHeight="1" x14ac:dyDescent="0.35">
      <c r="A26" s="42"/>
      <c r="B26" s="50" t="s">
        <v>196</v>
      </c>
      <c r="C26" s="73">
        <v>120000</v>
      </c>
      <c r="D26" s="42"/>
      <c r="E26" s="92" t="s">
        <v>211</v>
      </c>
      <c r="F26" s="187">
        <f>YearlySummary!E2</f>
        <v>210000</v>
      </c>
    </row>
    <row r="27" spans="1:6" ht="22" customHeight="1" thickBot="1" x14ac:dyDescent="0.4">
      <c r="A27" s="42"/>
      <c r="B27" s="51" t="s">
        <v>197</v>
      </c>
      <c r="C27" s="72">
        <v>180000</v>
      </c>
      <c r="D27" s="42"/>
      <c r="E27" s="90" t="s">
        <v>212</v>
      </c>
      <c r="F27" s="188">
        <f>'Tax Helper'!E50</f>
        <v>560308.12719136383</v>
      </c>
    </row>
    <row r="28" spans="1:6" ht="22" customHeight="1" x14ac:dyDescent="0.35">
      <c r="A28" s="42"/>
      <c r="B28" s="50" t="s">
        <v>198</v>
      </c>
      <c r="C28" s="73">
        <v>200000</v>
      </c>
      <c r="D28" s="96" t="str">
        <f>IF(C27&gt;=500000,"⚠ No carry-fwd","")</f>
        <v/>
      </c>
      <c r="E28" s="42"/>
      <c r="F28" s="42"/>
    </row>
    <row r="29" spans="1:6" ht="22" customHeight="1" x14ac:dyDescent="0.35">
      <c r="A29" s="42"/>
      <c r="B29" s="51" t="s">
        <v>8</v>
      </c>
      <c r="C29" s="76">
        <v>250000</v>
      </c>
      <c r="D29" s="96" t="str">
        <f>IF(C28&gt;=500000,"⚠ No carry-fwd","")</f>
        <v/>
      </c>
      <c r="E29" s="42"/>
      <c r="F29" s="42"/>
    </row>
    <row r="30" spans="1:6" ht="22" customHeight="1" x14ac:dyDescent="0.35">
      <c r="A30" s="42"/>
      <c r="B30" s="50" t="s">
        <v>9</v>
      </c>
      <c r="C30" s="73">
        <v>0</v>
      </c>
      <c r="D30" s="42"/>
      <c r="E30" s="42"/>
      <c r="F30" s="42"/>
    </row>
    <row r="31" spans="1:6" ht="22" customHeight="1" x14ac:dyDescent="0.35">
      <c r="A31" s="42"/>
      <c r="B31" s="51" t="s">
        <v>115</v>
      </c>
      <c r="C31" s="58">
        <v>7.0000000000000007E-2</v>
      </c>
      <c r="D31" s="42"/>
      <c r="E31" s="42"/>
      <c r="F31" s="42"/>
    </row>
    <row r="32" spans="1:6" ht="22" customHeight="1" x14ac:dyDescent="0.35">
      <c r="A32" s="42"/>
      <c r="B32" s="50" t="s">
        <v>116</v>
      </c>
      <c r="C32" s="76">
        <v>2500</v>
      </c>
      <c r="D32" s="42"/>
      <c r="E32" s="42"/>
      <c r="F32" s="42"/>
    </row>
    <row r="33" spans="1:6" ht="22" customHeight="1" x14ac:dyDescent="0.35">
      <c r="A33" s="42"/>
      <c r="B33" s="53" t="s">
        <v>43</v>
      </c>
      <c r="C33" s="59">
        <v>2</v>
      </c>
      <c r="D33" s="42"/>
      <c r="E33" s="42"/>
      <c r="F33" s="42"/>
    </row>
    <row r="34" spans="1:6" ht="22" customHeight="1" thickBot="1" x14ac:dyDescent="0.4">
      <c r="A34" s="42"/>
      <c r="B34" s="54" t="s">
        <v>118</v>
      </c>
      <c r="C34" s="61">
        <v>0.15</v>
      </c>
      <c r="D34" s="42"/>
      <c r="E34" s="42"/>
      <c r="F34" s="42"/>
    </row>
    <row r="35" spans="1:6" ht="22" customHeight="1" thickBot="1" x14ac:dyDescent="0.4">
      <c r="A35" s="42"/>
      <c r="B35" s="52"/>
      <c r="C35" s="60"/>
      <c r="D35" s="42"/>
      <c r="E35" s="42"/>
      <c r="F35" s="42"/>
    </row>
    <row r="36" spans="1:6" ht="10" customHeight="1" x14ac:dyDescent="0.4">
      <c r="A36" s="42"/>
      <c r="B36" s="259" t="s">
        <v>179</v>
      </c>
      <c r="C36" s="266"/>
      <c r="D36" s="42"/>
      <c r="E36" s="42"/>
      <c r="F36" s="42"/>
    </row>
    <row r="37" spans="1:6" ht="28" customHeight="1" x14ac:dyDescent="0.35">
      <c r="A37" s="42"/>
      <c r="B37" s="49" t="s">
        <v>10</v>
      </c>
      <c r="C37" s="71">
        <v>2500000</v>
      </c>
      <c r="D37" s="42"/>
      <c r="E37" s="42"/>
      <c r="F37" s="42"/>
    </row>
    <row r="38" spans="1:6" ht="22" customHeight="1" x14ac:dyDescent="0.35">
      <c r="A38" s="42"/>
      <c r="B38" s="50" t="s">
        <v>11</v>
      </c>
      <c r="C38" s="77">
        <v>0.08</v>
      </c>
      <c r="D38" s="42"/>
      <c r="E38" s="42"/>
      <c r="F38" s="42"/>
    </row>
    <row r="39" spans="1:6" ht="22" customHeight="1" x14ac:dyDescent="0.35">
      <c r="A39" s="42"/>
      <c r="B39" s="51" t="s">
        <v>12</v>
      </c>
      <c r="C39" s="56">
        <v>12</v>
      </c>
      <c r="D39" s="42"/>
      <c r="E39" s="42"/>
      <c r="F39" s="42"/>
    </row>
    <row r="40" spans="1:6" ht="22" customHeight="1" x14ac:dyDescent="0.35">
      <c r="A40" s="42"/>
      <c r="B40" s="50" t="s">
        <v>13</v>
      </c>
      <c r="C40" s="79">
        <f>StartYear</f>
        <v>46388</v>
      </c>
      <c r="D40" s="42"/>
      <c r="E40" s="42"/>
      <c r="F40" s="42"/>
    </row>
    <row r="41" spans="1:6" ht="22" customHeight="1" x14ac:dyDescent="0.35">
      <c r="A41" s="42"/>
      <c r="B41" s="51" t="s">
        <v>79</v>
      </c>
      <c r="C41" s="72">
        <v>8000</v>
      </c>
      <c r="D41" s="42"/>
      <c r="E41" s="42"/>
      <c r="F41" s="42"/>
    </row>
    <row r="42" spans="1:6" ht="22" customHeight="1" x14ac:dyDescent="0.35">
      <c r="A42" s="42"/>
      <c r="B42" s="50" t="s">
        <v>182</v>
      </c>
      <c r="C42" s="73">
        <v>150</v>
      </c>
      <c r="D42" s="42"/>
      <c r="E42" s="42"/>
      <c r="F42" s="42"/>
    </row>
    <row r="43" spans="1:6" ht="22" customHeight="1" x14ac:dyDescent="0.35">
      <c r="A43" s="42"/>
      <c r="B43" s="53" t="s">
        <v>183</v>
      </c>
      <c r="C43" s="74">
        <v>0</v>
      </c>
      <c r="D43" s="42"/>
      <c r="E43" s="42"/>
      <c r="F43" s="42"/>
    </row>
    <row r="44" spans="1:6" ht="22" customHeight="1" thickBot="1" x14ac:dyDescent="0.4">
      <c r="A44" s="42"/>
      <c r="B44" s="143" t="s">
        <v>184</v>
      </c>
      <c r="C44" s="145">
        <f>IF(C42=0, 0, C42*52/PPY_Loan)</f>
        <v>650</v>
      </c>
      <c r="D44" s="42"/>
      <c r="E44" s="42"/>
      <c r="F44" s="42"/>
    </row>
    <row r="45" spans="1:6" ht="22" customHeight="1" x14ac:dyDescent="0.35">
      <c r="A45" s="42"/>
      <c r="B45" s="142" t="s">
        <v>225</v>
      </c>
      <c r="C45" s="144"/>
      <c r="D45" s="42"/>
      <c r="E45" s="42"/>
      <c r="F45" s="42"/>
    </row>
    <row r="46" spans="1:6" ht="22" customHeight="1" x14ac:dyDescent="0.35">
      <c r="A46" s="150"/>
      <c r="B46" s="146" t="s">
        <v>226</v>
      </c>
      <c r="C46" s="147">
        <f>IFERROR((StdPayment/2)*PPY_Loan/_xlfn.XLOOKUP(C4,FreqLookup[Frequency],FreqLookup[PeriodsPerYear]),0)</f>
        <v>13530.657292543519</v>
      </c>
      <c r="D46" s="151"/>
      <c r="E46" s="42"/>
      <c r="F46" s="42"/>
    </row>
    <row r="47" spans="1:6" ht="22" customHeight="1" thickBot="1" x14ac:dyDescent="0.4">
      <c r="A47" s="150"/>
      <c r="B47" s="148" t="s">
        <v>227</v>
      </c>
      <c r="C47" s="149">
        <f>IFERROR((StdPayment/2)*PPY_Loan/_xlfn.XLOOKUP(C7,FreqLookup[Frequency],FreqLookup[PeriodsPerYear]),0)</f>
        <v>13530.657292543519</v>
      </c>
      <c r="D47" s="151"/>
      <c r="E47" s="42"/>
      <c r="F47" s="42"/>
    </row>
    <row r="48" spans="1:6" ht="22" customHeight="1" thickBot="1" x14ac:dyDescent="0.4">
      <c r="A48" s="150"/>
      <c r="B48" s="52"/>
      <c r="C48" s="62"/>
      <c r="D48" s="151"/>
      <c r="E48" s="42"/>
      <c r="F48" s="42"/>
    </row>
    <row r="49" spans="1:6" ht="10" customHeight="1" x14ac:dyDescent="0.4">
      <c r="A49" s="42"/>
      <c r="B49" s="259" t="s">
        <v>180</v>
      </c>
      <c r="C49" s="260"/>
      <c r="D49" s="42"/>
      <c r="E49" s="42"/>
      <c r="F49" s="42"/>
    </row>
    <row r="50" spans="1:6" ht="28" customHeight="1" x14ac:dyDescent="0.35">
      <c r="A50" s="42"/>
      <c r="B50" s="169" t="s">
        <v>185</v>
      </c>
      <c r="C50" s="170" t="s">
        <v>83</v>
      </c>
      <c r="D50" s="42"/>
      <c r="E50" s="42"/>
      <c r="F50" s="42"/>
    </row>
    <row r="51" spans="1:6" ht="22" customHeight="1" thickBot="1" x14ac:dyDescent="0.4">
      <c r="A51" s="42"/>
      <c r="B51" s="55" t="s">
        <v>186</v>
      </c>
      <c r="C51" s="45" t="s">
        <v>83</v>
      </c>
      <c r="D51" s="42"/>
      <c r="E51" s="42"/>
      <c r="F51" s="42"/>
    </row>
    <row r="52" spans="1:6" ht="22" customHeight="1" x14ac:dyDescent="0.35">
      <c r="A52" s="42"/>
      <c r="B52" s="42"/>
      <c r="C52" s="42"/>
      <c r="D52" s="42"/>
      <c r="E52" s="42"/>
      <c r="F52" s="42"/>
    </row>
    <row r="53" spans="1:6" ht="10" customHeight="1" x14ac:dyDescent="0.35">
      <c r="A53" s="42"/>
      <c r="B53" s="42"/>
      <c r="C53" s="43"/>
      <c r="D53" s="42"/>
      <c r="E53" s="42"/>
      <c r="F53" s="42"/>
    </row>
    <row r="54" spans="1:6" x14ac:dyDescent="0.35">
      <c r="A54" s="42"/>
      <c r="B54" s="42"/>
      <c r="C54" s="42"/>
      <c r="D54" s="42"/>
      <c r="E54" s="42"/>
      <c r="F54" s="42"/>
    </row>
    <row r="55" spans="1:6" ht="13" customHeight="1" thickBot="1" x14ac:dyDescent="0.4">
      <c r="A55" s="42"/>
      <c r="B55" s="42"/>
      <c r="C55" s="42"/>
      <c r="D55" s="42"/>
      <c r="E55" s="42"/>
      <c r="F55" s="42"/>
    </row>
    <row r="56" spans="1:6" ht="14" customHeight="1" x14ac:dyDescent="0.35">
      <c r="A56" s="42"/>
      <c r="B56" s="63" t="s">
        <v>14</v>
      </c>
      <c r="C56" s="64"/>
      <c r="D56" s="42"/>
      <c r="E56" s="42"/>
      <c r="F56" s="42"/>
    </row>
    <row r="57" spans="1:6" x14ac:dyDescent="0.35">
      <c r="A57" s="42"/>
      <c r="B57" s="65" t="s">
        <v>15</v>
      </c>
      <c r="C57" s="66" t="s">
        <v>35</v>
      </c>
      <c r="D57" s="42"/>
      <c r="E57" s="42"/>
      <c r="F57" s="42"/>
    </row>
    <row r="58" spans="1:6" x14ac:dyDescent="0.35">
      <c r="A58" s="42"/>
      <c r="B58" s="48" t="s">
        <v>1</v>
      </c>
      <c r="C58" s="68">
        <v>52</v>
      </c>
      <c r="D58" s="42"/>
      <c r="E58" s="42"/>
      <c r="F58" s="42"/>
    </row>
    <row r="59" spans="1:6" x14ac:dyDescent="0.35">
      <c r="A59" s="42"/>
      <c r="B59" s="46" t="s">
        <v>2</v>
      </c>
      <c r="C59" s="69">
        <v>12</v>
      </c>
      <c r="D59" s="42"/>
      <c r="E59" s="42"/>
      <c r="F59" s="70" t="s">
        <v>83</v>
      </c>
    </row>
    <row r="60" spans="1:6" ht="15" thickBot="1" x14ac:dyDescent="0.4">
      <c r="A60" s="42"/>
      <c r="B60" s="44" t="s">
        <v>3</v>
      </c>
      <c r="C60" s="67">
        <v>26</v>
      </c>
      <c r="D60" s="42"/>
      <c r="E60" s="42"/>
      <c r="F60" s="70" t="s">
        <v>84</v>
      </c>
    </row>
    <row r="61" spans="1:6" x14ac:dyDescent="0.35">
      <c r="A61" s="42"/>
      <c r="B61" s="42"/>
      <c r="C61" s="42"/>
      <c r="D61" s="42"/>
      <c r="E61" s="42"/>
      <c r="F61" s="42"/>
    </row>
    <row r="62" spans="1:6" x14ac:dyDescent="0.35">
      <c r="A62" s="42"/>
      <c r="D62" s="42"/>
      <c r="E62" s="42"/>
      <c r="F62" s="42"/>
    </row>
    <row r="138" spans="2:2" x14ac:dyDescent="0.35">
      <c r="B138" t="s">
        <v>0</v>
      </c>
    </row>
  </sheetData>
  <protectedRanges>
    <protectedRange algorithmName="SHA-512" hashValue="eZmo0tGgqSizzth9BvV1y74eiX8gS0IxAQv2SVHIqi1Nxx1SRMdQ2IAjG8TLE093YVH0QZzkqCyeSco+K8edrQ==" saltValue="DIG3BnybJX69ceTat9FKPQ==" spinCount="100000" sqref="C23:C24 C20 C13:C14 C29 C31:C34" name="AnnualParams"/>
  </protectedRanges>
  <mergeCells count="6">
    <mergeCell ref="B49:C49"/>
    <mergeCell ref="A1:F1"/>
    <mergeCell ref="B2:C2"/>
    <mergeCell ref="B36:C36"/>
    <mergeCell ref="B22:C22"/>
    <mergeCell ref="B19:C19"/>
  </mergeCells>
  <conditionalFormatting sqref="C3">
    <cfRule type="cellIs" dxfId="7" priority="3" operator="greaterThanOrEqual">
      <formula>250000</formula>
    </cfRule>
  </conditionalFormatting>
  <conditionalFormatting sqref="C5:C6">
    <cfRule type="cellIs" dxfId="6" priority="1" operator="greaterThanOrEqual">
      <formula>250000</formula>
    </cfRule>
  </conditionalFormatting>
  <conditionalFormatting sqref="C9:C10">
    <cfRule type="cellIs" dxfId="5" priority="6" operator="greaterThanOrEqual">
      <formula>250000</formula>
    </cfRule>
  </conditionalFormatting>
  <conditionalFormatting sqref="C27">
    <cfRule type="cellIs" priority="7" operator="between"/>
    <cfRule type="cellIs" dxfId="4" priority="8" operator="between"/>
  </conditionalFormatting>
  <conditionalFormatting sqref="C27:C28">
    <cfRule type="cellIs" dxfId="3" priority="9" operator="greaterThanOrEqual">
      <formula>500000</formula>
    </cfRule>
  </conditionalFormatting>
  <conditionalFormatting sqref="D3">
    <cfRule type="containsText" dxfId="2" priority="13" operator="containsText" text="⚠">
      <formula>NOT(ISERROR(SEARCH("⚠",D3)))</formula>
    </cfRule>
  </conditionalFormatting>
  <conditionalFormatting sqref="D6">
    <cfRule type="containsText" dxfId="1" priority="14" operator="containsText" text="⚠">
      <formula>NOT(ISERROR(SEARCH("⚠",D6)))</formula>
    </cfRule>
  </conditionalFormatting>
  <dataValidations xWindow="868" yWindow="891" count="12">
    <dataValidation type="list" allowBlank="1" showInputMessage="1" showErrorMessage="1" sqref="D4" xr:uid="{AACC8943-A873-4CDF-9519-BE374232F771}">
      <formula1>$N$4:$N$11</formula1>
    </dataValidation>
    <dataValidation allowBlank="1" showInputMessage="1" showErrorMessage="1" sqref="C20 C24 C34 C31:C32 C49:C51 C13:C15 C37:C39 C43 C8:C10" xr:uid="{147593B0-768B-454E-B5ED-3861F97D5570}"/>
    <dataValidation type="list" allowBlank="1" showInputMessage="1" showErrorMessage="1" sqref="C4 C7:C8" xr:uid="{0D79EDE0-5879-445D-A963-CD6404EE348D}">
      <formula1>$B$58:$B$60</formula1>
    </dataValidation>
    <dataValidation type="date" allowBlank="1" showInputMessage="1" showErrorMessage="1" sqref="C40" xr:uid="{4D9C150D-819C-4EC9-A0F0-B7F694F0A3CA}">
      <formula1>TODAY()</formula1>
      <formula2>73415</formula2>
    </dataValidation>
    <dataValidation type="whole" showInputMessage="1" showErrorMessage="1" errorTitle="Invalid Age" error="Age must be 18–75" sqref="C11:C12" xr:uid="{9DC43C5D-B47C-4699-998F-8FC6521BE0C8}">
      <formula1>18</formula1>
      <formula2>60</formula2>
    </dataValidation>
    <dataValidation allowBlank="1" showInputMessage="1" showErrorMessage="1" errorTitle="Invalid Income" error="Income must be greater than $0" promptTitle="Annual Income" prompt="Enter gross annual salary for Person B. If ≥$250k, Division 293 tax may apply." sqref="C6" xr:uid="{9B84B053-F7AE-4B44-9862-7ECE71B02868}"/>
    <dataValidation allowBlank="1" showInputMessage="1" showErrorMessage="1" errorTitle="Invalid Income" error="Income must be greater than $0" promptTitle="Annual Income" prompt="Enter gross annual salary. If ≥$250k, Division 293 tax may apply (shown in red)." sqref="C3" xr:uid="{047F4022-A976-4D1D-8ACB-812AD41F8156}"/>
    <dataValidation allowBlank="1" showInputMessage="1" showErrorMessage="1" promptTitle="After-Tax Contribution" prompt="How much per pay period (after tax) would this person contribute? e.g. $800/month" sqref="C5" xr:uid="{DF50157B-E33E-455C-9362-9AE6DCBBD8F3}"/>
    <dataValidation allowBlank="1" showInputMessage="1" showErrorMessage="1" promptTitle="Super Balance" prompt="If ≥$500k, carry-forward concessional contributions are NOT available (shown in red)." sqref="C27:C28" xr:uid="{BB297498-2112-46D3-B9B7-24818D104E16}"/>
    <dataValidation allowBlank="1" showInputMessage="1" showErrorMessage="1" promptTitle="Weekly Extra Repayment" prompt="Optional. Enter weekly amount (e.g. $150). Auto-converts to your loan frequency below." sqref="C42" xr:uid="{6511776F-EB59-4BCD-A113-45A74BDBCED6}"/>
    <dataValidation allowBlank="1" showInputMessage="1" showErrorMessage="1" promptTitle="Model Start Date" prompt="Enter as a date (e.g. 1/07/2027). The Australian financial year starts 1 July." sqref="C16" xr:uid="{E871AE13-B145-4B2E-8661-E5E699955DA4}"/>
    <dataValidation type="whole" allowBlank="1" showInputMessage="1" showErrorMessage="1" errorTitle="🔒 Cell Locked" error="This retirement age is fixed at 65. It is used by both Projection Years formulas. Do not change this value." promptTitle="🔒 Locked" prompt="Retirement age fixed at 65. Used by projection year calculations." sqref="C17" xr:uid="{4BB21331-4DE5-46C9-962F-05DD0B478892}">
      <formula1>65</formula1>
      <formula2>65</formula2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468A7-AD7F-4792-AD3B-F15D5540D145}">
  <sheetPr>
    <tabColor rgb="FF10B981"/>
  </sheetPr>
  <dimension ref="B1:G56"/>
  <sheetViews>
    <sheetView workbookViewId="0">
      <selection activeCell="F31" sqref="F31"/>
    </sheetView>
  </sheetViews>
  <sheetFormatPr defaultRowHeight="14.5" x14ac:dyDescent="0.35"/>
  <cols>
    <col min="2" max="2" width="42.36328125" bestFit="1" customWidth="1"/>
    <col min="3" max="3" width="17.36328125" customWidth="1"/>
    <col min="4" max="4" width="23.6328125" customWidth="1"/>
    <col min="5" max="5" width="27" bestFit="1" customWidth="1"/>
    <col min="6" max="6" width="81.81640625" customWidth="1"/>
    <col min="7" max="7" width="11.1796875" customWidth="1"/>
    <col min="8" max="8" width="11.1796875" bestFit="1" customWidth="1"/>
    <col min="9" max="9" width="11.7265625" customWidth="1"/>
  </cols>
  <sheetData>
    <row r="1" spans="2:7" x14ac:dyDescent="0.35">
      <c r="G1" cm="1">
        <f t="array" ref="G1">TaxPayable(F1)</f>
        <v>0</v>
      </c>
    </row>
    <row r="2" spans="2:7" ht="15" customHeight="1" x14ac:dyDescent="0.35">
      <c r="B2" s="1" t="s">
        <v>5</v>
      </c>
      <c r="C2" s="140">
        <f>MedicareRate</f>
        <v>0.02</v>
      </c>
      <c r="F2" cm="1">
        <f t="array" ref="F2">TaxPayable(280000)+TaxPayable(287000)+TaxPayable(294175)+TaxPayable(301529.375)+TaxPayable(309067.609375)+TaxPayable(316794.299609375)+TaxPayable(324714.157099609)+TaxPayable(332832.0110271)+TaxPayable(341152.811302777)+TaxPayable(349681.631585346)+TaxPayable(358423.67237498)+TaxPayable(367384.264184354)+TaxPayable(376568.870788963)+TaxPayable(385983.092558687)+TaxPayable(395632.669872654)+TaxPayable(405523.486619471)+TaxPayable(415661.573784958)</f>
        <v>2165588.5268361391</v>
      </c>
      <c r="G2" cm="1">
        <f t="array" ref="G2">TaxPayable(F17)</f>
        <v>0</v>
      </c>
    </row>
    <row r="3" spans="2:7" ht="15" customHeight="1" x14ac:dyDescent="0.35">
      <c r="B3" s="1" t="s">
        <v>20</v>
      </c>
      <c r="C3" s="141">
        <f>IncA</f>
        <v>145000</v>
      </c>
    </row>
    <row r="4" spans="2:7" ht="15" customHeight="1" x14ac:dyDescent="0.35">
      <c r="C4" s="2"/>
    </row>
    <row r="5" spans="2:7" ht="16" x14ac:dyDescent="0.4">
      <c r="B5" s="190" t="s">
        <v>46</v>
      </c>
      <c r="C5" s="190"/>
      <c r="D5" s="190"/>
      <c r="E5" s="190"/>
    </row>
    <row r="6" spans="2:7" ht="27.5" customHeight="1" x14ac:dyDescent="0.35">
      <c r="B6" t="s">
        <v>18</v>
      </c>
      <c r="C6" t="s">
        <v>19</v>
      </c>
      <c r="D6" t="s">
        <v>4</v>
      </c>
      <c r="E6" t="s">
        <v>82</v>
      </c>
    </row>
    <row r="7" spans="2:7" x14ac:dyDescent="0.35">
      <c r="B7" s="2">
        <v>0</v>
      </c>
      <c r="C7" s="2">
        <v>18200</v>
      </c>
      <c r="D7" s="3">
        <v>0</v>
      </c>
      <c r="E7" s="9">
        <f>D7+0.02</f>
        <v>0.02</v>
      </c>
    </row>
    <row r="8" spans="2:7" x14ac:dyDescent="0.35">
      <c r="B8" s="2">
        <f>C7+1</f>
        <v>18201</v>
      </c>
      <c r="C8" s="2">
        <v>45000</v>
      </c>
      <c r="D8" s="3">
        <v>0.15</v>
      </c>
      <c r="E8" s="9">
        <f t="shared" ref="E8:E11" si="0">D8+0.02</f>
        <v>0.16999999999999998</v>
      </c>
    </row>
    <row r="9" spans="2:7" x14ac:dyDescent="0.35">
      <c r="B9" s="2">
        <f t="shared" ref="B9:B11" si="1">C8+1</f>
        <v>45001</v>
      </c>
      <c r="C9" s="2">
        <v>135000</v>
      </c>
      <c r="D9" s="3">
        <v>0.3</v>
      </c>
      <c r="E9" s="9">
        <f t="shared" si="0"/>
        <v>0.32</v>
      </c>
    </row>
    <row r="10" spans="2:7" x14ac:dyDescent="0.35">
      <c r="B10" s="2">
        <f t="shared" si="1"/>
        <v>135001</v>
      </c>
      <c r="C10" s="2">
        <v>190000</v>
      </c>
      <c r="D10" s="3">
        <v>0.37</v>
      </c>
      <c r="E10" s="9">
        <f t="shared" si="0"/>
        <v>0.39</v>
      </c>
    </row>
    <row r="11" spans="2:7" x14ac:dyDescent="0.35">
      <c r="B11" s="2">
        <f t="shared" si="1"/>
        <v>190001</v>
      </c>
      <c r="C11" s="2">
        <v>99999999</v>
      </c>
      <c r="D11" s="4">
        <v>0.45</v>
      </c>
      <c r="E11" s="9">
        <f t="shared" si="0"/>
        <v>0.47000000000000003</v>
      </c>
    </row>
    <row r="12" spans="2:7" x14ac:dyDescent="0.35">
      <c r="B12" s="2"/>
      <c r="C12" s="2"/>
      <c r="D12" s="4"/>
      <c r="E12" s="9"/>
    </row>
    <row r="13" spans="2:7" x14ac:dyDescent="0.35">
      <c r="B13" s="191" t="s">
        <v>45</v>
      </c>
      <c r="C13" s="191"/>
      <c r="D13" s="191"/>
    </row>
    <row r="14" spans="2:7" x14ac:dyDescent="0.35">
      <c r="B14" t="s">
        <v>18</v>
      </c>
      <c r="C14" t="s">
        <v>19</v>
      </c>
      <c r="D14" t="s">
        <v>4</v>
      </c>
    </row>
    <row r="15" spans="2:7" x14ac:dyDescent="0.35">
      <c r="B15" s="2">
        <v>0</v>
      </c>
      <c r="C15" s="2">
        <v>18200</v>
      </c>
      <c r="D15" s="3">
        <v>0</v>
      </c>
    </row>
    <row r="16" spans="2:7" x14ac:dyDescent="0.35">
      <c r="B16" s="2">
        <f>C15</f>
        <v>18200</v>
      </c>
      <c r="C16" s="2">
        <v>45000</v>
      </c>
      <c r="D16" s="3">
        <v>0.15</v>
      </c>
    </row>
    <row r="17" spans="2:5" x14ac:dyDescent="0.35">
      <c r="B17" s="2">
        <f t="shared" ref="B17:B19" si="2">C16</f>
        <v>45000</v>
      </c>
      <c r="C17" s="2">
        <v>135000</v>
      </c>
      <c r="D17" s="3">
        <v>0.3</v>
      </c>
    </row>
    <row r="18" spans="2:5" x14ac:dyDescent="0.35">
      <c r="B18" s="2">
        <f t="shared" si="2"/>
        <v>135000</v>
      </c>
      <c r="C18" s="2">
        <v>190000</v>
      </c>
      <c r="D18" s="3">
        <v>0.37</v>
      </c>
    </row>
    <row r="19" spans="2:5" x14ac:dyDescent="0.35">
      <c r="B19" s="2">
        <f t="shared" si="2"/>
        <v>190000</v>
      </c>
      <c r="C19" s="2">
        <v>99999999</v>
      </c>
      <c r="D19" s="3">
        <v>0.45</v>
      </c>
    </row>
    <row r="20" spans="2:5" x14ac:dyDescent="0.35">
      <c r="B20" s="2"/>
      <c r="C20" s="2"/>
      <c r="D20" s="4"/>
      <c r="E20" s="4"/>
    </row>
    <row r="21" spans="2:5" x14ac:dyDescent="0.35">
      <c r="B21" s="2"/>
      <c r="C21" s="2"/>
      <c r="D21" s="4"/>
      <c r="E21" s="4"/>
    </row>
    <row r="22" spans="2:5" x14ac:dyDescent="0.35">
      <c r="B22" t="s">
        <v>17</v>
      </c>
      <c r="C22" s="6" cm="1">
        <f t="array" ref="C22">MRate($C$3)</f>
        <v>0.39</v>
      </c>
    </row>
    <row r="23" spans="2:5" x14ac:dyDescent="0.35">
      <c r="B23" t="s">
        <v>21</v>
      </c>
      <c r="C23" s="5" cm="1">
        <f t="array" ref="C23">TaxPayable($C$3)</f>
        <v>37620</v>
      </c>
    </row>
    <row r="25" spans="2:5" ht="16" x14ac:dyDescent="0.4">
      <c r="B25" s="228" t="s">
        <v>122</v>
      </c>
      <c r="C25" s="100"/>
      <c r="D25" s="100"/>
      <c r="E25" s="100"/>
    </row>
    <row r="27" spans="2:5" ht="15" thickBot="1" x14ac:dyDescent="0.4">
      <c r="B27" s="230"/>
      <c r="C27" s="229" t="s">
        <v>123</v>
      </c>
      <c r="D27" s="229" t="s">
        <v>124</v>
      </c>
      <c r="E27" s="229" t="s">
        <v>125</v>
      </c>
    </row>
    <row r="28" spans="2:5" x14ac:dyDescent="0.35">
      <c r="B28" s="231" t="s">
        <v>126</v>
      </c>
      <c r="C28" s="231"/>
      <c r="D28" s="231"/>
      <c r="E28" s="231"/>
    </row>
    <row r="29" spans="2:5" x14ac:dyDescent="0.35">
      <c r="B29" s="32" t="s">
        <v>127</v>
      </c>
      <c r="C29" s="33">
        <f>IncA</f>
        <v>145000</v>
      </c>
      <c r="D29" s="33">
        <f>IncB</f>
        <v>230000</v>
      </c>
      <c r="E29" s="33">
        <f>C29+D29</f>
        <v>375000</v>
      </c>
    </row>
    <row r="30" spans="2:5" x14ac:dyDescent="0.35">
      <c r="B30" s="21" t="s">
        <v>128</v>
      </c>
      <c r="C30" s="23" cm="1">
        <f t="array" ref="C30">MRate(IncA)</f>
        <v>0.39</v>
      </c>
      <c r="D30" s="23" cm="1">
        <f t="array" ref="D30">MRate(IncB)</f>
        <v>0.47000000000000003</v>
      </c>
      <c r="E30" s="21"/>
    </row>
    <row r="31" spans="2:5" x14ac:dyDescent="0.35">
      <c r="B31" s="32" t="s">
        <v>129</v>
      </c>
      <c r="C31" s="33" cm="1">
        <f t="array" ref="C31">TaxPayable(IncA)-IncA*MedicareRate</f>
        <v>34720</v>
      </c>
      <c r="D31" s="33" cm="1">
        <f t="array" ref="D31">TaxPayable(IncB)-IncB*MedicareRate</f>
        <v>69370</v>
      </c>
      <c r="E31" s="33">
        <f>C31+D31</f>
        <v>104090</v>
      </c>
    </row>
    <row r="32" spans="2:5" ht="15" thickBot="1" x14ac:dyDescent="0.4">
      <c r="B32" s="24" t="s">
        <v>130</v>
      </c>
      <c r="C32" s="28">
        <f>IncA*MedicareRate</f>
        <v>2900</v>
      </c>
      <c r="D32" s="28">
        <f>IncB*MedicareRate</f>
        <v>4600</v>
      </c>
      <c r="E32" s="28">
        <f>C32+D32</f>
        <v>7500</v>
      </c>
    </row>
    <row r="33" spans="2:5" x14ac:dyDescent="0.35">
      <c r="B33" s="34" t="s">
        <v>131</v>
      </c>
      <c r="C33" s="35" cm="1">
        <f t="array" ref="C33">TaxPayable(IncA)</f>
        <v>37620</v>
      </c>
      <c r="D33" s="35" cm="1">
        <f t="array" ref="D33">TaxPayable(IncB)</f>
        <v>73970</v>
      </c>
      <c r="E33" s="35">
        <f>C33+D33</f>
        <v>111590</v>
      </c>
    </row>
    <row r="34" spans="2:5" x14ac:dyDescent="0.35">
      <c r="B34" s="25" t="s">
        <v>132</v>
      </c>
      <c r="C34" s="29">
        <f>IncA-C33</f>
        <v>107380</v>
      </c>
      <c r="D34" s="29">
        <f>IncB-D33</f>
        <v>156030</v>
      </c>
      <c r="E34" s="29">
        <f>C34+D34</f>
        <v>263410</v>
      </c>
    </row>
    <row r="35" spans="2:5" ht="15" thickBot="1" x14ac:dyDescent="0.4">
      <c r="B35" s="36" t="s">
        <v>133</v>
      </c>
      <c r="C35" s="37">
        <f>C33/IncA</f>
        <v>0.25944827586206898</v>
      </c>
      <c r="D35" s="37">
        <f>D33/IncB</f>
        <v>0.32160869565217393</v>
      </c>
      <c r="E35" s="37">
        <f>E33/E29</f>
        <v>0.29757333333333336</v>
      </c>
    </row>
    <row r="36" spans="2:5" ht="15" thickBot="1" x14ac:dyDescent="0.4"/>
    <row r="37" spans="2:5" x14ac:dyDescent="0.35">
      <c r="B37" s="232" t="s">
        <v>134</v>
      </c>
      <c r="C37" s="232"/>
      <c r="D37" s="232"/>
      <c r="E37" s="232"/>
    </row>
    <row r="38" spans="2:5" x14ac:dyDescent="0.35">
      <c r="B38" s="32" t="s">
        <v>127</v>
      </c>
      <c r="C38" s="33">
        <f>IncA</f>
        <v>145000</v>
      </c>
      <c r="D38" s="33">
        <f>IncB</f>
        <v>230000</v>
      </c>
      <c r="E38" s="33">
        <f>C38+D38</f>
        <v>375000</v>
      </c>
    </row>
    <row r="39" spans="2:5" x14ac:dyDescent="0.35">
      <c r="B39" s="21" t="s">
        <v>135</v>
      </c>
      <c r="C39" s="22">
        <f>IFERROR(_xlfn.XLOOKUP(YEAR(StartYear), YearlyParamsA!A:A, YearlyParamsA!AA:AA, 0), 0)</f>
        <v>85100</v>
      </c>
      <c r="D39" s="22">
        <f>IFERROR(_xlfn.XLOOKUP(YEAR(StartYear), YearlyParamsB!A:A, YearlyParamsB!AB:AB, 0), 0)</f>
        <v>124900</v>
      </c>
      <c r="E39" s="22">
        <f>C39+D39</f>
        <v>210000</v>
      </c>
    </row>
    <row r="40" spans="2:5" ht="15" thickBot="1" x14ac:dyDescent="0.4">
      <c r="B40" s="38" t="s">
        <v>136</v>
      </c>
      <c r="C40" s="39">
        <f>C38-C39</f>
        <v>59900</v>
      </c>
      <c r="D40" s="39">
        <f>D38-D39</f>
        <v>105100</v>
      </c>
      <c r="E40" s="39">
        <f>C40+D40</f>
        <v>165000</v>
      </c>
    </row>
    <row r="41" spans="2:5" x14ac:dyDescent="0.35">
      <c r="B41" s="30" t="s">
        <v>137</v>
      </c>
      <c r="C41" s="31" cm="1">
        <f t="array" ref="C41">TaxPayable(C40)</f>
        <v>9688</v>
      </c>
      <c r="D41" s="31" cm="1">
        <f t="array" ref="D41">TaxPayable(D40)</f>
        <v>24152</v>
      </c>
      <c r="E41" s="31">
        <f>C41+D41</f>
        <v>33840</v>
      </c>
    </row>
    <row r="42" spans="2:5" x14ac:dyDescent="0.35">
      <c r="B42" s="40" t="s">
        <v>138</v>
      </c>
      <c r="C42" s="41">
        <f>C40-C41</f>
        <v>50212</v>
      </c>
      <c r="D42" s="41">
        <f>D40-D41</f>
        <v>80948</v>
      </c>
      <c r="E42" s="41">
        <f>C42+D42</f>
        <v>131160</v>
      </c>
    </row>
    <row r="43" spans="2:5" ht="15" thickBot="1" x14ac:dyDescent="0.4">
      <c r="B43" s="26" t="s">
        <v>133</v>
      </c>
      <c r="C43" s="27">
        <f>IF(C38=0,0,C41/C38)</f>
        <v>6.6813793103448274E-2</v>
      </c>
      <c r="D43" s="27">
        <f>IF(D38=0,0,D41/D38)</f>
        <v>0.10500869565217391</v>
      </c>
      <c r="E43" s="27">
        <f>IF(E38=0,0,E41/E38)</f>
        <v>9.0240000000000001E-2</v>
      </c>
    </row>
    <row r="44" spans="2:5" ht="15" thickBot="1" x14ac:dyDescent="0.4">
      <c r="B44" s="233"/>
      <c r="C44" s="233"/>
      <c r="D44" s="233"/>
      <c r="E44" s="233"/>
    </row>
    <row r="45" spans="2:5" ht="16" x14ac:dyDescent="0.4">
      <c r="B45" s="101" t="s">
        <v>139</v>
      </c>
      <c r="C45" s="101"/>
      <c r="D45" s="101"/>
      <c r="E45" s="101"/>
    </row>
    <row r="46" spans="2:5" x14ac:dyDescent="0.35">
      <c r="B46" s="32" t="s">
        <v>221</v>
      </c>
      <c r="C46" s="102">
        <f>C33-C41</f>
        <v>27932</v>
      </c>
      <c r="D46" s="102">
        <f>D33-D41</f>
        <v>49818</v>
      </c>
      <c r="E46" s="102">
        <f>E33-E41</f>
        <v>77750</v>
      </c>
    </row>
    <row r="47" spans="2:5" x14ac:dyDescent="0.35">
      <c r="B47" s="21" t="s">
        <v>222</v>
      </c>
      <c r="C47" s="103">
        <f>IFERROR(_xlfn.XLOOKUP(YEAR(StartYear)+ProjYearsA-1, PersonaA!B:B, PersonaA!S:S,,,-1), 0)</f>
        <v>122649.61941864541</v>
      </c>
      <c r="D47" s="103">
        <f>IFERROR(_xlfn.XLOOKUP(YEAR(StartYear)+ProjYearsB-1, PersonaB!B:B, PersonaB!S:S,,,-1), 0)</f>
        <v>131613.46246179979</v>
      </c>
      <c r="E47" s="103">
        <f>C47+D47</f>
        <v>254263.08188044518</v>
      </c>
    </row>
    <row r="48" spans="2:5" x14ac:dyDescent="0.35">
      <c r="B48" s="32" t="s">
        <v>204</v>
      </c>
      <c r="C48" s="33">
        <f>IFERROR(SUM(_xlfn.XLOOKUP(YEAR(StartYear), YearlyParamsA!A:A, YearlyParamsA!AA:AA):_xlfn.XLOOKUP(YEAR(StartYear)+ProjYearsA-1, YearlyParamsA!A:A, YearlyParamsA!AA:AA)), 0)</f>
        <v>188674.7154469238</v>
      </c>
      <c r="D48" s="33">
        <f>IFERROR(SUM(_xlfn.XLOOKUP(YEAR(StartYear), YearlyParamsB!A:A, YearlyParamsB!AB:AB):_xlfn.XLOOKUP(YEAR(StartYear)+ProjYearsB-1, YearlyParamsB!A:A, YearlyParamsB!AB:AB)), 0)</f>
        <v>341361.48706373794</v>
      </c>
      <c r="E48" s="33">
        <f>C48+D48</f>
        <v>530036.20251066168</v>
      </c>
    </row>
    <row r="49" spans="2:5" x14ac:dyDescent="0.35">
      <c r="B49" s="21" t="s">
        <v>140</v>
      </c>
      <c r="C49" s="104" cm="1">
        <f t="array" ref="C49">LOOKUP(2,1/(YearlySummary[Year]&lt;&gt;""),YearlySummary[InterestSaved_Cumul])</f>
        <v>30271.924680702195</v>
      </c>
      <c r="D49" s="105"/>
      <c r="E49" s="104">
        <f>C49</f>
        <v>30271.924680702195</v>
      </c>
    </row>
    <row r="50" spans="2:5" ht="16.5" thickBot="1" x14ac:dyDescent="0.45">
      <c r="B50" s="108" t="s">
        <v>223</v>
      </c>
      <c r="C50" s="106">
        <f>C48+C49</f>
        <v>218946.64012762599</v>
      </c>
      <c r="D50" s="107"/>
      <c r="E50" s="106">
        <f>E48+E49</f>
        <v>560308.12719136383</v>
      </c>
    </row>
    <row r="51" spans="2:5" ht="15" thickBot="1" x14ac:dyDescent="0.4">
      <c r="B51" s="234"/>
      <c r="C51" s="234"/>
      <c r="D51" s="234"/>
      <c r="E51" s="234"/>
    </row>
    <row r="52" spans="2:5" ht="16" x14ac:dyDescent="0.4">
      <c r="B52" s="161" t="s">
        <v>228</v>
      </c>
      <c r="C52" s="162"/>
      <c r="D52" s="162"/>
      <c r="E52" s="162"/>
    </row>
    <row r="53" spans="2:5" x14ac:dyDescent="0.35">
      <c r="B53" s="154" t="s">
        <v>230</v>
      </c>
      <c r="C53" s="155">
        <f>SUMIF(YearlyParamsA!A2:A99,"&lt;&gt;",YearlyParamsA!AB2:AB99)</f>
        <v>552998.72567562165</v>
      </c>
      <c r="D53" s="155">
        <f>SUMIF(YearlyParamsB!A2:A128,"&lt;&gt;",YearlyParamsB!AC2:AC128)</f>
        <v>1426491.2719378325</v>
      </c>
      <c r="E53" s="155">
        <f>C53+D53</f>
        <v>1979489.9976134542</v>
      </c>
    </row>
    <row r="54" spans="2:5" x14ac:dyDescent="0.35">
      <c r="B54" s="156" t="s">
        <v>231</v>
      </c>
      <c r="C54" s="157">
        <f>ProjYearsA</f>
        <v>12</v>
      </c>
      <c r="D54" s="157">
        <f>ProjYearsB</f>
        <v>15</v>
      </c>
    </row>
    <row r="55" spans="2:5" x14ac:dyDescent="0.35">
      <c r="B55" s="154" t="s">
        <v>232</v>
      </c>
      <c r="C55" s="158" cm="1">
        <f t="array" ref="C55">SUMPRODUCT((YearlyParamsA!A2:A99&lt;&gt;"")*IF(YearlyParamsA!A2:A99&lt;&gt;"",YearlyParamsA!B2:B99,0))</f>
        <v>2000355.1806285304</v>
      </c>
      <c r="D55" s="159" cm="1">
        <f t="array" ref="D55">SUMPRODUCT((YearlyParamsB!A2:A128&lt;&gt;"")*IF(YearlyParamsB!A2:A128&lt;&gt;"",YearlyParamsB!B2:B128,0))</f>
        <v>4124343.1317826221</v>
      </c>
      <c r="E55" s="159">
        <f>C55+D55</f>
        <v>6124698.3124111528</v>
      </c>
    </row>
    <row r="56" spans="2:5" ht="15" thickBot="1" x14ac:dyDescent="0.4">
      <c r="B56" s="163" t="s">
        <v>229</v>
      </c>
      <c r="C56" s="164">
        <f>IF(C55=0,0,C53/C55)</f>
        <v>0.27645026794784727</v>
      </c>
      <c r="D56" s="164">
        <f>IF(D55=0,0,D53/D55)</f>
        <v>0.34587114271485819</v>
      </c>
      <c r="E56" s="164">
        <f>IF(E55=0,0,E53/E55)</f>
        <v>0.32319795957985309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0DB7D-CC8F-4152-8980-67471E2AC83A}">
  <sheetPr>
    <tabColor rgb="FF00B4D8"/>
  </sheetPr>
  <dimension ref="A1:W357"/>
  <sheetViews>
    <sheetView workbookViewId="0">
      <pane ySplit="1" topLeftCell="A125" activePane="bottomLeft" state="frozen"/>
      <selection pane="bottomLeft" activeCell="F16" sqref="F16"/>
    </sheetView>
  </sheetViews>
  <sheetFormatPr defaultRowHeight="14.5" x14ac:dyDescent="0.35"/>
  <cols>
    <col min="1" max="1" width="8.1796875" customWidth="1"/>
    <col min="2" max="2" width="6.54296875" style="12" customWidth="1"/>
    <col min="3" max="3" width="13.54296875" customWidth="1"/>
    <col min="4" max="4" width="15.1796875" customWidth="1"/>
    <col min="5" max="5" width="15.54296875" style="7" customWidth="1"/>
    <col min="6" max="6" width="13.81640625" customWidth="1"/>
    <col min="7" max="7" width="12.36328125" style="7" customWidth="1"/>
    <col min="8" max="8" width="17.90625" style="7" customWidth="1"/>
    <col min="9" max="9" width="18.90625" style="5" customWidth="1"/>
    <col min="10" max="10" width="24.1796875" style="5" customWidth="1"/>
    <col min="11" max="11" width="16.1796875" style="5" customWidth="1"/>
    <col min="12" max="12" width="14.36328125" style="5" customWidth="1"/>
    <col min="13" max="13" width="19.90625" style="5" customWidth="1"/>
    <col min="14" max="14" width="15.36328125" style="5" customWidth="1"/>
    <col min="15" max="15" width="18.81640625" style="5" customWidth="1"/>
    <col min="16" max="16" width="12.36328125" style="5" bestFit="1" customWidth="1"/>
    <col min="17" max="17" width="26.453125" style="5" customWidth="1"/>
    <col min="18" max="18" width="23.7265625" style="5" customWidth="1"/>
    <col min="19" max="19" width="25.08984375" bestFit="1" customWidth="1"/>
    <col min="22" max="22" width="13.36328125" bestFit="1" customWidth="1"/>
    <col min="23" max="23" width="3.81640625" bestFit="1" customWidth="1"/>
    <col min="24" max="24" width="15.54296875" customWidth="1"/>
    <col min="27" max="27" width="4.453125" bestFit="1" customWidth="1"/>
    <col min="28" max="28" width="12.36328125" bestFit="1" customWidth="1"/>
    <col min="29" max="29" width="10.54296875" bestFit="1" customWidth="1"/>
    <col min="30" max="30" width="18.26953125" bestFit="1" customWidth="1"/>
    <col min="31" max="31" width="12.36328125" bestFit="1" customWidth="1"/>
    <col min="32" max="32" width="18.26953125" bestFit="1" customWidth="1"/>
    <col min="33" max="33" width="17.08984375" bestFit="1" customWidth="1"/>
    <col min="34" max="34" width="14.453125" bestFit="1" customWidth="1"/>
    <col min="35" max="35" width="21.453125" bestFit="1" customWidth="1"/>
    <col min="36" max="36" width="15.7265625" customWidth="1"/>
    <col min="37" max="37" width="15.08984375" bestFit="1" customWidth="1"/>
  </cols>
  <sheetData>
    <row r="1" spans="1:23" s="80" customFormat="1" ht="24" customHeight="1" x14ac:dyDescent="0.3">
      <c r="A1" s="109" t="s">
        <v>22</v>
      </c>
      <c r="B1" s="110" t="s">
        <v>23</v>
      </c>
      <c r="C1" s="109" t="s">
        <v>24</v>
      </c>
      <c r="D1" s="109" t="s">
        <v>34</v>
      </c>
      <c r="E1" s="111" t="s">
        <v>37</v>
      </c>
      <c r="F1" s="89" t="s">
        <v>25</v>
      </c>
      <c r="G1" s="112" t="s">
        <v>26</v>
      </c>
      <c r="H1" s="112" t="s">
        <v>27</v>
      </c>
      <c r="I1" s="113" t="s">
        <v>28</v>
      </c>
      <c r="J1" s="113" t="s">
        <v>29</v>
      </c>
      <c r="K1" s="113" t="s">
        <v>30</v>
      </c>
      <c r="L1" s="113" t="s">
        <v>31</v>
      </c>
      <c r="M1" s="113" t="s">
        <v>310</v>
      </c>
      <c r="N1" s="113" t="s">
        <v>32</v>
      </c>
      <c r="O1" s="114" t="s">
        <v>311</v>
      </c>
      <c r="P1" s="114" t="s">
        <v>312</v>
      </c>
      <c r="Q1" s="115" t="s">
        <v>313</v>
      </c>
      <c r="R1" s="115" t="s">
        <v>33</v>
      </c>
      <c r="S1" s="115" t="s">
        <v>80</v>
      </c>
    </row>
    <row r="2" spans="1:23" x14ac:dyDescent="0.35">
      <c r="A2">
        <f>IF(ROW()-1 &lt;= TotalPeriodsA, ROW()-1, "")</f>
        <v>1</v>
      </c>
      <c r="B2" s="13">
        <f t="shared" ref="B2:B33" si="0">IF(ROW()-1 &lt;= TotalPeriodsA, YEAR(StartYear) + INT((ROW()-2)/PPYA), "")</f>
        <v>2027</v>
      </c>
      <c r="C2">
        <f>IF($A2="", "", MOD($A2-1, PPYA)+1)</f>
        <v>1</v>
      </c>
      <c r="D2" t="b">
        <f>IF($A2="", "", C2=PPYA)</f>
        <v>0</v>
      </c>
      <c r="E2" s="7">
        <f t="shared" ref="E2:E65" si="1">IF($A2="","",IncA*(1+Inflation)^((B2 - YEAR(StartYear))))</f>
        <v>145000</v>
      </c>
      <c r="F2" cm="1">
        <f t="array" ref="F2">IF($A2="", "", MRate(E2))</f>
        <v>0.39</v>
      </c>
      <c r="G2" s="7">
        <f t="shared" ref="G2:G33" si="2">IF($A2="", "", AfterTaxA/(1-F2))</f>
        <v>11475.409836065573</v>
      </c>
      <c r="H2" s="7">
        <f>IF($A2="", "", _xlfn.XLOOKUP($B2, YearlyParamsA!$A:$A, YearlyParamsA!$E:$E, 0))</f>
        <v>70000</v>
      </c>
      <c r="I2" s="5">
        <f t="shared" ref="I2:I33" si="3">IF($A2="", "", E2*SGRate)</f>
        <v>17400</v>
      </c>
      <c r="J2" s="5">
        <f>IFERROR(IF($A2="", "", _xlfn.XLOOKUP($B2, YearlyParamsA!$A:$A, YearlyParamsA!$I:$I, 0)), 0)</f>
        <v>85100</v>
      </c>
      <c r="K2" s="5">
        <f>IF($A2="", "", 0)</f>
        <v>0</v>
      </c>
      <c r="L2" s="5">
        <f>IF($A2="", "", 0)</f>
        <v>0</v>
      </c>
      <c r="M2" s="5">
        <f>IF($A2="", "", G2)</f>
        <v>11475.409836065573</v>
      </c>
      <c r="N2" s="5">
        <f>IFERROR(IF($A2="", "", J2-K2), 0)</f>
        <v>85100</v>
      </c>
      <c r="O2" s="7">
        <f>IFERROR(IF($A2="", "", MIN(G2,N2)), 0)</f>
        <v>11475.409836065573</v>
      </c>
      <c r="P2" s="7">
        <f t="shared" ref="P2:P33" si="4">IFERROR(IF($A2="", "", MIN(G2+L2/PPYA,N2)*F2 + MAX(0, MIN(G2+L2/PPYA,N2) - MIN(G2,N2))), 0)</f>
        <v>4475.4098360655735</v>
      </c>
      <c r="Q2" s="7">
        <f t="shared" ref="Q2:Q33" si="5">IFERROR(IF($A2="", "", K2+MIN(G2+L2/PPYA,N2)), 0)</f>
        <v>11475.409836065573</v>
      </c>
      <c r="R2" s="7">
        <f>IFERROR(IF($A2="", "", L2+P2), 0)</f>
        <v>4475.4098360655735</v>
      </c>
      <c r="S2" s="5">
        <f>IFERROR(IF($A2="","",P2),0)</f>
        <v>4475.4098360655735</v>
      </c>
      <c r="T2" s="8">
        <f>IF($A2="", "", LoanTerm + INT(($A2-1)/PPYA))</f>
        <v>12</v>
      </c>
    </row>
    <row r="3" spans="1:23" x14ac:dyDescent="0.35">
      <c r="A3">
        <f>IF(ROW()-1 &lt;= TotalPeriodsA, ROW()-1, "")</f>
        <v>2</v>
      </c>
      <c r="B3" s="13">
        <f t="shared" si="0"/>
        <v>2027</v>
      </c>
      <c r="C3">
        <f>IF($A3="", "", MOD($A3-1, PPYA)+1)</f>
        <v>2</v>
      </c>
      <c r="D3" t="b">
        <f>IF($A3="", "", C3=PPYA)</f>
        <v>0</v>
      </c>
      <c r="E3" s="7">
        <f t="shared" si="1"/>
        <v>145000</v>
      </c>
      <c r="F3" cm="1">
        <f t="array" ref="F3">IF($A3="", "", MRate(E3))</f>
        <v>0.39</v>
      </c>
      <c r="G3" s="7">
        <f t="shared" si="2"/>
        <v>11475.409836065573</v>
      </c>
      <c r="H3" s="7">
        <f>IF($A3="", "", _xlfn.XLOOKUP($B3, YearlyParamsA!$A:$A, YearlyParamsA!$E:$E, 0))</f>
        <v>70000</v>
      </c>
      <c r="I3" s="5">
        <f t="shared" si="3"/>
        <v>17400</v>
      </c>
      <c r="J3" s="5">
        <f>IFERROR(IF($A3="", "", _xlfn.XLOOKUP($B3, YearlyParamsA!$A:$A, YearlyParamsA!$I:$I, 0)), 0)</f>
        <v>85100</v>
      </c>
      <c r="K3" s="5">
        <f>IFERROR(IF($A2="", "", IF(B3&lt;&gt;B2,0,Q2)), 0)</f>
        <v>11475.409836065573</v>
      </c>
      <c r="L3" s="5">
        <f t="shared" ref="L3:L34" si="6">IFERROR(IF($A2="","",IF(B3&lt;&gt;B2, 0, L2 + MIN(G2+L2/PPYA, J2-K2)*F2)), 0)</f>
        <v>4475.4098360655735</v>
      </c>
      <c r="M3" s="5">
        <f>IF($A3="", "", G3)</f>
        <v>11475.409836065573</v>
      </c>
      <c r="N3" s="5">
        <f>IFERROR(IF($A3="", "", J3-K3), 0)</f>
        <v>73624.590163934423</v>
      </c>
      <c r="O3" s="7">
        <f>IFERROR(IF($A3="", "", MIN(G3,N3)), 0)</f>
        <v>11475.409836065573</v>
      </c>
      <c r="P3" s="7">
        <f t="shared" si="4"/>
        <v>4993.811475409836</v>
      </c>
      <c r="Q3" s="7">
        <f t="shared" si="5"/>
        <v>23323.770491803276</v>
      </c>
      <c r="R3" s="5">
        <f>IFERROR(IF($A2="", "", IF(B3&lt;&gt;B2,P3,R2+P3)), 0)</f>
        <v>9469.2213114754086</v>
      </c>
      <c r="S3" s="5">
        <f>IFERROR(IF($A3="", "", S2+P3), 0)</f>
        <v>9469.2213114754086</v>
      </c>
      <c r="V3" s="1" t="s">
        <v>35</v>
      </c>
      <c r="W3" s="1">
        <f>_xlfn.XLOOKUP(FreqA,FreqLookup[Frequency],FreqLookup[PeriodsPerYear])</f>
        <v>12</v>
      </c>
    </row>
    <row r="4" spans="1:23" x14ac:dyDescent="0.35">
      <c r="A4">
        <f t="shared" ref="A4:A67" si="7">IF(ROW()-1 &lt;= TotalPeriodsA, ROW()-1, "")</f>
        <v>3</v>
      </c>
      <c r="B4" s="13">
        <f t="shared" si="0"/>
        <v>2027</v>
      </c>
      <c r="C4">
        <f t="shared" ref="C4:C33" si="8">IF($A4="", "", MOD($A4-1, PPYA)+1)</f>
        <v>3</v>
      </c>
      <c r="D4" t="b">
        <f t="shared" ref="D4:D33" si="9">IF($A4="", "", C4=PPYA)</f>
        <v>0</v>
      </c>
      <c r="E4" s="7">
        <f t="shared" si="1"/>
        <v>145000</v>
      </c>
      <c r="F4" cm="1">
        <f t="array" ref="F4">IF($A4="", "", MRate(E4))</f>
        <v>0.39</v>
      </c>
      <c r="G4" s="7">
        <f t="shared" si="2"/>
        <v>11475.409836065573</v>
      </c>
      <c r="H4" s="7">
        <f>IF($A4="", "", _xlfn.XLOOKUP($B4, YearlyParamsA!$A:$A, YearlyParamsA!$E:$E, 0))</f>
        <v>70000</v>
      </c>
      <c r="I4" s="5">
        <f t="shared" si="3"/>
        <v>17400</v>
      </c>
      <c r="J4" s="5">
        <f>IFERROR(IF($A4="", "", _xlfn.XLOOKUP($B4, YearlyParamsA!$A:$A, YearlyParamsA!$I:$I, 0)), 0)</f>
        <v>85100</v>
      </c>
      <c r="K4" s="5">
        <f t="shared" ref="K4:K61" si="10">IFERROR(IF($A3="", "", IF(B4&lt;&gt;B3,0,Q3)), 0)</f>
        <v>23323.770491803276</v>
      </c>
      <c r="L4" s="5">
        <f t="shared" si="6"/>
        <v>9096.2704918032796</v>
      </c>
      <c r="M4" s="5">
        <f t="shared" ref="M4:M67" si="11">IF($A4="", "", G4)</f>
        <v>11475.409836065573</v>
      </c>
      <c r="N4" s="5">
        <f t="shared" ref="N4:N67" si="12">IFERROR(IF($A4="", "", J4-K4), 0)</f>
        <v>61776.229508196724</v>
      </c>
      <c r="O4" s="7">
        <f t="shared" ref="O4:O67" si="13">IFERROR(IF($A4="", "", MIN(G4,N4)), 0)</f>
        <v>11475.409836065573</v>
      </c>
      <c r="P4" s="7">
        <f t="shared" si="4"/>
        <v>5529.0611680327856</v>
      </c>
      <c r="Q4" s="7">
        <f t="shared" si="5"/>
        <v>35557.202868852459</v>
      </c>
      <c r="R4" s="5">
        <f t="shared" ref="R4:R67" si="14">IFERROR(IF($A3="", "", IF(B4&lt;&gt;B3,P4,R3+P4)), 0)</f>
        <v>14998.282479508194</v>
      </c>
      <c r="S4" s="5">
        <f>IFERROR(IF($A4="", "", S3+P4), 0)</f>
        <v>14998.282479508194</v>
      </c>
      <c r="V4" s="1" t="s">
        <v>36</v>
      </c>
      <c r="W4" s="1">
        <f>ProjYearsA*PPYA</f>
        <v>144</v>
      </c>
    </row>
    <row r="5" spans="1:23" x14ac:dyDescent="0.35">
      <c r="A5">
        <f t="shared" si="7"/>
        <v>4</v>
      </c>
      <c r="B5" s="13">
        <f t="shared" si="0"/>
        <v>2027</v>
      </c>
      <c r="C5">
        <f t="shared" si="8"/>
        <v>4</v>
      </c>
      <c r="D5" t="b">
        <f t="shared" si="9"/>
        <v>0</v>
      </c>
      <c r="E5" s="7">
        <f t="shared" si="1"/>
        <v>145000</v>
      </c>
      <c r="F5" cm="1">
        <f t="array" ref="F5">IF($A5="", "", MRate(E5))</f>
        <v>0.39</v>
      </c>
      <c r="G5" s="7">
        <f t="shared" si="2"/>
        <v>11475.409836065573</v>
      </c>
      <c r="H5" s="7">
        <f>IF($A5="", "", _xlfn.XLOOKUP($B5, YearlyParamsA!$A:$A, YearlyParamsA!$E:$E, 0))</f>
        <v>70000</v>
      </c>
      <c r="I5" s="5">
        <f t="shared" si="3"/>
        <v>17400</v>
      </c>
      <c r="J5" s="5">
        <f>IFERROR(IF($A5="", "", _xlfn.XLOOKUP($B5, YearlyParamsA!$A:$A, YearlyParamsA!$I:$I, 0)), 0)</f>
        <v>85100</v>
      </c>
      <c r="K5" s="5">
        <f t="shared" si="10"/>
        <v>35557.202868852459</v>
      </c>
      <c r="L5" s="5">
        <f t="shared" si="6"/>
        <v>13867.30911885246</v>
      </c>
      <c r="M5" s="5">
        <f t="shared" si="11"/>
        <v>11475.409836065573</v>
      </c>
      <c r="N5" s="5">
        <f t="shared" si="12"/>
        <v>49542.797131147541</v>
      </c>
      <c r="O5" s="7">
        <f t="shared" si="13"/>
        <v>11475.409836065573</v>
      </c>
      <c r="P5" s="7">
        <f t="shared" si="4"/>
        <v>6081.7064756659829</v>
      </c>
      <c r="Q5" s="7">
        <f t="shared" si="5"/>
        <v>48188.221798155733</v>
      </c>
      <c r="R5" s="5">
        <f t="shared" si="14"/>
        <v>21079.988955174176</v>
      </c>
      <c r="S5" s="5">
        <f t="shared" ref="S5:S67" si="15">IFERROR(IF($A5="", "", S4+P5), 0)</f>
        <v>21079.988955174176</v>
      </c>
    </row>
    <row r="6" spans="1:23" x14ac:dyDescent="0.35">
      <c r="A6">
        <f t="shared" si="7"/>
        <v>5</v>
      </c>
      <c r="B6" s="13">
        <f t="shared" si="0"/>
        <v>2027</v>
      </c>
      <c r="C6">
        <f t="shared" si="8"/>
        <v>5</v>
      </c>
      <c r="D6" t="b">
        <f t="shared" si="9"/>
        <v>0</v>
      </c>
      <c r="E6" s="7">
        <f t="shared" si="1"/>
        <v>145000</v>
      </c>
      <c r="F6" cm="1">
        <f t="array" ref="F6">IF($A6="", "", MRate(E6))</f>
        <v>0.39</v>
      </c>
      <c r="G6" s="7">
        <f t="shared" si="2"/>
        <v>11475.409836065573</v>
      </c>
      <c r="H6" s="7">
        <f>IF($A6="", "", _xlfn.XLOOKUP($B6, YearlyParamsA!$A:$A, YearlyParamsA!$E:$E, 0))</f>
        <v>70000</v>
      </c>
      <c r="I6" s="5">
        <f t="shared" si="3"/>
        <v>17400</v>
      </c>
      <c r="J6" s="5">
        <f>IFERROR(IF($A6="", "", _xlfn.XLOOKUP($B6, YearlyParamsA!$A:$A, YearlyParamsA!$I:$I, 0)), 0)</f>
        <v>85100</v>
      </c>
      <c r="K6" s="5">
        <f t="shared" si="10"/>
        <v>48188.221798155733</v>
      </c>
      <c r="L6" s="5">
        <f t="shared" si="6"/>
        <v>18793.406501280737</v>
      </c>
      <c r="M6" s="5">
        <f t="shared" si="11"/>
        <v>11475.409836065573</v>
      </c>
      <c r="N6" s="5">
        <f t="shared" si="12"/>
        <v>36911.778201844267</v>
      </c>
      <c r="O6" s="7">
        <f t="shared" si="13"/>
        <v>11475.409836065573</v>
      </c>
      <c r="P6" s="7">
        <f t="shared" si="4"/>
        <v>6652.3127557972575</v>
      </c>
      <c r="Q6" s="7">
        <f t="shared" si="5"/>
        <v>61229.748842661371</v>
      </c>
      <c r="R6" s="5">
        <f t="shared" si="14"/>
        <v>27732.301710971435</v>
      </c>
      <c r="S6" s="5">
        <f t="shared" si="15"/>
        <v>27732.301710971435</v>
      </c>
    </row>
    <row r="7" spans="1:23" x14ac:dyDescent="0.35">
      <c r="A7">
        <f t="shared" si="7"/>
        <v>6</v>
      </c>
      <c r="B7" s="13">
        <f t="shared" si="0"/>
        <v>2027</v>
      </c>
      <c r="C7">
        <f t="shared" si="8"/>
        <v>6</v>
      </c>
      <c r="D7" t="b">
        <f t="shared" si="9"/>
        <v>0</v>
      </c>
      <c r="E7" s="7">
        <f t="shared" si="1"/>
        <v>145000</v>
      </c>
      <c r="F7" cm="1">
        <f t="array" ref="F7">IF($A7="", "", MRate(E7))</f>
        <v>0.39</v>
      </c>
      <c r="G7" s="7">
        <f t="shared" si="2"/>
        <v>11475.409836065573</v>
      </c>
      <c r="H7" s="7">
        <f>IF($A7="", "", _xlfn.XLOOKUP($B7, YearlyParamsA!$A:$A, YearlyParamsA!$E:$E, 0))</f>
        <v>70000</v>
      </c>
      <c r="I7" s="5">
        <f t="shared" si="3"/>
        <v>17400</v>
      </c>
      <c r="J7" s="5">
        <f>IFERROR(IF($A7="", "", _xlfn.XLOOKUP($B7, YearlyParamsA!$A:$A, YearlyParamsA!$I:$I, 0)), 0)</f>
        <v>85100</v>
      </c>
      <c r="K7" s="5">
        <f t="shared" si="10"/>
        <v>61229.748842661371</v>
      </c>
      <c r="L7" s="5">
        <f t="shared" si="6"/>
        <v>23879.602048637935</v>
      </c>
      <c r="M7" s="5">
        <f t="shared" si="11"/>
        <v>11475.409836065573</v>
      </c>
      <c r="N7" s="5">
        <f t="shared" si="12"/>
        <v>23870.251157338629</v>
      </c>
      <c r="O7" s="7">
        <f t="shared" si="13"/>
        <v>11475.409836065573</v>
      </c>
      <c r="P7" s="7">
        <f t="shared" si="4"/>
        <v>7241.463740032802</v>
      </c>
      <c r="Q7" s="7">
        <f t="shared" si="5"/>
        <v>74695.125516113447</v>
      </c>
      <c r="R7" s="5">
        <f t="shared" si="14"/>
        <v>34973.765451004234</v>
      </c>
      <c r="S7" s="5">
        <f t="shared" si="15"/>
        <v>34973.765451004234</v>
      </c>
    </row>
    <row r="8" spans="1:23" x14ac:dyDescent="0.35">
      <c r="A8">
        <f t="shared" si="7"/>
        <v>7</v>
      </c>
      <c r="B8" s="13">
        <f t="shared" si="0"/>
        <v>2027</v>
      </c>
      <c r="C8">
        <f t="shared" si="8"/>
        <v>7</v>
      </c>
      <c r="D8" t="b">
        <f t="shared" si="9"/>
        <v>0</v>
      </c>
      <c r="E8" s="7">
        <f t="shared" si="1"/>
        <v>145000</v>
      </c>
      <c r="F8" cm="1">
        <f t="array" ref="F8">IF($A8="", "", MRate(E8))</f>
        <v>0.39</v>
      </c>
      <c r="G8" s="7">
        <f t="shared" si="2"/>
        <v>11475.409836065573</v>
      </c>
      <c r="H8" s="7">
        <f>IF($A8="", "", _xlfn.XLOOKUP($B8, YearlyParamsA!$A:$A, YearlyParamsA!$E:$E, 0))</f>
        <v>70000</v>
      </c>
      <c r="I8" s="5">
        <f t="shared" si="3"/>
        <v>17400</v>
      </c>
      <c r="J8" s="5">
        <f>IFERROR(IF($A8="", "", _xlfn.XLOOKUP($B8, YearlyParamsA!$A:$A, YearlyParamsA!$I:$I, 0)), 0)</f>
        <v>85100</v>
      </c>
      <c r="K8" s="5">
        <f t="shared" si="10"/>
        <v>74695.125516113447</v>
      </c>
      <c r="L8" s="5">
        <f t="shared" si="6"/>
        <v>29131.098951284243</v>
      </c>
      <c r="M8" s="5">
        <f t="shared" si="11"/>
        <v>11475.409836065573</v>
      </c>
      <c r="N8" s="5">
        <f t="shared" si="12"/>
        <v>10404.874483886553</v>
      </c>
      <c r="O8" s="7">
        <f t="shared" si="13"/>
        <v>10404.874483886553</v>
      </c>
      <c r="P8" s="7">
        <f t="shared" si="4"/>
        <v>4057.9010487157557</v>
      </c>
      <c r="Q8" s="7">
        <f t="shared" si="5"/>
        <v>85100</v>
      </c>
      <c r="R8" s="5">
        <f t="shared" si="14"/>
        <v>39031.666499719991</v>
      </c>
      <c r="S8" s="5">
        <f t="shared" si="15"/>
        <v>39031.666499719991</v>
      </c>
    </row>
    <row r="9" spans="1:23" x14ac:dyDescent="0.35">
      <c r="A9">
        <f t="shared" si="7"/>
        <v>8</v>
      </c>
      <c r="B9" s="13">
        <f t="shared" si="0"/>
        <v>2027</v>
      </c>
      <c r="C9">
        <f t="shared" si="8"/>
        <v>8</v>
      </c>
      <c r="D9" t="b">
        <f t="shared" si="9"/>
        <v>0</v>
      </c>
      <c r="E9" s="7">
        <f t="shared" si="1"/>
        <v>145000</v>
      </c>
      <c r="F9" cm="1">
        <f t="array" ref="F9">IF($A9="", "", MRate(E9))</f>
        <v>0.39</v>
      </c>
      <c r="G9" s="7">
        <f t="shared" si="2"/>
        <v>11475.409836065573</v>
      </c>
      <c r="H9" s="7">
        <f>IF($A9="", "", _xlfn.XLOOKUP($B9, YearlyParamsA!$A:$A, YearlyParamsA!$E:$E, 0))</f>
        <v>70000</v>
      </c>
      <c r="I9" s="5">
        <f t="shared" si="3"/>
        <v>17400</v>
      </c>
      <c r="J9" s="5">
        <f>IFERROR(IF($A9="", "", _xlfn.XLOOKUP($B9, YearlyParamsA!$A:$A, YearlyParamsA!$I:$I, 0)), 0)</f>
        <v>85100</v>
      </c>
      <c r="K9" s="5">
        <f t="shared" si="10"/>
        <v>85100</v>
      </c>
      <c r="L9" s="5">
        <f t="shared" si="6"/>
        <v>33189</v>
      </c>
      <c r="M9" s="5">
        <f t="shared" si="11"/>
        <v>11475.409836065573</v>
      </c>
      <c r="N9" s="5">
        <f t="shared" si="12"/>
        <v>0</v>
      </c>
      <c r="O9" s="7">
        <f t="shared" si="13"/>
        <v>0</v>
      </c>
      <c r="P9" s="7">
        <f t="shared" si="4"/>
        <v>0</v>
      </c>
      <c r="Q9" s="7">
        <f t="shared" si="5"/>
        <v>85100</v>
      </c>
      <c r="R9" s="5">
        <f t="shared" si="14"/>
        <v>39031.666499719991</v>
      </c>
      <c r="S9" s="5">
        <f t="shared" si="15"/>
        <v>39031.666499719991</v>
      </c>
    </row>
    <row r="10" spans="1:23" x14ac:dyDescent="0.35">
      <c r="A10">
        <f t="shared" si="7"/>
        <v>9</v>
      </c>
      <c r="B10" s="13">
        <f t="shared" si="0"/>
        <v>2027</v>
      </c>
      <c r="C10">
        <f t="shared" si="8"/>
        <v>9</v>
      </c>
      <c r="D10" t="b">
        <f t="shared" si="9"/>
        <v>0</v>
      </c>
      <c r="E10" s="7">
        <f t="shared" si="1"/>
        <v>145000</v>
      </c>
      <c r="F10" cm="1">
        <f t="array" ref="F10">IF($A10="", "", MRate(E10))</f>
        <v>0.39</v>
      </c>
      <c r="G10" s="7">
        <f t="shared" si="2"/>
        <v>11475.409836065573</v>
      </c>
      <c r="H10" s="7">
        <f>IF($A10="", "", _xlfn.XLOOKUP($B10, YearlyParamsA!$A:$A, YearlyParamsA!$E:$E, 0))</f>
        <v>70000</v>
      </c>
      <c r="I10" s="5">
        <f t="shared" si="3"/>
        <v>17400</v>
      </c>
      <c r="J10" s="5">
        <f>IFERROR(IF($A10="", "", _xlfn.XLOOKUP($B10, YearlyParamsA!$A:$A, YearlyParamsA!$I:$I, 0)), 0)</f>
        <v>85100</v>
      </c>
      <c r="K10" s="5">
        <f t="shared" si="10"/>
        <v>85100</v>
      </c>
      <c r="L10" s="5">
        <f t="shared" si="6"/>
        <v>33189</v>
      </c>
      <c r="M10" s="5">
        <f t="shared" si="11"/>
        <v>11475.409836065573</v>
      </c>
      <c r="N10" s="5">
        <f t="shared" si="12"/>
        <v>0</v>
      </c>
      <c r="O10" s="7">
        <f t="shared" si="13"/>
        <v>0</v>
      </c>
      <c r="P10" s="7">
        <f t="shared" si="4"/>
        <v>0</v>
      </c>
      <c r="Q10" s="7">
        <f t="shared" si="5"/>
        <v>85100</v>
      </c>
      <c r="R10" s="5">
        <f t="shared" si="14"/>
        <v>39031.666499719991</v>
      </c>
      <c r="S10" s="5">
        <f t="shared" si="15"/>
        <v>39031.666499719991</v>
      </c>
    </row>
    <row r="11" spans="1:23" x14ac:dyDescent="0.35">
      <c r="A11">
        <f t="shared" si="7"/>
        <v>10</v>
      </c>
      <c r="B11" s="13">
        <f t="shared" si="0"/>
        <v>2027</v>
      </c>
      <c r="C11">
        <f t="shared" si="8"/>
        <v>10</v>
      </c>
      <c r="D11" t="b">
        <f t="shared" si="9"/>
        <v>0</v>
      </c>
      <c r="E11" s="7">
        <f t="shared" si="1"/>
        <v>145000</v>
      </c>
      <c r="F11" cm="1">
        <f t="array" ref="F11">IF($A11="", "", MRate(E11))</f>
        <v>0.39</v>
      </c>
      <c r="G11" s="7">
        <f t="shared" si="2"/>
        <v>11475.409836065573</v>
      </c>
      <c r="H11" s="7">
        <f>IF($A11="", "", _xlfn.XLOOKUP($B11, YearlyParamsA!$A:$A, YearlyParamsA!$E:$E, 0))</f>
        <v>70000</v>
      </c>
      <c r="I11" s="5">
        <f t="shared" si="3"/>
        <v>17400</v>
      </c>
      <c r="J11" s="5">
        <f>IFERROR(IF($A11="", "", _xlfn.XLOOKUP($B11, YearlyParamsA!$A:$A, YearlyParamsA!$I:$I, 0)), 0)</f>
        <v>85100</v>
      </c>
      <c r="K11" s="5">
        <f t="shared" si="10"/>
        <v>85100</v>
      </c>
      <c r="L11" s="5">
        <f t="shared" si="6"/>
        <v>33189</v>
      </c>
      <c r="M11" s="5">
        <f t="shared" si="11"/>
        <v>11475.409836065573</v>
      </c>
      <c r="N11" s="5">
        <f t="shared" si="12"/>
        <v>0</v>
      </c>
      <c r="O11" s="7">
        <f t="shared" si="13"/>
        <v>0</v>
      </c>
      <c r="P11" s="7">
        <f t="shared" si="4"/>
        <v>0</v>
      </c>
      <c r="Q11" s="7">
        <f t="shared" si="5"/>
        <v>85100</v>
      </c>
      <c r="R11" s="5">
        <f t="shared" si="14"/>
        <v>39031.666499719991</v>
      </c>
      <c r="S11" s="5">
        <f t="shared" si="15"/>
        <v>39031.666499719991</v>
      </c>
    </row>
    <row r="12" spans="1:23" x14ac:dyDescent="0.35">
      <c r="A12">
        <f t="shared" si="7"/>
        <v>11</v>
      </c>
      <c r="B12" s="13">
        <f t="shared" si="0"/>
        <v>2027</v>
      </c>
      <c r="C12">
        <f t="shared" si="8"/>
        <v>11</v>
      </c>
      <c r="D12" t="b">
        <f t="shared" si="9"/>
        <v>0</v>
      </c>
      <c r="E12" s="7">
        <f t="shared" si="1"/>
        <v>145000</v>
      </c>
      <c r="F12" cm="1">
        <f t="array" ref="F12">IF($A12="", "", MRate(E12))</f>
        <v>0.39</v>
      </c>
      <c r="G12" s="7">
        <f t="shared" si="2"/>
        <v>11475.409836065573</v>
      </c>
      <c r="H12" s="7">
        <f>IF($A12="", "", _xlfn.XLOOKUP($B12, YearlyParamsA!$A:$A, YearlyParamsA!$E:$E, 0))</f>
        <v>70000</v>
      </c>
      <c r="I12" s="5">
        <f t="shared" si="3"/>
        <v>17400</v>
      </c>
      <c r="J12" s="5">
        <f>IFERROR(IF($A12="", "", _xlfn.XLOOKUP($B12, YearlyParamsA!$A:$A, YearlyParamsA!$I:$I, 0)), 0)</f>
        <v>85100</v>
      </c>
      <c r="K12" s="5">
        <f t="shared" si="10"/>
        <v>85100</v>
      </c>
      <c r="L12" s="5">
        <f t="shared" si="6"/>
        <v>33189</v>
      </c>
      <c r="M12" s="5">
        <f t="shared" si="11"/>
        <v>11475.409836065573</v>
      </c>
      <c r="N12" s="5">
        <f t="shared" si="12"/>
        <v>0</v>
      </c>
      <c r="O12" s="7">
        <f t="shared" si="13"/>
        <v>0</v>
      </c>
      <c r="P12" s="7">
        <f t="shared" si="4"/>
        <v>0</v>
      </c>
      <c r="Q12" s="7">
        <f t="shared" si="5"/>
        <v>85100</v>
      </c>
      <c r="R12" s="5">
        <f t="shared" si="14"/>
        <v>39031.666499719991</v>
      </c>
      <c r="S12" s="5">
        <f t="shared" si="15"/>
        <v>39031.666499719991</v>
      </c>
    </row>
    <row r="13" spans="1:23" x14ac:dyDescent="0.35">
      <c r="A13">
        <f t="shared" si="7"/>
        <v>12</v>
      </c>
      <c r="B13" s="13">
        <f t="shared" si="0"/>
        <v>2027</v>
      </c>
      <c r="C13">
        <f t="shared" si="8"/>
        <v>12</v>
      </c>
      <c r="D13" t="b">
        <f t="shared" si="9"/>
        <v>1</v>
      </c>
      <c r="E13" s="7">
        <f t="shared" si="1"/>
        <v>145000</v>
      </c>
      <c r="F13" cm="1">
        <f t="array" ref="F13">IF($A13="", "", MRate(E13))</f>
        <v>0.39</v>
      </c>
      <c r="G13" s="7">
        <f t="shared" si="2"/>
        <v>11475.409836065573</v>
      </c>
      <c r="H13" s="7">
        <f>IF($A13="", "", _xlfn.XLOOKUP($B13, YearlyParamsA!$A:$A, YearlyParamsA!$E:$E, 0))</f>
        <v>70000</v>
      </c>
      <c r="I13" s="5">
        <f t="shared" si="3"/>
        <v>17400</v>
      </c>
      <c r="J13" s="5">
        <f>IFERROR(IF($A13="", "", _xlfn.XLOOKUP($B13, YearlyParamsA!$A:$A, YearlyParamsA!$I:$I, 0)), 0)</f>
        <v>85100</v>
      </c>
      <c r="K13" s="5">
        <f t="shared" si="10"/>
        <v>85100</v>
      </c>
      <c r="L13" s="5">
        <f t="shared" si="6"/>
        <v>33189</v>
      </c>
      <c r="M13" s="5">
        <f t="shared" si="11"/>
        <v>11475.409836065573</v>
      </c>
      <c r="N13" s="5">
        <f t="shared" si="12"/>
        <v>0</v>
      </c>
      <c r="O13" s="7">
        <f t="shared" si="13"/>
        <v>0</v>
      </c>
      <c r="P13" s="7">
        <f t="shared" si="4"/>
        <v>0</v>
      </c>
      <c r="Q13" s="7">
        <f t="shared" si="5"/>
        <v>85100</v>
      </c>
      <c r="R13" s="5">
        <f t="shared" si="14"/>
        <v>39031.666499719991</v>
      </c>
      <c r="S13" s="5">
        <f t="shared" si="15"/>
        <v>39031.666499719991</v>
      </c>
    </row>
    <row r="14" spans="1:23" x14ac:dyDescent="0.35">
      <c r="A14">
        <f t="shared" si="7"/>
        <v>13</v>
      </c>
      <c r="B14" s="13">
        <f t="shared" si="0"/>
        <v>2028</v>
      </c>
      <c r="C14">
        <f t="shared" si="8"/>
        <v>1</v>
      </c>
      <c r="D14" t="b">
        <f t="shared" si="9"/>
        <v>0</v>
      </c>
      <c r="E14" s="7">
        <f t="shared" si="1"/>
        <v>148625</v>
      </c>
      <c r="F14" cm="1">
        <f t="array" ref="F14">IF($A14="", "", MRate(E14))</f>
        <v>0.39</v>
      </c>
      <c r="G14" s="7">
        <f t="shared" si="2"/>
        <v>11475.409836065573</v>
      </c>
      <c r="H14" s="7">
        <f>IF($A14="", "", _xlfn.XLOOKUP($B14, YearlyParamsA!$A:$A, YearlyParamsA!$E:$E, 0))</f>
        <v>0</v>
      </c>
      <c r="I14" s="5">
        <f t="shared" si="3"/>
        <v>17835</v>
      </c>
      <c r="J14" s="5">
        <f>IFERROR(IF($A14="", "", _xlfn.XLOOKUP($B14, YearlyParamsA!$A:$A, YearlyParamsA!$I:$I, 0)), 0)</f>
        <v>14665</v>
      </c>
      <c r="K14" s="5">
        <f t="shared" si="10"/>
        <v>0</v>
      </c>
      <c r="L14" s="5">
        <f t="shared" si="6"/>
        <v>0</v>
      </c>
      <c r="M14" s="5">
        <f t="shared" si="11"/>
        <v>11475.409836065573</v>
      </c>
      <c r="N14" s="5">
        <f t="shared" si="12"/>
        <v>14665</v>
      </c>
      <c r="O14" s="7">
        <f t="shared" si="13"/>
        <v>11475.409836065573</v>
      </c>
      <c r="P14" s="7">
        <f t="shared" si="4"/>
        <v>4475.4098360655735</v>
      </c>
      <c r="Q14" s="7">
        <f t="shared" si="5"/>
        <v>11475.409836065573</v>
      </c>
      <c r="R14" s="5">
        <f t="shared" si="14"/>
        <v>4475.4098360655735</v>
      </c>
      <c r="S14" s="5">
        <f t="shared" si="15"/>
        <v>43507.076335785561</v>
      </c>
    </row>
    <row r="15" spans="1:23" x14ac:dyDescent="0.35">
      <c r="A15">
        <f t="shared" si="7"/>
        <v>14</v>
      </c>
      <c r="B15" s="13">
        <f t="shared" si="0"/>
        <v>2028</v>
      </c>
      <c r="C15">
        <f t="shared" si="8"/>
        <v>2</v>
      </c>
      <c r="D15" t="b">
        <f t="shared" si="9"/>
        <v>0</v>
      </c>
      <c r="E15" s="7">
        <f t="shared" si="1"/>
        <v>148625</v>
      </c>
      <c r="F15" cm="1">
        <f t="array" ref="F15">IF($A15="", "", MRate(E15))</f>
        <v>0.39</v>
      </c>
      <c r="G15" s="7">
        <f t="shared" si="2"/>
        <v>11475.409836065573</v>
      </c>
      <c r="H15" s="7">
        <f>IF($A15="", "", _xlfn.XLOOKUP($B15, YearlyParamsA!$A:$A, YearlyParamsA!$E:$E, 0))</f>
        <v>0</v>
      </c>
      <c r="I15" s="5">
        <f t="shared" si="3"/>
        <v>17835</v>
      </c>
      <c r="J15" s="5">
        <f>IFERROR(IF($A15="", "", _xlfn.XLOOKUP($B15, YearlyParamsA!$A:$A, YearlyParamsA!$I:$I, 0)), 0)</f>
        <v>14665</v>
      </c>
      <c r="K15" s="5">
        <f t="shared" si="10"/>
        <v>11475.409836065573</v>
      </c>
      <c r="L15" s="5">
        <f t="shared" si="6"/>
        <v>4475.4098360655735</v>
      </c>
      <c r="M15" s="5">
        <f t="shared" si="11"/>
        <v>11475.409836065573</v>
      </c>
      <c r="N15" s="5">
        <f t="shared" si="12"/>
        <v>3189.5901639344265</v>
      </c>
      <c r="O15" s="7">
        <f t="shared" si="13"/>
        <v>3189.5901639344265</v>
      </c>
      <c r="P15" s="7">
        <f t="shared" si="4"/>
        <v>1243.9401639344264</v>
      </c>
      <c r="Q15" s="7">
        <f t="shared" si="5"/>
        <v>14665</v>
      </c>
      <c r="R15" s="5">
        <f t="shared" si="14"/>
        <v>5719.35</v>
      </c>
      <c r="S15" s="5">
        <f t="shared" si="15"/>
        <v>44751.01649971999</v>
      </c>
    </row>
    <row r="16" spans="1:23" x14ac:dyDescent="0.35">
      <c r="A16">
        <f t="shared" si="7"/>
        <v>15</v>
      </c>
      <c r="B16" s="13">
        <f t="shared" si="0"/>
        <v>2028</v>
      </c>
      <c r="C16">
        <f t="shared" si="8"/>
        <v>3</v>
      </c>
      <c r="D16" t="b">
        <f t="shared" si="9"/>
        <v>0</v>
      </c>
      <c r="E16" s="7">
        <f t="shared" si="1"/>
        <v>148625</v>
      </c>
      <c r="F16" cm="1">
        <f t="array" ref="F16">IF($A16="", "", MRate(E16))</f>
        <v>0.39</v>
      </c>
      <c r="G16" s="7">
        <f t="shared" si="2"/>
        <v>11475.409836065573</v>
      </c>
      <c r="H16" s="7">
        <f>IF($A16="", "", _xlfn.XLOOKUP($B16, YearlyParamsA!$A:$A, YearlyParamsA!$E:$E, 0))</f>
        <v>0</v>
      </c>
      <c r="I16" s="5">
        <f t="shared" si="3"/>
        <v>17835</v>
      </c>
      <c r="J16" s="5">
        <f>IFERROR(IF($A16="", "", _xlfn.XLOOKUP($B16, YearlyParamsA!$A:$A, YearlyParamsA!$I:$I, 0)), 0)</f>
        <v>14665</v>
      </c>
      <c r="K16" s="5">
        <f t="shared" si="10"/>
        <v>14665</v>
      </c>
      <c r="L16" s="5">
        <f t="shared" si="6"/>
        <v>5719.35</v>
      </c>
      <c r="M16" s="5">
        <f t="shared" si="11"/>
        <v>11475.409836065573</v>
      </c>
      <c r="N16" s="5">
        <f t="shared" si="12"/>
        <v>0</v>
      </c>
      <c r="O16" s="7">
        <f t="shared" si="13"/>
        <v>0</v>
      </c>
      <c r="P16" s="7">
        <f t="shared" si="4"/>
        <v>0</v>
      </c>
      <c r="Q16" s="7">
        <f t="shared" si="5"/>
        <v>14665</v>
      </c>
      <c r="R16" s="5">
        <f t="shared" si="14"/>
        <v>5719.35</v>
      </c>
      <c r="S16" s="5">
        <f t="shared" si="15"/>
        <v>44751.01649971999</v>
      </c>
    </row>
    <row r="17" spans="1:19" x14ac:dyDescent="0.35">
      <c r="A17">
        <f t="shared" si="7"/>
        <v>16</v>
      </c>
      <c r="B17" s="13">
        <f t="shared" si="0"/>
        <v>2028</v>
      </c>
      <c r="C17">
        <f t="shared" si="8"/>
        <v>4</v>
      </c>
      <c r="D17" t="b">
        <f t="shared" si="9"/>
        <v>0</v>
      </c>
      <c r="E17" s="7">
        <f t="shared" si="1"/>
        <v>148625</v>
      </c>
      <c r="F17" cm="1">
        <f t="array" ref="F17">IF($A17="", "", MRate(E17))</f>
        <v>0.39</v>
      </c>
      <c r="G17" s="7">
        <f t="shared" si="2"/>
        <v>11475.409836065573</v>
      </c>
      <c r="H17" s="7">
        <f>IF($A17="", "", _xlfn.XLOOKUP($B17, YearlyParamsA!$A:$A, YearlyParamsA!$E:$E, 0))</f>
        <v>0</v>
      </c>
      <c r="I17" s="5">
        <f t="shared" si="3"/>
        <v>17835</v>
      </c>
      <c r="J17" s="5">
        <f>IFERROR(IF($A17="", "", _xlfn.XLOOKUP($B17, YearlyParamsA!$A:$A, YearlyParamsA!$I:$I, 0)), 0)</f>
        <v>14665</v>
      </c>
      <c r="K17" s="5">
        <f t="shared" si="10"/>
        <v>14665</v>
      </c>
      <c r="L17" s="5">
        <f t="shared" si="6"/>
        <v>5719.35</v>
      </c>
      <c r="M17" s="5">
        <f t="shared" si="11"/>
        <v>11475.409836065573</v>
      </c>
      <c r="N17" s="5">
        <f t="shared" si="12"/>
        <v>0</v>
      </c>
      <c r="O17" s="7">
        <f t="shared" si="13"/>
        <v>0</v>
      </c>
      <c r="P17" s="7">
        <f t="shared" si="4"/>
        <v>0</v>
      </c>
      <c r="Q17" s="7">
        <f t="shared" si="5"/>
        <v>14665</v>
      </c>
      <c r="R17" s="5">
        <f t="shared" si="14"/>
        <v>5719.35</v>
      </c>
      <c r="S17" s="5">
        <f t="shared" si="15"/>
        <v>44751.01649971999</v>
      </c>
    </row>
    <row r="18" spans="1:19" x14ac:dyDescent="0.35">
      <c r="A18">
        <f t="shared" si="7"/>
        <v>17</v>
      </c>
      <c r="B18" s="13">
        <f t="shared" si="0"/>
        <v>2028</v>
      </c>
      <c r="C18">
        <f t="shared" si="8"/>
        <v>5</v>
      </c>
      <c r="D18" t="b">
        <f t="shared" si="9"/>
        <v>0</v>
      </c>
      <c r="E18" s="7">
        <f t="shared" si="1"/>
        <v>148625</v>
      </c>
      <c r="F18" cm="1">
        <f t="array" ref="F18">IF($A18="", "", MRate(E18))</f>
        <v>0.39</v>
      </c>
      <c r="G18" s="7">
        <f t="shared" si="2"/>
        <v>11475.409836065573</v>
      </c>
      <c r="H18" s="7">
        <f>IF($A18="", "", _xlfn.XLOOKUP($B18, YearlyParamsA!$A:$A, YearlyParamsA!$E:$E, 0))</f>
        <v>0</v>
      </c>
      <c r="I18" s="5">
        <f t="shared" si="3"/>
        <v>17835</v>
      </c>
      <c r="J18" s="5">
        <f>IFERROR(IF($A18="", "", _xlfn.XLOOKUP($B18, YearlyParamsA!$A:$A, YearlyParamsA!$I:$I, 0)), 0)</f>
        <v>14665</v>
      </c>
      <c r="K18" s="5">
        <f t="shared" si="10"/>
        <v>14665</v>
      </c>
      <c r="L18" s="5">
        <f t="shared" si="6"/>
        <v>5719.35</v>
      </c>
      <c r="M18" s="5">
        <f t="shared" si="11"/>
        <v>11475.409836065573</v>
      </c>
      <c r="N18" s="5">
        <f t="shared" si="12"/>
        <v>0</v>
      </c>
      <c r="O18" s="7">
        <f t="shared" si="13"/>
        <v>0</v>
      </c>
      <c r="P18" s="7">
        <f t="shared" si="4"/>
        <v>0</v>
      </c>
      <c r="Q18" s="7">
        <f t="shared" si="5"/>
        <v>14665</v>
      </c>
      <c r="R18" s="5">
        <f t="shared" si="14"/>
        <v>5719.35</v>
      </c>
      <c r="S18" s="5">
        <f t="shared" si="15"/>
        <v>44751.01649971999</v>
      </c>
    </row>
    <row r="19" spans="1:19" x14ac:dyDescent="0.35">
      <c r="A19">
        <f t="shared" si="7"/>
        <v>18</v>
      </c>
      <c r="B19" s="13">
        <f t="shared" si="0"/>
        <v>2028</v>
      </c>
      <c r="C19">
        <f t="shared" si="8"/>
        <v>6</v>
      </c>
      <c r="D19" t="b">
        <f t="shared" si="9"/>
        <v>0</v>
      </c>
      <c r="E19" s="7">
        <f t="shared" si="1"/>
        <v>148625</v>
      </c>
      <c r="F19" cm="1">
        <f t="array" ref="F19">IF($A19="", "", MRate(E19))</f>
        <v>0.39</v>
      </c>
      <c r="G19" s="7">
        <f t="shared" si="2"/>
        <v>11475.409836065573</v>
      </c>
      <c r="H19" s="7">
        <f>IF($A19="", "", _xlfn.XLOOKUP($B19, YearlyParamsA!$A:$A, YearlyParamsA!$E:$E, 0))</f>
        <v>0</v>
      </c>
      <c r="I19" s="5">
        <f t="shared" si="3"/>
        <v>17835</v>
      </c>
      <c r="J19" s="5">
        <f>IFERROR(IF($A19="", "", _xlfn.XLOOKUP($B19, YearlyParamsA!$A:$A, YearlyParamsA!$I:$I, 0)), 0)</f>
        <v>14665</v>
      </c>
      <c r="K19" s="5">
        <f t="shared" si="10"/>
        <v>14665</v>
      </c>
      <c r="L19" s="5">
        <f t="shared" si="6"/>
        <v>5719.35</v>
      </c>
      <c r="M19" s="5">
        <f t="shared" si="11"/>
        <v>11475.409836065573</v>
      </c>
      <c r="N19" s="5">
        <f t="shared" si="12"/>
        <v>0</v>
      </c>
      <c r="O19" s="7">
        <f t="shared" si="13"/>
        <v>0</v>
      </c>
      <c r="P19" s="7">
        <f t="shared" si="4"/>
        <v>0</v>
      </c>
      <c r="Q19" s="7">
        <f t="shared" si="5"/>
        <v>14665</v>
      </c>
      <c r="R19" s="5">
        <f t="shared" si="14"/>
        <v>5719.35</v>
      </c>
      <c r="S19" s="5">
        <f t="shared" si="15"/>
        <v>44751.01649971999</v>
      </c>
    </row>
    <row r="20" spans="1:19" x14ac:dyDescent="0.35">
      <c r="A20">
        <f t="shared" si="7"/>
        <v>19</v>
      </c>
      <c r="B20" s="13">
        <f t="shared" si="0"/>
        <v>2028</v>
      </c>
      <c r="C20">
        <f t="shared" si="8"/>
        <v>7</v>
      </c>
      <c r="D20" t="b">
        <f t="shared" si="9"/>
        <v>0</v>
      </c>
      <c r="E20" s="7">
        <f t="shared" si="1"/>
        <v>148625</v>
      </c>
      <c r="F20" cm="1">
        <f t="array" ref="F20">IF($A20="", "", MRate(E20))</f>
        <v>0.39</v>
      </c>
      <c r="G20" s="7">
        <f t="shared" si="2"/>
        <v>11475.409836065573</v>
      </c>
      <c r="H20" s="7">
        <f>IF($A20="", "", _xlfn.XLOOKUP($B20, YearlyParamsA!$A:$A, YearlyParamsA!$E:$E, 0))</f>
        <v>0</v>
      </c>
      <c r="I20" s="5">
        <f t="shared" si="3"/>
        <v>17835</v>
      </c>
      <c r="J20" s="5">
        <f>IFERROR(IF($A20="", "", _xlfn.XLOOKUP($B20, YearlyParamsA!$A:$A, YearlyParamsA!$I:$I, 0)), 0)</f>
        <v>14665</v>
      </c>
      <c r="K20" s="5">
        <f t="shared" si="10"/>
        <v>14665</v>
      </c>
      <c r="L20" s="5">
        <f t="shared" si="6"/>
        <v>5719.35</v>
      </c>
      <c r="M20" s="5">
        <f t="shared" si="11"/>
        <v>11475.409836065573</v>
      </c>
      <c r="N20" s="5">
        <f t="shared" si="12"/>
        <v>0</v>
      </c>
      <c r="O20" s="7">
        <f t="shared" si="13"/>
        <v>0</v>
      </c>
      <c r="P20" s="7">
        <f t="shared" si="4"/>
        <v>0</v>
      </c>
      <c r="Q20" s="7">
        <f t="shared" si="5"/>
        <v>14665</v>
      </c>
      <c r="R20" s="5">
        <f t="shared" si="14"/>
        <v>5719.35</v>
      </c>
      <c r="S20" s="5">
        <f t="shared" si="15"/>
        <v>44751.01649971999</v>
      </c>
    </row>
    <row r="21" spans="1:19" x14ac:dyDescent="0.35">
      <c r="A21">
        <f t="shared" si="7"/>
        <v>20</v>
      </c>
      <c r="B21" s="13">
        <f t="shared" si="0"/>
        <v>2028</v>
      </c>
      <c r="C21">
        <f t="shared" si="8"/>
        <v>8</v>
      </c>
      <c r="D21" t="b">
        <f t="shared" si="9"/>
        <v>0</v>
      </c>
      <c r="E21" s="7">
        <f t="shared" si="1"/>
        <v>148625</v>
      </c>
      <c r="F21" cm="1">
        <f t="array" ref="F21">IF($A21="", "", MRate(E21))</f>
        <v>0.39</v>
      </c>
      <c r="G21" s="7">
        <f t="shared" si="2"/>
        <v>11475.409836065573</v>
      </c>
      <c r="H21" s="7">
        <f>IF($A21="", "", _xlfn.XLOOKUP($B21, YearlyParamsA!$A:$A, YearlyParamsA!$E:$E, 0))</f>
        <v>0</v>
      </c>
      <c r="I21" s="5">
        <f t="shared" si="3"/>
        <v>17835</v>
      </c>
      <c r="J21" s="5">
        <f>IFERROR(IF($A21="", "", _xlfn.XLOOKUP($B21, YearlyParamsA!$A:$A, YearlyParamsA!$I:$I, 0)), 0)</f>
        <v>14665</v>
      </c>
      <c r="K21" s="5">
        <f t="shared" si="10"/>
        <v>14665</v>
      </c>
      <c r="L21" s="5">
        <f t="shared" si="6"/>
        <v>5719.35</v>
      </c>
      <c r="M21" s="5">
        <f t="shared" si="11"/>
        <v>11475.409836065573</v>
      </c>
      <c r="N21" s="5">
        <f t="shared" si="12"/>
        <v>0</v>
      </c>
      <c r="O21" s="7">
        <f t="shared" si="13"/>
        <v>0</v>
      </c>
      <c r="P21" s="7">
        <f t="shared" si="4"/>
        <v>0</v>
      </c>
      <c r="Q21" s="7">
        <f t="shared" si="5"/>
        <v>14665</v>
      </c>
      <c r="R21" s="5">
        <f t="shared" si="14"/>
        <v>5719.35</v>
      </c>
      <c r="S21" s="5">
        <f t="shared" si="15"/>
        <v>44751.01649971999</v>
      </c>
    </row>
    <row r="22" spans="1:19" x14ac:dyDescent="0.35">
      <c r="A22">
        <f t="shared" si="7"/>
        <v>21</v>
      </c>
      <c r="B22" s="13">
        <f t="shared" si="0"/>
        <v>2028</v>
      </c>
      <c r="C22">
        <f t="shared" si="8"/>
        <v>9</v>
      </c>
      <c r="D22" t="b">
        <f t="shared" si="9"/>
        <v>0</v>
      </c>
      <c r="E22" s="7">
        <f t="shared" si="1"/>
        <v>148625</v>
      </c>
      <c r="F22" cm="1">
        <f t="array" ref="F22">IF($A22="", "", MRate(E22))</f>
        <v>0.39</v>
      </c>
      <c r="G22" s="7">
        <f t="shared" si="2"/>
        <v>11475.409836065573</v>
      </c>
      <c r="H22" s="7">
        <f>IF($A22="", "", _xlfn.XLOOKUP($B22, YearlyParamsA!$A:$A, YearlyParamsA!$E:$E, 0))</f>
        <v>0</v>
      </c>
      <c r="I22" s="5">
        <f t="shared" si="3"/>
        <v>17835</v>
      </c>
      <c r="J22" s="5">
        <f>IFERROR(IF($A22="", "", _xlfn.XLOOKUP($B22, YearlyParamsA!$A:$A, YearlyParamsA!$I:$I, 0)), 0)</f>
        <v>14665</v>
      </c>
      <c r="K22" s="5">
        <f t="shared" si="10"/>
        <v>14665</v>
      </c>
      <c r="L22" s="5">
        <f t="shared" si="6"/>
        <v>5719.35</v>
      </c>
      <c r="M22" s="5">
        <f t="shared" si="11"/>
        <v>11475.409836065573</v>
      </c>
      <c r="N22" s="5">
        <f t="shared" si="12"/>
        <v>0</v>
      </c>
      <c r="O22" s="7">
        <f t="shared" si="13"/>
        <v>0</v>
      </c>
      <c r="P22" s="7">
        <f t="shared" si="4"/>
        <v>0</v>
      </c>
      <c r="Q22" s="7">
        <f t="shared" si="5"/>
        <v>14665</v>
      </c>
      <c r="R22" s="5">
        <f t="shared" si="14"/>
        <v>5719.35</v>
      </c>
      <c r="S22" s="5">
        <f t="shared" si="15"/>
        <v>44751.01649971999</v>
      </c>
    </row>
    <row r="23" spans="1:19" x14ac:dyDescent="0.35">
      <c r="A23">
        <f t="shared" si="7"/>
        <v>22</v>
      </c>
      <c r="B23" s="13">
        <f t="shared" si="0"/>
        <v>2028</v>
      </c>
      <c r="C23">
        <f t="shared" si="8"/>
        <v>10</v>
      </c>
      <c r="D23" t="b">
        <f t="shared" si="9"/>
        <v>0</v>
      </c>
      <c r="E23" s="7">
        <f t="shared" si="1"/>
        <v>148625</v>
      </c>
      <c r="F23" cm="1">
        <f t="array" ref="F23">IF($A23="", "", MRate(E23))</f>
        <v>0.39</v>
      </c>
      <c r="G23" s="7">
        <f t="shared" si="2"/>
        <v>11475.409836065573</v>
      </c>
      <c r="H23" s="7">
        <f>IF($A23="", "", _xlfn.XLOOKUP($B23, YearlyParamsA!$A:$A, YearlyParamsA!$E:$E, 0))</f>
        <v>0</v>
      </c>
      <c r="I23" s="5">
        <f t="shared" si="3"/>
        <v>17835</v>
      </c>
      <c r="J23" s="5">
        <f>IFERROR(IF($A23="", "", _xlfn.XLOOKUP($B23, YearlyParamsA!$A:$A, YearlyParamsA!$I:$I, 0)), 0)</f>
        <v>14665</v>
      </c>
      <c r="K23" s="5">
        <f t="shared" si="10"/>
        <v>14665</v>
      </c>
      <c r="L23" s="5">
        <f t="shared" si="6"/>
        <v>5719.35</v>
      </c>
      <c r="M23" s="5">
        <f t="shared" si="11"/>
        <v>11475.409836065573</v>
      </c>
      <c r="N23" s="5">
        <f t="shared" si="12"/>
        <v>0</v>
      </c>
      <c r="O23" s="7">
        <f t="shared" si="13"/>
        <v>0</v>
      </c>
      <c r="P23" s="7">
        <f t="shared" si="4"/>
        <v>0</v>
      </c>
      <c r="Q23" s="7">
        <f t="shared" si="5"/>
        <v>14665</v>
      </c>
      <c r="R23" s="5">
        <f t="shared" si="14"/>
        <v>5719.35</v>
      </c>
      <c r="S23" s="5">
        <f t="shared" si="15"/>
        <v>44751.01649971999</v>
      </c>
    </row>
    <row r="24" spans="1:19" x14ac:dyDescent="0.35">
      <c r="A24">
        <f t="shared" si="7"/>
        <v>23</v>
      </c>
      <c r="B24" s="13">
        <f t="shared" si="0"/>
        <v>2028</v>
      </c>
      <c r="C24">
        <f t="shared" si="8"/>
        <v>11</v>
      </c>
      <c r="D24" t="b">
        <f t="shared" si="9"/>
        <v>0</v>
      </c>
      <c r="E24" s="7">
        <f t="shared" si="1"/>
        <v>148625</v>
      </c>
      <c r="F24" cm="1">
        <f t="array" ref="F24">IF($A24="", "", MRate(E24))</f>
        <v>0.39</v>
      </c>
      <c r="G24" s="7">
        <f t="shared" si="2"/>
        <v>11475.409836065573</v>
      </c>
      <c r="H24" s="7">
        <f>IF($A24="", "", _xlfn.XLOOKUP($B24, YearlyParamsA!$A:$A, YearlyParamsA!$E:$E, 0))</f>
        <v>0</v>
      </c>
      <c r="I24" s="5">
        <f t="shared" si="3"/>
        <v>17835</v>
      </c>
      <c r="J24" s="5">
        <f>IFERROR(IF($A24="", "", _xlfn.XLOOKUP($B24, YearlyParamsA!$A:$A, YearlyParamsA!$I:$I, 0)), 0)</f>
        <v>14665</v>
      </c>
      <c r="K24" s="5">
        <f t="shared" si="10"/>
        <v>14665</v>
      </c>
      <c r="L24" s="5">
        <f t="shared" si="6"/>
        <v>5719.35</v>
      </c>
      <c r="M24" s="5">
        <f t="shared" si="11"/>
        <v>11475.409836065573</v>
      </c>
      <c r="N24" s="5">
        <f t="shared" si="12"/>
        <v>0</v>
      </c>
      <c r="O24" s="7">
        <f t="shared" si="13"/>
        <v>0</v>
      </c>
      <c r="P24" s="7">
        <f t="shared" si="4"/>
        <v>0</v>
      </c>
      <c r="Q24" s="7">
        <f t="shared" si="5"/>
        <v>14665</v>
      </c>
      <c r="R24" s="5">
        <f t="shared" si="14"/>
        <v>5719.35</v>
      </c>
      <c r="S24" s="5">
        <f t="shared" si="15"/>
        <v>44751.01649971999</v>
      </c>
    </row>
    <row r="25" spans="1:19" x14ac:dyDescent="0.35">
      <c r="A25">
        <f t="shared" si="7"/>
        <v>24</v>
      </c>
      <c r="B25" s="13">
        <f t="shared" si="0"/>
        <v>2028</v>
      </c>
      <c r="C25">
        <f t="shared" si="8"/>
        <v>12</v>
      </c>
      <c r="D25" t="b">
        <f t="shared" si="9"/>
        <v>1</v>
      </c>
      <c r="E25" s="7">
        <f t="shared" si="1"/>
        <v>148625</v>
      </c>
      <c r="F25" cm="1">
        <f t="array" ref="F25">IF($A25="", "", MRate(E25))</f>
        <v>0.39</v>
      </c>
      <c r="G25" s="7">
        <f t="shared" si="2"/>
        <v>11475.409836065573</v>
      </c>
      <c r="H25" s="7">
        <f>IF($A25="", "", _xlfn.XLOOKUP($B25, YearlyParamsA!$A:$A, YearlyParamsA!$E:$E, 0))</f>
        <v>0</v>
      </c>
      <c r="I25" s="5">
        <f t="shared" si="3"/>
        <v>17835</v>
      </c>
      <c r="J25" s="5">
        <f>IFERROR(IF($A25="", "", _xlfn.XLOOKUP($B25, YearlyParamsA!$A:$A, YearlyParamsA!$I:$I, 0)), 0)</f>
        <v>14665</v>
      </c>
      <c r="K25" s="5">
        <f t="shared" si="10"/>
        <v>14665</v>
      </c>
      <c r="L25" s="5">
        <f t="shared" si="6"/>
        <v>5719.35</v>
      </c>
      <c r="M25" s="5">
        <f t="shared" si="11"/>
        <v>11475.409836065573</v>
      </c>
      <c r="N25" s="5">
        <f t="shared" si="12"/>
        <v>0</v>
      </c>
      <c r="O25" s="7">
        <f t="shared" si="13"/>
        <v>0</v>
      </c>
      <c r="P25" s="7">
        <f t="shared" si="4"/>
        <v>0</v>
      </c>
      <c r="Q25" s="7">
        <f t="shared" si="5"/>
        <v>14665</v>
      </c>
      <c r="R25" s="5">
        <f t="shared" si="14"/>
        <v>5719.35</v>
      </c>
      <c r="S25" s="5">
        <f t="shared" si="15"/>
        <v>44751.01649971999</v>
      </c>
    </row>
    <row r="26" spans="1:19" x14ac:dyDescent="0.35">
      <c r="A26">
        <f t="shared" si="7"/>
        <v>25</v>
      </c>
      <c r="B26" s="13">
        <f t="shared" si="0"/>
        <v>2029</v>
      </c>
      <c r="C26">
        <f t="shared" si="8"/>
        <v>1</v>
      </c>
      <c r="D26" t="b">
        <f t="shared" si="9"/>
        <v>0</v>
      </c>
      <c r="E26" s="7">
        <f t="shared" si="1"/>
        <v>152340.625</v>
      </c>
      <c r="F26" cm="1">
        <f t="array" ref="F26">IF($A26="", "", MRate(E26))</f>
        <v>0.39</v>
      </c>
      <c r="G26" s="7">
        <f t="shared" si="2"/>
        <v>11475.409836065573</v>
      </c>
      <c r="H26" s="7">
        <f>IF($A26="", "", _xlfn.XLOOKUP($B26, YearlyParamsA!$A:$A, YearlyParamsA!$E:$E, 0))</f>
        <v>0</v>
      </c>
      <c r="I26" s="5">
        <f t="shared" si="3"/>
        <v>18280.875</v>
      </c>
      <c r="J26" s="5">
        <f>IFERROR(IF($A26="", "", _xlfn.XLOOKUP($B26, YearlyParamsA!$A:$A, YearlyParamsA!$I:$I, 0)), 0)</f>
        <v>16719.125</v>
      </c>
      <c r="K26" s="5">
        <f t="shared" si="10"/>
        <v>0</v>
      </c>
      <c r="L26" s="5">
        <f t="shared" si="6"/>
        <v>0</v>
      </c>
      <c r="M26" s="5">
        <f t="shared" si="11"/>
        <v>11475.409836065573</v>
      </c>
      <c r="N26" s="5">
        <f t="shared" si="12"/>
        <v>16719.125</v>
      </c>
      <c r="O26" s="7">
        <f t="shared" si="13"/>
        <v>11475.409836065573</v>
      </c>
      <c r="P26" s="7">
        <f t="shared" si="4"/>
        <v>4475.4098360655735</v>
      </c>
      <c r="Q26" s="7">
        <f t="shared" si="5"/>
        <v>11475.409836065573</v>
      </c>
      <c r="R26" s="5">
        <f t="shared" si="14"/>
        <v>4475.4098360655735</v>
      </c>
      <c r="S26" s="5">
        <f t="shared" si="15"/>
        <v>49226.426335785567</v>
      </c>
    </row>
    <row r="27" spans="1:19" x14ac:dyDescent="0.35">
      <c r="A27">
        <f t="shared" si="7"/>
        <v>26</v>
      </c>
      <c r="B27" s="13">
        <f t="shared" si="0"/>
        <v>2029</v>
      </c>
      <c r="C27">
        <f t="shared" si="8"/>
        <v>2</v>
      </c>
      <c r="D27" t="b">
        <f t="shared" si="9"/>
        <v>0</v>
      </c>
      <c r="E27" s="7">
        <f t="shared" si="1"/>
        <v>152340.625</v>
      </c>
      <c r="F27" cm="1">
        <f t="array" ref="F27">IF($A27="", "", MRate(E27))</f>
        <v>0.39</v>
      </c>
      <c r="G27" s="7">
        <f t="shared" si="2"/>
        <v>11475.409836065573</v>
      </c>
      <c r="H27" s="7">
        <f>IF($A27="", "", _xlfn.XLOOKUP($B27, YearlyParamsA!$A:$A, YearlyParamsA!$E:$E, 0))</f>
        <v>0</v>
      </c>
      <c r="I27" s="5">
        <f t="shared" si="3"/>
        <v>18280.875</v>
      </c>
      <c r="J27" s="5">
        <f>IFERROR(IF($A27="", "", _xlfn.XLOOKUP($B27, YearlyParamsA!$A:$A, YearlyParamsA!$I:$I, 0)), 0)</f>
        <v>16719.125</v>
      </c>
      <c r="K27" s="5">
        <f t="shared" si="10"/>
        <v>11475.409836065573</v>
      </c>
      <c r="L27" s="5">
        <f t="shared" si="6"/>
        <v>4475.4098360655735</v>
      </c>
      <c r="M27" s="5">
        <f t="shared" si="11"/>
        <v>11475.409836065573</v>
      </c>
      <c r="N27" s="5">
        <f t="shared" si="12"/>
        <v>5243.7151639344265</v>
      </c>
      <c r="O27" s="7">
        <f t="shared" si="13"/>
        <v>5243.7151639344265</v>
      </c>
      <c r="P27" s="7">
        <f t="shared" si="4"/>
        <v>2045.0489139344263</v>
      </c>
      <c r="Q27" s="7">
        <f t="shared" si="5"/>
        <v>16719.125</v>
      </c>
      <c r="R27" s="5">
        <f t="shared" si="14"/>
        <v>6520.4587499999998</v>
      </c>
      <c r="S27" s="5">
        <f t="shared" si="15"/>
        <v>51271.475249719995</v>
      </c>
    </row>
    <row r="28" spans="1:19" x14ac:dyDescent="0.35">
      <c r="A28">
        <f t="shared" si="7"/>
        <v>27</v>
      </c>
      <c r="B28" s="13">
        <f t="shared" si="0"/>
        <v>2029</v>
      </c>
      <c r="C28">
        <f t="shared" si="8"/>
        <v>3</v>
      </c>
      <c r="D28" t="b">
        <f t="shared" si="9"/>
        <v>0</v>
      </c>
      <c r="E28" s="7">
        <f t="shared" si="1"/>
        <v>152340.625</v>
      </c>
      <c r="F28" cm="1">
        <f t="array" ref="F28">IF($A28="", "", MRate(E28))</f>
        <v>0.39</v>
      </c>
      <c r="G28" s="7">
        <f t="shared" si="2"/>
        <v>11475.409836065573</v>
      </c>
      <c r="H28" s="7">
        <f>IF($A28="", "", _xlfn.XLOOKUP($B28, YearlyParamsA!$A:$A, YearlyParamsA!$E:$E, 0))</f>
        <v>0</v>
      </c>
      <c r="I28" s="5">
        <f t="shared" si="3"/>
        <v>18280.875</v>
      </c>
      <c r="J28" s="5">
        <f>IFERROR(IF($A28="", "", _xlfn.XLOOKUP($B28, YearlyParamsA!$A:$A, YearlyParamsA!$I:$I, 0)), 0)</f>
        <v>16719.125</v>
      </c>
      <c r="K28" s="5">
        <f t="shared" si="10"/>
        <v>16719.125</v>
      </c>
      <c r="L28" s="5">
        <f t="shared" si="6"/>
        <v>6520.4587499999998</v>
      </c>
      <c r="M28" s="5">
        <f t="shared" si="11"/>
        <v>11475.409836065573</v>
      </c>
      <c r="N28" s="5">
        <f t="shared" si="12"/>
        <v>0</v>
      </c>
      <c r="O28" s="7">
        <f t="shared" si="13"/>
        <v>0</v>
      </c>
      <c r="P28" s="7">
        <f t="shared" si="4"/>
        <v>0</v>
      </c>
      <c r="Q28" s="7">
        <f t="shared" si="5"/>
        <v>16719.125</v>
      </c>
      <c r="R28" s="5">
        <f t="shared" si="14"/>
        <v>6520.4587499999998</v>
      </c>
      <c r="S28" s="5">
        <f t="shared" si="15"/>
        <v>51271.475249719995</v>
      </c>
    </row>
    <row r="29" spans="1:19" x14ac:dyDescent="0.35">
      <c r="A29">
        <f t="shared" si="7"/>
        <v>28</v>
      </c>
      <c r="B29" s="13">
        <f t="shared" si="0"/>
        <v>2029</v>
      </c>
      <c r="C29">
        <f t="shared" si="8"/>
        <v>4</v>
      </c>
      <c r="D29" t="b">
        <f t="shared" si="9"/>
        <v>0</v>
      </c>
      <c r="E29" s="7">
        <f t="shared" si="1"/>
        <v>152340.625</v>
      </c>
      <c r="F29" cm="1">
        <f t="array" ref="F29">IF($A29="", "", MRate(E29))</f>
        <v>0.39</v>
      </c>
      <c r="G29" s="7">
        <f t="shared" si="2"/>
        <v>11475.409836065573</v>
      </c>
      <c r="H29" s="7">
        <f>IF($A29="", "", _xlfn.XLOOKUP($B29, YearlyParamsA!$A:$A, YearlyParamsA!$E:$E, 0))</f>
        <v>0</v>
      </c>
      <c r="I29" s="5">
        <f t="shared" si="3"/>
        <v>18280.875</v>
      </c>
      <c r="J29" s="5">
        <f>IFERROR(IF($A29="", "", _xlfn.XLOOKUP($B29, YearlyParamsA!$A:$A, YearlyParamsA!$I:$I, 0)), 0)</f>
        <v>16719.125</v>
      </c>
      <c r="K29" s="5">
        <f t="shared" si="10"/>
        <v>16719.125</v>
      </c>
      <c r="L29" s="5">
        <f t="shared" si="6"/>
        <v>6520.4587499999998</v>
      </c>
      <c r="M29" s="5">
        <f t="shared" si="11"/>
        <v>11475.409836065573</v>
      </c>
      <c r="N29" s="5">
        <f t="shared" si="12"/>
        <v>0</v>
      </c>
      <c r="O29" s="7">
        <f t="shared" si="13"/>
        <v>0</v>
      </c>
      <c r="P29" s="7">
        <f t="shared" si="4"/>
        <v>0</v>
      </c>
      <c r="Q29" s="7">
        <f t="shared" si="5"/>
        <v>16719.125</v>
      </c>
      <c r="R29" s="5">
        <f t="shared" si="14"/>
        <v>6520.4587499999998</v>
      </c>
      <c r="S29" s="5">
        <f t="shared" si="15"/>
        <v>51271.475249719995</v>
      </c>
    </row>
    <row r="30" spans="1:19" x14ac:dyDescent="0.35">
      <c r="A30">
        <f t="shared" si="7"/>
        <v>29</v>
      </c>
      <c r="B30" s="13">
        <f t="shared" si="0"/>
        <v>2029</v>
      </c>
      <c r="C30">
        <f t="shared" si="8"/>
        <v>5</v>
      </c>
      <c r="D30" t="b">
        <f t="shared" si="9"/>
        <v>0</v>
      </c>
      <c r="E30" s="7">
        <f t="shared" si="1"/>
        <v>152340.625</v>
      </c>
      <c r="F30" cm="1">
        <f t="array" ref="F30">IF($A30="", "", MRate(E30))</f>
        <v>0.39</v>
      </c>
      <c r="G30" s="7">
        <f t="shared" si="2"/>
        <v>11475.409836065573</v>
      </c>
      <c r="H30" s="7">
        <f>IF($A30="", "", _xlfn.XLOOKUP($B30, YearlyParamsA!$A:$A, YearlyParamsA!$E:$E, 0))</f>
        <v>0</v>
      </c>
      <c r="I30" s="5">
        <f t="shared" si="3"/>
        <v>18280.875</v>
      </c>
      <c r="J30" s="5">
        <f>IFERROR(IF($A30="", "", _xlfn.XLOOKUP($B30, YearlyParamsA!$A:$A, YearlyParamsA!$I:$I, 0)), 0)</f>
        <v>16719.125</v>
      </c>
      <c r="K30" s="5">
        <f t="shared" si="10"/>
        <v>16719.125</v>
      </c>
      <c r="L30" s="5">
        <f t="shared" si="6"/>
        <v>6520.4587499999998</v>
      </c>
      <c r="M30" s="5">
        <f t="shared" si="11"/>
        <v>11475.409836065573</v>
      </c>
      <c r="N30" s="5">
        <f t="shared" si="12"/>
        <v>0</v>
      </c>
      <c r="O30" s="7">
        <f t="shared" si="13"/>
        <v>0</v>
      </c>
      <c r="P30" s="7">
        <f t="shared" si="4"/>
        <v>0</v>
      </c>
      <c r="Q30" s="7">
        <f t="shared" si="5"/>
        <v>16719.125</v>
      </c>
      <c r="R30" s="5">
        <f t="shared" si="14"/>
        <v>6520.4587499999998</v>
      </c>
      <c r="S30" s="5">
        <f t="shared" si="15"/>
        <v>51271.475249719995</v>
      </c>
    </row>
    <row r="31" spans="1:19" x14ac:dyDescent="0.35">
      <c r="A31">
        <f t="shared" si="7"/>
        <v>30</v>
      </c>
      <c r="B31" s="13">
        <f t="shared" si="0"/>
        <v>2029</v>
      </c>
      <c r="C31">
        <f t="shared" si="8"/>
        <v>6</v>
      </c>
      <c r="D31" t="b">
        <f t="shared" si="9"/>
        <v>0</v>
      </c>
      <c r="E31" s="7">
        <f t="shared" si="1"/>
        <v>152340.625</v>
      </c>
      <c r="F31" cm="1">
        <f t="array" ref="F31">IF($A31="", "", MRate(E31))</f>
        <v>0.39</v>
      </c>
      <c r="G31" s="7">
        <f t="shared" si="2"/>
        <v>11475.409836065573</v>
      </c>
      <c r="H31" s="7">
        <f>IF($A31="", "", _xlfn.XLOOKUP($B31, YearlyParamsA!$A:$A, YearlyParamsA!$E:$E, 0))</f>
        <v>0</v>
      </c>
      <c r="I31" s="5">
        <f t="shared" si="3"/>
        <v>18280.875</v>
      </c>
      <c r="J31" s="5">
        <f>IFERROR(IF($A31="", "", _xlfn.XLOOKUP($B31, YearlyParamsA!$A:$A, YearlyParamsA!$I:$I, 0)), 0)</f>
        <v>16719.125</v>
      </c>
      <c r="K31" s="5">
        <f t="shared" si="10"/>
        <v>16719.125</v>
      </c>
      <c r="L31" s="5">
        <f t="shared" si="6"/>
        <v>6520.4587499999998</v>
      </c>
      <c r="M31" s="5">
        <f t="shared" si="11"/>
        <v>11475.409836065573</v>
      </c>
      <c r="N31" s="5">
        <f t="shared" si="12"/>
        <v>0</v>
      </c>
      <c r="O31" s="7">
        <f t="shared" si="13"/>
        <v>0</v>
      </c>
      <c r="P31" s="7">
        <f t="shared" si="4"/>
        <v>0</v>
      </c>
      <c r="Q31" s="7">
        <f t="shared" si="5"/>
        <v>16719.125</v>
      </c>
      <c r="R31" s="5">
        <f t="shared" si="14"/>
        <v>6520.4587499999998</v>
      </c>
      <c r="S31" s="5">
        <f t="shared" si="15"/>
        <v>51271.475249719995</v>
      </c>
    </row>
    <row r="32" spans="1:19" x14ac:dyDescent="0.35">
      <c r="A32">
        <f t="shared" si="7"/>
        <v>31</v>
      </c>
      <c r="B32" s="13">
        <f t="shared" si="0"/>
        <v>2029</v>
      </c>
      <c r="C32">
        <f t="shared" si="8"/>
        <v>7</v>
      </c>
      <c r="D32" t="b">
        <f t="shared" si="9"/>
        <v>0</v>
      </c>
      <c r="E32" s="7">
        <f t="shared" si="1"/>
        <v>152340.625</v>
      </c>
      <c r="F32" cm="1">
        <f t="array" ref="F32">IF($A32="", "", MRate(E32))</f>
        <v>0.39</v>
      </c>
      <c r="G32" s="7">
        <f t="shared" si="2"/>
        <v>11475.409836065573</v>
      </c>
      <c r="H32" s="7">
        <f>IF($A32="", "", _xlfn.XLOOKUP($B32, YearlyParamsA!$A:$A, YearlyParamsA!$E:$E, 0))</f>
        <v>0</v>
      </c>
      <c r="I32" s="5">
        <f t="shared" si="3"/>
        <v>18280.875</v>
      </c>
      <c r="J32" s="5">
        <f>IFERROR(IF($A32="", "", _xlfn.XLOOKUP($B32, YearlyParamsA!$A:$A, YearlyParamsA!$I:$I, 0)), 0)</f>
        <v>16719.125</v>
      </c>
      <c r="K32" s="5">
        <f t="shared" si="10"/>
        <v>16719.125</v>
      </c>
      <c r="L32" s="5">
        <f t="shared" si="6"/>
        <v>6520.4587499999998</v>
      </c>
      <c r="M32" s="5">
        <f t="shared" si="11"/>
        <v>11475.409836065573</v>
      </c>
      <c r="N32" s="5">
        <f t="shared" si="12"/>
        <v>0</v>
      </c>
      <c r="O32" s="7">
        <f t="shared" si="13"/>
        <v>0</v>
      </c>
      <c r="P32" s="7">
        <f t="shared" si="4"/>
        <v>0</v>
      </c>
      <c r="Q32" s="7">
        <f t="shared" si="5"/>
        <v>16719.125</v>
      </c>
      <c r="R32" s="5">
        <f t="shared" si="14"/>
        <v>6520.4587499999998</v>
      </c>
      <c r="S32" s="5">
        <f t="shared" si="15"/>
        <v>51271.475249719995</v>
      </c>
    </row>
    <row r="33" spans="1:19" x14ac:dyDescent="0.35">
      <c r="A33">
        <f t="shared" si="7"/>
        <v>32</v>
      </c>
      <c r="B33" s="13">
        <f t="shared" si="0"/>
        <v>2029</v>
      </c>
      <c r="C33">
        <f t="shared" si="8"/>
        <v>8</v>
      </c>
      <c r="D33" t="b">
        <f t="shared" si="9"/>
        <v>0</v>
      </c>
      <c r="E33" s="7">
        <f t="shared" si="1"/>
        <v>152340.625</v>
      </c>
      <c r="F33" cm="1">
        <f t="array" ref="F33">IF($A33="", "", MRate(E33))</f>
        <v>0.39</v>
      </c>
      <c r="G33" s="7">
        <f t="shared" si="2"/>
        <v>11475.409836065573</v>
      </c>
      <c r="H33" s="7">
        <f>IF($A33="", "", _xlfn.XLOOKUP($B33, YearlyParamsA!$A:$A, YearlyParamsA!$E:$E, 0))</f>
        <v>0</v>
      </c>
      <c r="I33" s="5">
        <f t="shared" si="3"/>
        <v>18280.875</v>
      </c>
      <c r="J33" s="5">
        <f>IFERROR(IF($A33="", "", _xlfn.XLOOKUP($B33, YearlyParamsA!$A:$A, YearlyParamsA!$I:$I, 0)), 0)</f>
        <v>16719.125</v>
      </c>
      <c r="K33" s="5">
        <f t="shared" si="10"/>
        <v>16719.125</v>
      </c>
      <c r="L33" s="5">
        <f t="shared" si="6"/>
        <v>6520.4587499999998</v>
      </c>
      <c r="M33" s="5">
        <f t="shared" si="11"/>
        <v>11475.409836065573</v>
      </c>
      <c r="N33" s="5">
        <f t="shared" si="12"/>
        <v>0</v>
      </c>
      <c r="O33" s="7">
        <f t="shared" si="13"/>
        <v>0</v>
      </c>
      <c r="P33" s="7">
        <f t="shared" si="4"/>
        <v>0</v>
      </c>
      <c r="Q33" s="7">
        <f t="shared" si="5"/>
        <v>16719.125</v>
      </c>
      <c r="R33" s="5">
        <f t="shared" si="14"/>
        <v>6520.4587499999998</v>
      </c>
      <c r="S33" s="5">
        <f t="shared" si="15"/>
        <v>51271.475249719995</v>
      </c>
    </row>
    <row r="34" spans="1:19" x14ac:dyDescent="0.35">
      <c r="A34">
        <f t="shared" si="7"/>
        <v>33</v>
      </c>
      <c r="B34" s="13">
        <f t="shared" ref="B34:B65" si="16">IF(ROW()-1 &lt;= TotalPeriodsA, YEAR(StartYear) + INT((ROW()-2)/PPYA), "")</f>
        <v>2029</v>
      </c>
      <c r="C34">
        <f t="shared" ref="C34:C61" si="17">IF($A34="", "", MOD($A34-1, PPYA)+1)</f>
        <v>9</v>
      </c>
      <c r="D34" t="b">
        <f t="shared" ref="D34:D61" si="18">IF($A34="", "", C34=PPYA)</f>
        <v>0</v>
      </c>
      <c r="E34" s="7">
        <f t="shared" si="1"/>
        <v>152340.625</v>
      </c>
      <c r="F34" cm="1">
        <f t="array" ref="F34">IF($A34="", "", MRate(E34))</f>
        <v>0.39</v>
      </c>
      <c r="G34" s="7">
        <f t="shared" ref="G34:G61" si="19">IF($A34="", "", AfterTaxA/(1-F34))</f>
        <v>11475.409836065573</v>
      </c>
      <c r="H34" s="7">
        <f>IF($A34="", "", _xlfn.XLOOKUP($B34, YearlyParamsA!$A:$A, YearlyParamsA!$E:$E, 0))</f>
        <v>0</v>
      </c>
      <c r="I34" s="5">
        <f t="shared" ref="I34:I61" si="20">IF($A34="", "", E34*SGRate)</f>
        <v>18280.875</v>
      </c>
      <c r="J34" s="5">
        <f>IFERROR(IF($A34="", "", _xlfn.XLOOKUP($B34, YearlyParamsA!$A:$A, YearlyParamsA!$I:$I, 0)), 0)</f>
        <v>16719.125</v>
      </c>
      <c r="K34" s="5">
        <f t="shared" si="10"/>
        <v>16719.125</v>
      </c>
      <c r="L34" s="5">
        <f t="shared" si="6"/>
        <v>6520.4587499999998</v>
      </c>
      <c r="M34" s="5">
        <f t="shared" si="11"/>
        <v>11475.409836065573</v>
      </c>
      <c r="N34" s="5">
        <f t="shared" si="12"/>
        <v>0</v>
      </c>
      <c r="O34" s="7">
        <f t="shared" si="13"/>
        <v>0</v>
      </c>
      <c r="P34" s="7">
        <f t="shared" ref="P34:P65" si="21">IFERROR(IF($A34="", "", MIN(G34+L34/PPYA,N34)*F34 + MAX(0, MIN(G34+L34/PPYA,N34) - MIN(G34,N34))), 0)</f>
        <v>0</v>
      </c>
      <c r="Q34" s="7">
        <f t="shared" ref="Q34:Q65" si="22">IFERROR(IF($A34="", "", K34+MIN(G34+L34/PPYA,N34)), 0)</f>
        <v>16719.125</v>
      </c>
      <c r="R34" s="5">
        <f t="shared" si="14"/>
        <v>6520.4587499999998</v>
      </c>
      <c r="S34" s="5">
        <f t="shared" si="15"/>
        <v>51271.475249719995</v>
      </c>
    </row>
    <row r="35" spans="1:19" x14ac:dyDescent="0.35">
      <c r="A35">
        <f t="shared" si="7"/>
        <v>34</v>
      </c>
      <c r="B35" s="13">
        <f t="shared" si="16"/>
        <v>2029</v>
      </c>
      <c r="C35">
        <f t="shared" si="17"/>
        <v>10</v>
      </c>
      <c r="D35" t="b">
        <f t="shared" si="18"/>
        <v>0</v>
      </c>
      <c r="E35" s="7">
        <f t="shared" si="1"/>
        <v>152340.625</v>
      </c>
      <c r="F35" cm="1">
        <f t="array" ref="F35">IF($A35="", "", MRate(E35))</f>
        <v>0.39</v>
      </c>
      <c r="G35" s="7">
        <f t="shared" si="19"/>
        <v>11475.409836065573</v>
      </c>
      <c r="H35" s="7">
        <f>IF($A35="", "", _xlfn.XLOOKUP($B35, YearlyParamsA!$A:$A, YearlyParamsA!$E:$E, 0))</f>
        <v>0</v>
      </c>
      <c r="I35" s="5">
        <f t="shared" si="20"/>
        <v>18280.875</v>
      </c>
      <c r="J35" s="5">
        <f>IFERROR(IF($A35="", "", _xlfn.XLOOKUP($B35, YearlyParamsA!$A:$A, YearlyParamsA!$I:$I, 0)), 0)</f>
        <v>16719.125</v>
      </c>
      <c r="K35" s="5">
        <f t="shared" si="10"/>
        <v>16719.125</v>
      </c>
      <c r="L35" s="5">
        <f t="shared" ref="L35:L66" si="23">IFERROR(IF($A34="","",IF(B35&lt;&gt;B34, 0, L34 + MIN(G34+L34/PPYA, J34-K34)*F34)), 0)</f>
        <v>6520.4587499999998</v>
      </c>
      <c r="M35" s="5">
        <f t="shared" si="11"/>
        <v>11475.409836065573</v>
      </c>
      <c r="N35" s="5">
        <f t="shared" si="12"/>
        <v>0</v>
      </c>
      <c r="O35" s="7">
        <f t="shared" si="13"/>
        <v>0</v>
      </c>
      <c r="P35" s="7">
        <f t="shared" si="21"/>
        <v>0</v>
      </c>
      <c r="Q35" s="7">
        <f t="shared" si="22"/>
        <v>16719.125</v>
      </c>
      <c r="R35" s="5">
        <f t="shared" si="14"/>
        <v>6520.4587499999998</v>
      </c>
      <c r="S35" s="5">
        <f t="shared" si="15"/>
        <v>51271.475249719995</v>
      </c>
    </row>
    <row r="36" spans="1:19" x14ac:dyDescent="0.35">
      <c r="A36">
        <f t="shared" si="7"/>
        <v>35</v>
      </c>
      <c r="B36" s="13">
        <f t="shared" si="16"/>
        <v>2029</v>
      </c>
      <c r="C36">
        <f t="shared" si="17"/>
        <v>11</v>
      </c>
      <c r="D36" t="b">
        <f t="shared" si="18"/>
        <v>0</v>
      </c>
      <c r="E36" s="7">
        <f t="shared" si="1"/>
        <v>152340.625</v>
      </c>
      <c r="F36" cm="1">
        <f t="array" ref="F36">IF($A36="", "", MRate(E36))</f>
        <v>0.39</v>
      </c>
      <c r="G36" s="7">
        <f t="shared" si="19"/>
        <v>11475.409836065573</v>
      </c>
      <c r="H36" s="7">
        <f>IF($A36="", "", _xlfn.XLOOKUP($B36, YearlyParamsA!$A:$A, YearlyParamsA!$E:$E, 0))</f>
        <v>0</v>
      </c>
      <c r="I36" s="5">
        <f t="shared" si="20"/>
        <v>18280.875</v>
      </c>
      <c r="J36" s="5">
        <f>IFERROR(IF($A36="", "", _xlfn.XLOOKUP($B36, YearlyParamsA!$A:$A, YearlyParamsA!$I:$I, 0)), 0)</f>
        <v>16719.125</v>
      </c>
      <c r="K36" s="5">
        <f t="shared" si="10"/>
        <v>16719.125</v>
      </c>
      <c r="L36" s="5">
        <f t="shared" si="23"/>
        <v>6520.4587499999998</v>
      </c>
      <c r="M36" s="5">
        <f t="shared" si="11"/>
        <v>11475.409836065573</v>
      </c>
      <c r="N36" s="5">
        <f t="shared" si="12"/>
        <v>0</v>
      </c>
      <c r="O36" s="7">
        <f t="shared" si="13"/>
        <v>0</v>
      </c>
      <c r="P36" s="7">
        <f t="shared" si="21"/>
        <v>0</v>
      </c>
      <c r="Q36" s="7">
        <f t="shared" si="22"/>
        <v>16719.125</v>
      </c>
      <c r="R36" s="5">
        <f t="shared" si="14"/>
        <v>6520.4587499999998</v>
      </c>
      <c r="S36" s="5">
        <f t="shared" si="15"/>
        <v>51271.475249719995</v>
      </c>
    </row>
    <row r="37" spans="1:19" x14ac:dyDescent="0.35">
      <c r="A37">
        <f t="shared" si="7"/>
        <v>36</v>
      </c>
      <c r="B37" s="13">
        <f t="shared" si="16"/>
        <v>2029</v>
      </c>
      <c r="C37">
        <f t="shared" si="17"/>
        <v>12</v>
      </c>
      <c r="D37" t="b">
        <f t="shared" si="18"/>
        <v>1</v>
      </c>
      <c r="E37" s="7">
        <f t="shared" si="1"/>
        <v>152340.625</v>
      </c>
      <c r="F37" cm="1">
        <f t="array" ref="F37">IF($A37="", "", MRate(E37))</f>
        <v>0.39</v>
      </c>
      <c r="G37" s="7">
        <f t="shared" si="19"/>
        <v>11475.409836065573</v>
      </c>
      <c r="H37" s="7">
        <f>IF($A37="", "", _xlfn.XLOOKUP($B37, YearlyParamsA!$A:$A, YearlyParamsA!$E:$E, 0))</f>
        <v>0</v>
      </c>
      <c r="I37" s="5">
        <f t="shared" si="20"/>
        <v>18280.875</v>
      </c>
      <c r="J37" s="5">
        <f>IFERROR(IF($A37="", "", _xlfn.XLOOKUP($B37, YearlyParamsA!$A:$A, YearlyParamsA!$I:$I, 0)), 0)</f>
        <v>16719.125</v>
      </c>
      <c r="K37" s="5">
        <f t="shared" si="10"/>
        <v>16719.125</v>
      </c>
      <c r="L37" s="5">
        <f t="shared" si="23"/>
        <v>6520.4587499999998</v>
      </c>
      <c r="M37" s="5">
        <f t="shared" si="11"/>
        <v>11475.409836065573</v>
      </c>
      <c r="N37" s="5">
        <f t="shared" si="12"/>
        <v>0</v>
      </c>
      <c r="O37" s="7">
        <f t="shared" si="13"/>
        <v>0</v>
      </c>
      <c r="P37" s="7">
        <f t="shared" si="21"/>
        <v>0</v>
      </c>
      <c r="Q37" s="7">
        <f t="shared" si="22"/>
        <v>16719.125</v>
      </c>
      <c r="R37" s="5">
        <f t="shared" si="14"/>
        <v>6520.4587499999998</v>
      </c>
      <c r="S37" s="5">
        <f t="shared" si="15"/>
        <v>51271.475249719995</v>
      </c>
    </row>
    <row r="38" spans="1:19" x14ac:dyDescent="0.35">
      <c r="A38">
        <f t="shared" si="7"/>
        <v>37</v>
      </c>
      <c r="B38" s="13">
        <f t="shared" si="16"/>
        <v>2030</v>
      </c>
      <c r="C38">
        <f t="shared" si="17"/>
        <v>1</v>
      </c>
      <c r="D38" t="b">
        <f t="shared" si="18"/>
        <v>0</v>
      </c>
      <c r="E38" s="7">
        <f t="shared" si="1"/>
        <v>156149.14062499997</v>
      </c>
      <c r="F38" cm="1">
        <f t="array" ref="F38">IF($A38="", "", MRate(E38))</f>
        <v>0.39</v>
      </c>
      <c r="G38" s="7">
        <f t="shared" si="19"/>
        <v>11475.409836065573</v>
      </c>
      <c r="H38" s="7">
        <f>IF($A38="", "", _xlfn.XLOOKUP($B38, YearlyParamsA!$A:$A, YearlyParamsA!$E:$E, 0))</f>
        <v>0</v>
      </c>
      <c r="I38" s="5">
        <f t="shared" si="20"/>
        <v>18737.896874999995</v>
      </c>
      <c r="J38" s="5">
        <f>IFERROR(IF($A38="", "", _xlfn.XLOOKUP($B38, YearlyParamsA!$A:$A, YearlyParamsA!$I:$I, 0)), 0)</f>
        <v>16262.103125000001</v>
      </c>
      <c r="K38" s="5">
        <f t="shared" si="10"/>
        <v>0</v>
      </c>
      <c r="L38" s="5">
        <f t="shared" si="23"/>
        <v>0</v>
      </c>
      <c r="M38" s="5">
        <f t="shared" si="11"/>
        <v>11475.409836065573</v>
      </c>
      <c r="N38" s="5">
        <f t="shared" si="12"/>
        <v>16262.103125000001</v>
      </c>
      <c r="O38" s="7">
        <f t="shared" si="13"/>
        <v>11475.409836065573</v>
      </c>
      <c r="P38" s="7">
        <f t="shared" si="21"/>
        <v>4475.4098360655735</v>
      </c>
      <c r="Q38" s="7">
        <f t="shared" si="22"/>
        <v>11475.409836065573</v>
      </c>
      <c r="R38" s="5">
        <f t="shared" si="14"/>
        <v>4475.4098360655735</v>
      </c>
      <c r="S38" s="5">
        <f t="shared" si="15"/>
        <v>55746.885085785572</v>
      </c>
    </row>
    <row r="39" spans="1:19" x14ac:dyDescent="0.35">
      <c r="A39">
        <f t="shared" si="7"/>
        <v>38</v>
      </c>
      <c r="B39" s="13">
        <f t="shared" si="16"/>
        <v>2030</v>
      </c>
      <c r="C39">
        <f t="shared" si="17"/>
        <v>2</v>
      </c>
      <c r="D39" t="b">
        <f t="shared" si="18"/>
        <v>0</v>
      </c>
      <c r="E39" s="7">
        <f t="shared" si="1"/>
        <v>156149.14062499997</v>
      </c>
      <c r="F39" cm="1">
        <f t="array" ref="F39">IF($A39="", "", MRate(E39))</f>
        <v>0.39</v>
      </c>
      <c r="G39" s="7">
        <f t="shared" si="19"/>
        <v>11475.409836065573</v>
      </c>
      <c r="H39" s="7">
        <f>IF($A39="", "", _xlfn.XLOOKUP($B39, YearlyParamsA!$A:$A, YearlyParamsA!$E:$E, 0))</f>
        <v>0</v>
      </c>
      <c r="I39" s="5">
        <f t="shared" si="20"/>
        <v>18737.896874999995</v>
      </c>
      <c r="J39" s="5">
        <f>IFERROR(IF($A39="", "", _xlfn.XLOOKUP($B39, YearlyParamsA!$A:$A, YearlyParamsA!$I:$I, 0)), 0)</f>
        <v>16262.103125000001</v>
      </c>
      <c r="K39" s="5">
        <f t="shared" si="10"/>
        <v>11475.409836065573</v>
      </c>
      <c r="L39" s="5">
        <f t="shared" si="23"/>
        <v>4475.4098360655735</v>
      </c>
      <c r="M39" s="5">
        <f t="shared" si="11"/>
        <v>11475.409836065573</v>
      </c>
      <c r="N39" s="5">
        <f t="shared" si="12"/>
        <v>4786.693288934428</v>
      </c>
      <c r="O39" s="7">
        <f t="shared" si="13"/>
        <v>4786.693288934428</v>
      </c>
      <c r="P39" s="7">
        <f t="shared" si="21"/>
        <v>1866.8103826844269</v>
      </c>
      <c r="Q39" s="7">
        <f t="shared" si="22"/>
        <v>16262.103125000001</v>
      </c>
      <c r="R39" s="5">
        <f t="shared" si="14"/>
        <v>6342.2202187500006</v>
      </c>
      <c r="S39" s="5">
        <f t="shared" si="15"/>
        <v>57613.695468469996</v>
      </c>
    </row>
    <row r="40" spans="1:19" x14ac:dyDescent="0.35">
      <c r="A40">
        <f t="shared" si="7"/>
        <v>39</v>
      </c>
      <c r="B40" s="13">
        <f t="shared" si="16"/>
        <v>2030</v>
      </c>
      <c r="C40">
        <f t="shared" si="17"/>
        <v>3</v>
      </c>
      <c r="D40" t="b">
        <f t="shared" si="18"/>
        <v>0</v>
      </c>
      <c r="E40" s="7">
        <f t="shared" si="1"/>
        <v>156149.14062499997</v>
      </c>
      <c r="F40" cm="1">
        <f t="array" ref="F40">IF($A40="", "", MRate(E40))</f>
        <v>0.39</v>
      </c>
      <c r="G40" s="7">
        <f t="shared" si="19"/>
        <v>11475.409836065573</v>
      </c>
      <c r="H40" s="7">
        <f>IF($A40="", "", _xlfn.XLOOKUP($B40, YearlyParamsA!$A:$A, YearlyParamsA!$E:$E, 0))</f>
        <v>0</v>
      </c>
      <c r="I40" s="5">
        <f t="shared" si="20"/>
        <v>18737.896874999995</v>
      </c>
      <c r="J40" s="5">
        <f>IFERROR(IF($A40="", "", _xlfn.XLOOKUP($B40, YearlyParamsA!$A:$A, YearlyParamsA!$I:$I, 0)), 0)</f>
        <v>16262.103125000001</v>
      </c>
      <c r="K40" s="5">
        <f t="shared" si="10"/>
        <v>16262.103125000001</v>
      </c>
      <c r="L40" s="5">
        <f t="shared" si="23"/>
        <v>6342.2202187500006</v>
      </c>
      <c r="M40" s="5">
        <f t="shared" si="11"/>
        <v>11475.409836065573</v>
      </c>
      <c r="N40" s="5">
        <f t="shared" si="12"/>
        <v>0</v>
      </c>
      <c r="O40" s="7">
        <f t="shared" si="13"/>
        <v>0</v>
      </c>
      <c r="P40" s="7">
        <f t="shared" si="21"/>
        <v>0</v>
      </c>
      <c r="Q40" s="7">
        <f t="shared" si="22"/>
        <v>16262.103125000001</v>
      </c>
      <c r="R40" s="5">
        <f t="shared" si="14"/>
        <v>6342.2202187500006</v>
      </c>
      <c r="S40" s="5">
        <f t="shared" si="15"/>
        <v>57613.695468469996</v>
      </c>
    </row>
    <row r="41" spans="1:19" x14ac:dyDescent="0.35">
      <c r="A41">
        <f t="shared" si="7"/>
        <v>40</v>
      </c>
      <c r="B41" s="13">
        <f t="shared" si="16"/>
        <v>2030</v>
      </c>
      <c r="C41">
        <f t="shared" si="17"/>
        <v>4</v>
      </c>
      <c r="D41" t="b">
        <f t="shared" si="18"/>
        <v>0</v>
      </c>
      <c r="E41" s="7">
        <f t="shared" si="1"/>
        <v>156149.14062499997</v>
      </c>
      <c r="F41" cm="1">
        <f t="array" ref="F41">IF($A41="", "", MRate(E41))</f>
        <v>0.39</v>
      </c>
      <c r="G41" s="7">
        <f t="shared" si="19"/>
        <v>11475.409836065573</v>
      </c>
      <c r="H41" s="7">
        <f>IF($A41="", "", _xlfn.XLOOKUP($B41, YearlyParamsA!$A:$A, YearlyParamsA!$E:$E, 0))</f>
        <v>0</v>
      </c>
      <c r="I41" s="5">
        <f t="shared" si="20"/>
        <v>18737.896874999995</v>
      </c>
      <c r="J41" s="5">
        <f>IFERROR(IF($A41="", "", _xlfn.XLOOKUP($B41, YearlyParamsA!$A:$A, YearlyParamsA!$I:$I, 0)), 0)</f>
        <v>16262.103125000001</v>
      </c>
      <c r="K41" s="5">
        <f t="shared" si="10"/>
        <v>16262.103125000001</v>
      </c>
      <c r="L41" s="5">
        <f t="shared" si="23"/>
        <v>6342.2202187500006</v>
      </c>
      <c r="M41" s="5">
        <f t="shared" si="11"/>
        <v>11475.409836065573</v>
      </c>
      <c r="N41" s="5">
        <f t="shared" si="12"/>
        <v>0</v>
      </c>
      <c r="O41" s="7">
        <f t="shared" si="13"/>
        <v>0</v>
      </c>
      <c r="P41" s="7">
        <f t="shared" si="21"/>
        <v>0</v>
      </c>
      <c r="Q41" s="7">
        <f t="shared" si="22"/>
        <v>16262.103125000001</v>
      </c>
      <c r="R41" s="5">
        <f t="shared" si="14"/>
        <v>6342.2202187500006</v>
      </c>
      <c r="S41" s="5">
        <f t="shared" si="15"/>
        <v>57613.695468469996</v>
      </c>
    </row>
    <row r="42" spans="1:19" x14ac:dyDescent="0.35">
      <c r="A42">
        <f t="shared" si="7"/>
        <v>41</v>
      </c>
      <c r="B42" s="13">
        <f t="shared" si="16"/>
        <v>2030</v>
      </c>
      <c r="C42">
        <f t="shared" si="17"/>
        <v>5</v>
      </c>
      <c r="D42" t="b">
        <f t="shared" si="18"/>
        <v>0</v>
      </c>
      <c r="E42" s="7">
        <f t="shared" si="1"/>
        <v>156149.14062499997</v>
      </c>
      <c r="F42" cm="1">
        <f t="array" ref="F42">IF($A42="", "", MRate(E42))</f>
        <v>0.39</v>
      </c>
      <c r="G42" s="7">
        <f t="shared" si="19"/>
        <v>11475.409836065573</v>
      </c>
      <c r="H42" s="7">
        <f>IF($A42="", "", _xlfn.XLOOKUP($B42, YearlyParamsA!$A:$A, YearlyParamsA!$E:$E, 0))</f>
        <v>0</v>
      </c>
      <c r="I42" s="5">
        <f t="shared" si="20"/>
        <v>18737.896874999995</v>
      </c>
      <c r="J42" s="5">
        <f>IFERROR(IF($A42="", "", _xlfn.XLOOKUP($B42, YearlyParamsA!$A:$A, YearlyParamsA!$I:$I, 0)), 0)</f>
        <v>16262.103125000001</v>
      </c>
      <c r="K42" s="5">
        <f t="shared" si="10"/>
        <v>16262.103125000001</v>
      </c>
      <c r="L42" s="5">
        <f t="shared" si="23"/>
        <v>6342.2202187500006</v>
      </c>
      <c r="M42" s="5">
        <f t="shared" si="11"/>
        <v>11475.409836065573</v>
      </c>
      <c r="N42" s="5">
        <f t="shared" si="12"/>
        <v>0</v>
      </c>
      <c r="O42" s="7">
        <f t="shared" si="13"/>
        <v>0</v>
      </c>
      <c r="P42" s="7">
        <f t="shared" si="21"/>
        <v>0</v>
      </c>
      <c r="Q42" s="7">
        <f t="shared" si="22"/>
        <v>16262.103125000001</v>
      </c>
      <c r="R42" s="5">
        <f t="shared" si="14"/>
        <v>6342.2202187500006</v>
      </c>
      <c r="S42" s="5">
        <f t="shared" si="15"/>
        <v>57613.695468469996</v>
      </c>
    </row>
    <row r="43" spans="1:19" x14ac:dyDescent="0.35">
      <c r="A43">
        <f t="shared" si="7"/>
        <v>42</v>
      </c>
      <c r="B43" s="13">
        <f t="shared" si="16"/>
        <v>2030</v>
      </c>
      <c r="C43">
        <f t="shared" si="17"/>
        <v>6</v>
      </c>
      <c r="D43" t="b">
        <f t="shared" si="18"/>
        <v>0</v>
      </c>
      <c r="E43" s="7">
        <f t="shared" si="1"/>
        <v>156149.14062499997</v>
      </c>
      <c r="F43" cm="1">
        <f t="array" ref="F43">IF($A43="", "", MRate(E43))</f>
        <v>0.39</v>
      </c>
      <c r="G43" s="7">
        <f t="shared" si="19"/>
        <v>11475.409836065573</v>
      </c>
      <c r="H43" s="7">
        <f>IF($A43="", "", _xlfn.XLOOKUP($B43, YearlyParamsA!$A:$A, YearlyParamsA!$E:$E, 0))</f>
        <v>0</v>
      </c>
      <c r="I43" s="5">
        <f t="shared" si="20"/>
        <v>18737.896874999995</v>
      </c>
      <c r="J43" s="5">
        <f>IFERROR(IF($A43="", "", _xlfn.XLOOKUP($B43, YearlyParamsA!$A:$A, YearlyParamsA!$I:$I, 0)), 0)</f>
        <v>16262.103125000001</v>
      </c>
      <c r="K43" s="5">
        <f t="shared" si="10"/>
        <v>16262.103125000001</v>
      </c>
      <c r="L43" s="5">
        <f t="shared" si="23"/>
        <v>6342.2202187500006</v>
      </c>
      <c r="M43" s="5">
        <f t="shared" si="11"/>
        <v>11475.409836065573</v>
      </c>
      <c r="N43" s="5">
        <f t="shared" si="12"/>
        <v>0</v>
      </c>
      <c r="O43" s="7">
        <f t="shared" si="13"/>
        <v>0</v>
      </c>
      <c r="P43" s="7">
        <f t="shared" si="21"/>
        <v>0</v>
      </c>
      <c r="Q43" s="7">
        <f t="shared" si="22"/>
        <v>16262.103125000001</v>
      </c>
      <c r="R43" s="5">
        <f t="shared" si="14"/>
        <v>6342.2202187500006</v>
      </c>
      <c r="S43" s="5">
        <f t="shared" si="15"/>
        <v>57613.695468469996</v>
      </c>
    </row>
    <row r="44" spans="1:19" x14ac:dyDescent="0.35">
      <c r="A44">
        <f t="shared" si="7"/>
        <v>43</v>
      </c>
      <c r="B44" s="13">
        <f t="shared" si="16"/>
        <v>2030</v>
      </c>
      <c r="C44">
        <f t="shared" si="17"/>
        <v>7</v>
      </c>
      <c r="D44" t="b">
        <f t="shared" si="18"/>
        <v>0</v>
      </c>
      <c r="E44" s="7">
        <f t="shared" si="1"/>
        <v>156149.14062499997</v>
      </c>
      <c r="F44" cm="1">
        <f t="array" ref="F44">IF($A44="", "", MRate(E44))</f>
        <v>0.39</v>
      </c>
      <c r="G44" s="7">
        <f t="shared" si="19"/>
        <v>11475.409836065573</v>
      </c>
      <c r="H44" s="7">
        <f>IF($A44="", "", _xlfn.XLOOKUP($B44, YearlyParamsA!$A:$A, YearlyParamsA!$E:$E, 0))</f>
        <v>0</v>
      </c>
      <c r="I44" s="5">
        <f t="shared" si="20"/>
        <v>18737.896874999995</v>
      </c>
      <c r="J44" s="5">
        <f>IFERROR(IF($A44="", "", _xlfn.XLOOKUP($B44, YearlyParamsA!$A:$A, YearlyParamsA!$I:$I, 0)), 0)</f>
        <v>16262.103125000001</v>
      </c>
      <c r="K44" s="5">
        <f t="shared" si="10"/>
        <v>16262.103125000001</v>
      </c>
      <c r="L44" s="5">
        <f t="shared" si="23"/>
        <v>6342.2202187500006</v>
      </c>
      <c r="M44" s="5">
        <f t="shared" si="11"/>
        <v>11475.409836065573</v>
      </c>
      <c r="N44" s="5">
        <f t="shared" si="12"/>
        <v>0</v>
      </c>
      <c r="O44" s="7">
        <f t="shared" si="13"/>
        <v>0</v>
      </c>
      <c r="P44" s="7">
        <f t="shared" si="21"/>
        <v>0</v>
      </c>
      <c r="Q44" s="7">
        <f t="shared" si="22"/>
        <v>16262.103125000001</v>
      </c>
      <c r="R44" s="5">
        <f t="shared" si="14"/>
        <v>6342.2202187500006</v>
      </c>
      <c r="S44" s="5">
        <f t="shared" si="15"/>
        <v>57613.695468469996</v>
      </c>
    </row>
    <row r="45" spans="1:19" x14ac:dyDescent="0.35">
      <c r="A45">
        <f t="shared" si="7"/>
        <v>44</v>
      </c>
      <c r="B45" s="13">
        <f t="shared" si="16"/>
        <v>2030</v>
      </c>
      <c r="C45">
        <f t="shared" si="17"/>
        <v>8</v>
      </c>
      <c r="D45" t="b">
        <f t="shared" si="18"/>
        <v>0</v>
      </c>
      <c r="E45" s="7">
        <f t="shared" si="1"/>
        <v>156149.14062499997</v>
      </c>
      <c r="F45" cm="1">
        <f t="array" ref="F45">IF($A45="", "", MRate(E45))</f>
        <v>0.39</v>
      </c>
      <c r="G45" s="7">
        <f t="shared" si="19"/>
        <v>11475.409836065573</v>
      </c>
      <c r="H45" s="7">
        <f>IF($A45="", "", _xlfn.XLOOKUP($B45, YearlyParamsA!$A:$A, YearlyParamsA!$E:$E, 0))</f>
        <v>0</v>
      </c>
      <c r="I45" s="5">
        <f t="shared" si="20"/>
        <v>18737.896874999995</v>
      </c>
      <c r="J45" s="5">
        <f>IFERROR(IF($A45="", "", _xlfn.XLOOKUP($B45, YearlyParamsA!$A:$A, YearlyParamsA!$I:$I, 0)), 0)</f>
        <v>16262.103125000001</v>
      </c>
      <c r="K45" s="5">
        <f t="shared" si="10"/>
        <v>16262.103125000001</v>
      </c>
      <c r="L45" s="5">
        <f t="shared" si="23"/>
        <v>6342.2202187500006</v>
      </c>
      <c r="M45" s="5">
        <f t="shared" si="11"/>
        <v>11475.409836065573</v>
      </c>
      <c r="N45" s="5">
        <f t="shared" si="12"/>
        <v>0</v>
      </c>
      <c r="O45" s="7">
        <f t="shared" si="13"/>
        <v>0</v>
      </c>
      <c r="P45" s="7">
        <f t="shared" si="21"/>
        <v>0</v>
      </c>
      <c r="Q45" s="7">
        <f t="shared" si="22"/>
        <v>16262.103125000001</v>
      </c>
      <c r="R45" s="5">
        <f t="shared" si="14"/>
        <v>6342.2202187500006</v>
      </c>
      <c r="S45" s="5">
        <f t="shared" si="15"/>
        <v>57613.695468469996</v>
      </c>
    </row>
    <row r="46" spans="1:19" x14ac:dyDescent="0.35">
      <c r="A46">
        <f t="shared" si="7"/>
        <v>45</v>
      </c>
      <c r="B46" s="13">
        <f t="shared" si="16"/>
        <v>2030</v>
      </c>
      <c r="C46">
        <f t="shared" si="17"/>
        <v>9</v>
      </c>
      <c r="D46" t="b">
        <f t="shared" si="18"/>
        <v>0</v>
      </c>
      <c r="E46" s="7">
        <f t="shared" si="1"/>
        <v>156149.14062499997</v>
      </c>
      <c r="F46" cm="1">
        <f t="array" ref="F46">IF($A46="", "", MRate(E46))</f>
        <v>0.39</v>
      </c>
      <c r="G46" s="7">
        <f t="shared" si="19"/>
        <v>11475.409836065573</v>
      </c>
      <c r="H46" s="7">
        <f>IF($A46="", "", _xlfn.XLOOKUP($B46, YearlyParamsA!$A:$A, YearlyParamsA!$E:$E, 0))</f>
        <v>0</v>
      </c>
      <c r="I46" s="5">
        <f t="shared" si="20"/>
        <v>18737.896874999995</v>
      </c>
      <c r="J46" s="5">
        <f>IFERROR(IF($A46="", "", _xlfn.XLOOKUP($B46, YearlyParamsA!$A:$A, YearlyParamsA!$I:$I, 0)), 0)</f>
        <v>16262.103125000001</v>
      </c>
      <c r="K46" s="5">
        <f t="shared" si="10"/>
        <v>16262.103125000001</v>
      </c>
      <c r="L46" s="5">
        <f t="shared" si="23"/>
        <v>6342.2202187500006</v>
      </c>
      <c r="M46" s="5">
        <f t="shared" si="11"/>
        <v>11475.409836065573</v>
      </c>
      <c r="N46" s="5">
        <f t="shared" si="12"/>
        <v>0</v>
      </c>
      <c r="O46" s="7">
        <f t="shared" si="13"/>
        <v>0</v>
      </c>
      <c r="P46" s="7">
        <f t="shared" si="21"/>
        <v>0</v>
      </c>
      <c r="Q46" s="7">
        <f t="shared" si="22"/>
        <v>16262.103125000001</v>
      </c>
      <c r="R46" s="5">
        <f t="shared" si="14"/>
        <v>6342.2202187500006</v>
      </c>
      <c r="S46" s="5">
        <f t="shared" si="15"/>
        <v>57613.695468469996</v>
      </c>
    </row>
    <row r="47" spans="1:19" x14ac:dyDescent="0.35">
      <c r="A47">
        <f t="shared" si="7"/>
        <v>46</v>
      </c>
      <c r="B47" s="13">
        <f t="shared" si="16"/>
        <v>2030</v>
      </c>
      <c r="C47">
        <f t="shared" si="17"/>
        <v>10</v>
      </c>
      <c r="D47" t="b">
        <f t="shared" si="18"/>
        <v>0</v>
      </c>
      <c r="E47" s="7">
        <f t="shared" si="1"/>
        <v>156149.14062499997</v>
      </c>
      <c r="F47" cm="1">
        <f t="array" ref="F47">IF($A47="", "", MRate(E47))</f>
        <v>0.39</v>
      </c>
      <c r="G47" s="7">
        <f t="shared" si="19"/>
        <v>11475.409836065573</v>
      </c>
      <c r="H47" s="7">
        <f>IF($A47="", "", _xlfn.XLOOKUP($B47, YearlyParamsA!$A:$A, YearlyParamsA!$E:$E, 0))</f>
        <v>0</v>
      </c>
      <c r="I47" s="5">
        <f t="shared" si="20"/>
        <v>18737.896874999995</v>
      </c>
      <c r="J47" s="5">
        <f>IFERROR(IF($A47="", "", _xlfn.XLOOKUP($B47, YearlyParamsA!$A:$A, YearlyParamsA!$I:$I, 0)), 0)</f>
        <v>16262.103125000001</v>
      </c>
      <c r="K47" s="5">
        <f t="shared" si="10"/>
        <v>16262.103125000001</v>
      </c>
      <c r="L47" s="5">
        <f t="shared" si="23"/>
        <v>6342.2202187500006</v>
      </c>
      <c r="M47" s="5">
        <f t="shared" si="11"/>
        <v>11475.409836065573</v>
      </c>
      <c r="N47" s="5">
        <f t="shared" si="12"/>
        <v>0</v>
      </c>
      <c r="O47" s="7">
        <f t="shared" si="13"/>
        <v>0</v>
      </c>
      <c r="P47" s="7">
        <f t="shared" si="21"/>
        <v>0</v>
      </c>
      <c r="Q47" s="7">
        <f t="shared" si="22"/>
        <v>16262.103125000001</v>
      </c>
      <c r="R47" s="5">
        <f t="shared" si="14"/>
        <v>6342.2202187500006</v>
      </c>
      <c r="S47" s="5">
        <f t="shared" si="15"/>
        <v>57613.695468469996</v>
      </c>
    </row>
    <row r="48" spans="1:19" x14ac:dyDescent="0.35">
      <c r="A48">
        <f t="shared" si="7"/>
        <v>47</v>
      </c>
      <c r="B48" s="13">
        <f t="shared" si="16"/>
        <v>2030</v>
      </c>
      <c r="C48">
        <f t="shared" si="17"/>
        <v>11</v>
      </c>
      <c r="D48" t="b">
        <f t="shared" si="18"/>
        <v>0</v>
      </c>
      <c r="E48" s="7">
        <f t="shared" si="1"/>
        <v>156149.14062499997</v>
      </c>
      <c r="F48" cm="1">
        <f t="array" ref="F48">IF($A48="", "", MRate(E48))</f>
        <v>0.39</v>
      </c>
      <c r="G48" s="7">
        <f t="shared" si="19"/>
        <v>11475.409836065573</v>
      </c>
      <c r="H48" s="7">
        <f>IF($A48="", "", _xlfn.XLOOKUP($B48, YearlyParamsA!$A:$A, YearlyParamsA!$E:$E, 0))</f>
        <v>0</v>
      </c>
      <c r="I48" s="5">
        <f t="shared" si="20"/>
        <v>18737.896874999995</v>
      </c>
      <c r="J48" s="5">
        <f>IFERROR(IF($A48="", "", _xlfn.XLOOKUP($B48, YearlyParamsA!$A:$A, YearlyParamsA!$I:$I, 0)), 0)</f>
        <v>16262.103125000001</v>
      </c>
      <c r="K48" s="5">
        <f t="shared" si="10"/>
        <v>16262.103125000001</v>
      </c>
      <c r="L48" s="5">
        <f t="shared" si="23"/>
        <v>6342.2202187500006</v>
      </c>
      <c r="M48" s="5">
        <f t="shared" si="11"/>
        <v>11475.409836065573</v>
      </c>
      <c r="N48" s="5">
        <f t="shared" si="12"/>
        <v>0</v>
      </c>
      <c r="O48" s="7">
        <f t="shared" si="13"/>
        <v>0</v>
      </c>
      <c r="P48" s="7">
        <f t="shared" si="21"/>
        <v>0</v>
      </c>
      <c r="Q48" s="7">
        <f t="shared" si="22"/>
        <v>16262.103125000001</v>
      </c>
      <c r="R48" s="5">
        <f t="shared" si="14"/>
        <v>6342.2202187500006</v>
      </c>
      <c r="S48" s="5">
        <f t="shared" si="15"/>
        <v>57613.695468469996</v>
      </c>
    </row>
    <row r="49" spans="1:19" x14ac:dyDescent="0.35">
      <c r="A49">
        <f t="shared" si="7"/>
        <v>48</v>
      </c>
      <c r="B49" s="13">
        <f t="shared" si="16"/>
        <v>2030</v>
      </c>
      <c r="C49">
        <f t="shared" si="17"/>
        <v>12</v>
      </c>
      <c r="D49" t="b">
        <f t="shared" si="18"/>
        <v>1</v>
      </c>
      <c r="E49" s="7">
        <f t="shared" si="1"/>
        <v>156149.14062499997</v>
      </c>
      <c r="F49" cm="1">
        <f t="array" ref="F49">IF($A49="", "", MRate(E49))</f>
        <v>0.39</v>
      </c>
      <c r="G49" s="7">
        <f t="shared" si="19"/>
        <v>11475.409836065573</v>
      </c>
      <c r="H49" s="7">
        <f>IF($A49="", "", _xlfn.XLOOKUP($B49, YearlyParamsA!$A:$A, YearlyParamsA!$E:$E, 0))</f>
        <v>0</v>
      </c>
      <c r="I49" s="5">
        <f t="shared" si="20"/>
        <v>18737.896874999995</v>
      </c>
      <c r="J49" s="5">
        <f>IFERROR(IF($A49="", "", _xlfn.XLOOKUP($B49, YearlyParamsA!$A:$A, YearlyParamsA!$I:$I, 0)), 0)</f>
        <v>16262.103125000001</v>
      </c>
      <c r="K49" s="5">
        <f t="shared" si="10"/>
        <v>16262.103125000001</v>
      </c>
      <c r="L49" s="5">
        <f t="shared" si="23"/>
        <v>6342.2202187500006</v>
      </c>
      <c r="M49" s="5">
        <f t="shared" si="11"/>
        <v>11475.409836065573</v>
      </c>
      <c r="N49" s="5">
        <f t="shared" si="12"/>
        <v>0</v>
      </c>
      <c r="O49" s="7">
        <f t="shared" si="13"/>
        <v>0</v>
      </c>
      <c r="P49" s="7">
        <f t="shared" si="21"/>
        <v>0</v>
      </c>
      <c r="Q49" s="7">
        <f t="shared" si="22"/>
        <v>16262.103125000001</v>
      </c>
      <c r="R49" s="5">
        <f t="shared" si="14"/>
        <v>6342.2202187500006</v>
      </c>
      <c r="S49" s="5">
        <f t="shared" si="15"/>
        <v>57613.695468469996</v>
      </c>
    </row>
    <row r="50" spans="1:19" x14ac:dyDescent="0.35">
      <c r="A50">
        <f t="shared" si="7"/>
        <v>49</v>
      </c>
      <c r="B50" s="13">
        <f t="shared" si="16"/>
        <v>2031</v>
      </c>
      <c r="C50">
        <f t="shared" si="17"/>
        <v>1</v>
      </c>
      <c r="D50" t="b">
        <f t="shared" si="18"/>
        <v>0</v>
      </c>
      <c r="E50" s="7">
        <f t="shared" si="1"/>
        <v>160052.86914062497</v>
      </c>
      <c r="F50" cm="1">
        <f t="array" ref="F50">IF($A50="", "", MRate(E50))</f>
        <v>0.39</v>
      </c>
      <c r="G50" s="7">
        <f t="shared" si="19"/>
        <v>11475.409836065573</v>
      </c>
      <c r="H50" s="7">
        <f>IF($A50="", "", _xlfn.XLOOKUP($B50, YearlyParamsA!$A:$A, YearlyParamsA!$E:$E, 0))</f>
        <v>0</v>
      </c>
      <c r="I50" s="5">
        <f t="shared" si="20"/>
        <v>19206.344296874995</v>
      </c>
      <c r="J50" s="5">
        <f>IFERROR(IF($A50="", "", _xlfn.XLOOKUP($B50, YearlyParamsA!$A:$A, YearlyParamsA!$I:$I, 0)), 0)</f>
        <v>18293.655703125001</v>
      </c>
      <c r="K50" s="5">
        <f t="shared" si="10"/>
        <v>0</v>
      </c>
      <c r="L50" s="5">
        <f t="shared" si="23"/>
        <v>0</v>
      </c>
      <c r="M50" s="5">
        <f t="shared" si="11"/>
        <v>11475.409836065573</v>
      </c>
      <c r="N50" s="5">
        <f t="shared" si="12"/>
        <v>18293.655703125001</v>
      </c>
      <c r="O50" s="7">
        <f t="shared" si="13"/>
        <v>11475.409836065573</v>
      </c>
      <c r="P50" s="7">
        <f t="shared" si="21"/>
        <v>4475.4098360655735</v>
      </c>
      <c r="Q50" s="7">
        <f t="shared" si="22"/>
        <v>11475.409836065573</v>
      </c>
      <c r="R50" s="5">
        <f t="shared" si="14"/>
        <v>4475.4098360655735</v>
      </c>
      <c r="S50" s="5">
        <f t="shared" si="15"/>
        <v>62089.105304535566</v>
      </c>
    </row>
    <row r="51" spans="1:19" x14ac:dyDescent="0.35">
      <c r="A51">
        <f t="shared" si="7"/>
        <v>50</v>
      </c>
      <c r="B51" s="13">
        <f t="shared" si="16"/>
        <v>2031</v>
      </c>
      <c r="C51">
        <f t="shared" si="17"/>
        <v>2</v>
      </c>
      <c r="D51" t="b">
        <f t="shared" si="18"/>
        <v>0</v>
      </c>
      <c r="E51" s="7">
        <f t="shared" si="1"/>
        <v>160052.86914062497</v>
      </c>
      <c r="F51" cm="1">
        <f t="array" ref="F51">IF($A51="", "", MRate(E51))</f>
        <v>0.39</v>
      </c>
      <c r="G51" s="7">
        <f t="shared" si="19"/>
        <v>11475.409836065573</v>
      </c>
      <c r="H51" s="7">
        <f>IF($A51="", "", _xlfn.XLOOKUP($B51, YearlyParamsA!$A:$A, YearlyParamsA!$E:$E, 0))</f>
        <v>0</v>
      </c>
      <c r="I51" s="5">
        <f t="shared" si="20"/>
        <v>19206.344296874995</v>
      </c>
      <c r="J51" s="5">
        <f>IFERROR(IF($A51="", "", _xlfn.XLOOKUP($B51, YearlyParamsA!$A:$A, YearlyParamsA!$I:$I, 0)), 0)</f>
        <v>18293.655703125001</v>
      </c>
      <c r="K51" s="5">
        <f t="shared" si="10"/>
        <v>11475.409836065573</v>
      </c>
      <c r="L51" s="5">
        <f t="shared" si="23"/>
        <v>4475.4098360655735</v>
      </c>
      <c r="M51" s="5">
        <f t="shared" si="11"/>
        <v>11475.409836065573</v>
      </c>
      <c r="N51" s="5">
        <f t="shared" si="12"/>
        <v>6818.2458670594278</v>
      </c>
      <c r="O51" s="7">
        <f t="shared" si="13"/>
        <v>6818.2458670594278</v>
      </c>
      <c r="P51" s="7">
        <f t="shared" si="21"/>
        <v>2659.1158881531769</v>
      </c>
      <c r="Q51" s="7">
        <f t="shared" si="22"/>
        <v>18293.655703125001</v>
      </c>
      <c r="R51" s="5">
        <f t="shared" si="14"/>
        <v>7134.5257242187508</v>
      </c>
      <c r="S51" s="5">
        <f t="shared" si="15"/>
        <v>64748.221192688739</v>
      </c>
    </row>
    <row r="52" spans="1:19" x14ac:dyDescent="0.35">
      <c r="A52">
        <f t="shared" si="7"/>
        <v>51</v>
      </c>
      <c r="B52" s="13">
        <f t="shared" si="16"/>
        <v>2031</v>
      </c>
      <c r="C52">
        <f t="shared" si="17"/>
        <v>3</v>
      </c>
      <c r="D52" t="b">
        <f t="shared" si="18"/>
        <v>0</v>
      </c>
      <c r="E52" s="7">
        <f t="shared" si="1"/>
        <v>160052.86914062497</v>
      </c>
      <c r="F52" cm="1">
        <f t="array" ref="F52">IF($A52="", "", MRate(E52))</f>
        <v>0.39</v>
      </c>
      <c r="G52" s="7">
        <f t="shared" si="19"/>
        <v>11475.409836065573</v>
      </c>
      <c r="H52" s="7">
        <f>IF($A52="", "", _xlfn.XLOOKUP($B52, YearlyParamsA!$A:$A, YearlyParamsA!$E:$E, 0))</f>
        <v>0</v>
      </c>
      <c r="I52" s="5">
        <f t="shared" si="20"/>
        <v>19206.344296874995</v>
      </c>
      <c r="J52" s="5">
        <f>IFERROR(IF($A52="", "", _xlfn.XLOOKUP($B52, YearlyParamsA!$A:$A, YearlyParamsA!$I:$I, 0)), 0)</f>
        <v>18293.655703125001</v>
      </c>
      <c r="K52" s="5">
        <f t="shared" si="10"/>
        <v>18293.655703125001</v>
      </c>
      <c r="L52" s="5">
        <f t="shared" si="23"/>
        <v>7134.5257242187508</v>
      </c>
      <c r="M52" s="5">
        <f t="shared" si="11"/>
        <v>11475.409836065573</v>
      </c>
      <c r="N52" s="5">
        <f t="shared" si="12"/>
        <v>0</v>
      </c>
      <c r="O52" s="7">
        <f t="shared" si="13"/>
        <v>0</v>
      </c>
      <c r="P52" s="7">
        <f t="shared" si="21"/>
        <v>0</v>
      </c>
      <c r="Q52" s="7">
        <f t="shared" si="22"/>
        <v>18293.655703125001</v>
      </c>
      <c r="R52" s="5">
        <f t="shared" si="14"/>
        <v>7134.5257242187508</v>
      </c>
      <c r="S52" s="5">
        <f t="shared" si="15"/>
        <v>64748.221192688739</v>
      </c>
    </row>
    <row r="53" spans="1:19" x14ac:dyDescent="0.35">
      <c r="A53">
        <f t="shared" si="7"/>
        <v>52</v>
      </c>
      <c r="B53" s="13">
        <f t="shared" si="16"/>
        <v>2031</v>
      </c>
      <c r="C53">
        <f t="shared" si="17"/>
        <v>4</v>
      </c>
      <c r="D53" t="b">
        <f t="shared" si="18"/>
        <v>0</v>
      </c>
      <c r="E53" s="7">
        <f t="shared" si="1"/>
        <v>160052.86914062497</v>
      </c>
      <c r="F53" cm="1">
        <f t="array" ref="F53">IF($A53="", "", MRate(E53))</f>
        <v>0.39</v>
      </c>
      <c r="G53" s="7">
        <f t="shared" si="19"/>
        <v>11475.409836065573</v>
      </c>
      <c r="H53" s="7">
        <f>IF($A53="", "", _xlfn.XLOOKUP($B53, YearlyParamsA!$A:$A, YearlyParamsA!$E:$E, 0))</f>
        <v>0</v>
      </c>
      <c r="I53" s="5">
        <f t="shared" si="20"/>
        <v>19206.344296874995</v>
      </c>
      <c r="J53" s="5">
        <f>IFERROR(IF($A53="", "", _xlfn.XLOOKUP($B53, YearlyParamsA!$A:$A, YearlyParamsA!$I:$I, 0)), 0)</f>
        <v>18293.655703125001</v>
      </c>
      <c r="K53" s="5">
        <f t="shared" si="10"/>
        <v>18293.655703125001</v>
      </c>
      <c r="L53" s="5">
        <f t="shared" si="23"/>
        <v>7134.5257242187508</v>
      </c>
      <c r="M53" s="5">
        <f t="shared" si="11"/>
        <v>11475.409836065573</v>
      </c>
      <c r="N53" s="5">
        <f t="shared" si="12"/>
        <v>0</v>
      </c>
      <c r="O53" s="7">
        <f t="shared" si="13"/>
        <v>0</v>
      </c>
      <c r="P53" s="7">
        <f t="shared" si="21"/>
        <v>0</v>
      </c>
      <c r="Q53" s="7">
        <f t="shared" si="22"/>
        <v>18293.655703125001</v>
      </c>
      <c r="R53" s="5">
        <f t="shared" si="14"/>
        <v>7134.5257242187508</v>
      </c>
      <c r="S53" s="5">
        <f t="shared" si="15"/>
        <v>64748.221192688739</v>
      </c>
    </row>
    <row r="54" spans="1:19" x14ac:dyDescent="0.35">
      <c r="A54">
        <f t="shared" si="7"/>
        <v>53</v>
      </c>
      <c r="B54" s="13">
        <f t="shared" si="16"/>
        <v>2031</v>
      </c>
      <c r="C54">
        <f t="shared" si="17"/>
        <v>5</v>
      </c>
      <c r="D54" t="b">
        <f t="shared" si="18"/>
        <v>0</v>
      </c>
      <c r="E54" s="7">
        <f t="shared" si="1"/>
        <v>160052.86914062497</v>
      </c>
      <c r="F54" cm="1">
        <f t="array" ref="F54">IF($A54="", "", MRate(E54))</f>
        <v>0.39</v>
      </c>
      <c r="G54" s="7">
        <f t="shared" si="19"/>
        <v>11475.409836065573</v>
      </c>
      <c r="H54" s="7">
        <f>IF($A54="", "", _xlfn.XLOOKUP($B54, YearlyParamsA!$A:$A, YearlyParamsA!$E:$E, 0))</f>
        <v>0</v>
      </c>
      <c r="I54" s="5">
        <f t="shared" si="20"/>
        <v>19206.344296874995</v>
      </c>
      <c r="J54" s="5">
        <f>IFERROR(IF($A54="", "", _xlfn.XLOOKUP($B54, YearlyParamsA!$A:$A, YearlyParamsA!$I:$I, 0)), 0)</f>
        <v>18293.655703125001</v>
      </c>
      <c r="K54" s="5">
        <f t="shared" si="10"/>
        <v>18293.655703125001</v>
      </c>
      <c r="L54" s="5">
        <f t="shared" si="23"/>
        <v>7134.5257242187508</v>
      </c>
      <c r="M54" s="5">
        <f t="shared" si="11"/>
        <v>11475.409836065573</v>
      </c>
      <c r="N54" s="5">
        <f t="shared" si="12"/>
        <v>0</v>
      </c>
      <c r="O54" s="7">
        <f t="shared" si="13"/>
        <v>0</v>
      </c>
      <c r="P54" s="7">
        <f t="shared" si="21"/>
        <v>0</v>
      </c>
      <c r="Q54" s="7">
        <f t="shared" si="22"/>
        <v>18293.655703125001</v>
      </c>
      <c r="R54" s="5">
        <f t="shared" si="14"/>
        <v>7134.5257242187508</v>
      </c>
      <c r="S54" s="5">
        <f t="shared" si="15"/>
        <v>64748.221192688739</v>
      </c>
    </row>
    <row r="55" spans="1:19" x14ac:dyDescent="0.35">
      <c r="A55">
        <f t="shared" si="7"/>
        <v>54</v>
      </c>
      <c r="B55" s="13">
        <f t="shared" si="16"/>
        <v>2031</v>
      </c>
      <c r="C55">
        <f t="shared" si="17"/>
        <v>6</v>
      </c>
      <c r="D55" t="b">
        <f t="shared" si="18"/>
        <v>0</v>
      </c>
      <c r="E55" s="7">
        <f t="shared" si="1"/>
        <v>160052.86914062497</v>
      </c>
      <c r="F55" cm="1">
        <f t="array" ref="F55">IF($A55="", "", MRate(E55))</f>
        <v>0.39</v>
      </c>
      <c r="G55" s="7">
        <f t="shared" si="19"/>
        <v>11475.409836065573</v>
      </c>
      <c r="H55" s="7">
        <f>IF($A55="", "", _xlfn.XLOOKUP($B55, YearlyParamsA!$A:$A, YearlyParamsA!$E:$E, 0))</f>
        <v>0</v>
      </c>
      <c r="I55" s="5">
        <f t="shared" si="20"/>
        <v>19206.344296874995</v>
      </c>
      <c r="J55" s="5">
        <f>IFERROR(IF($A55="", "", _xlfn.XLOOKUP($B55, YearlyParamsA!$A:$A, YearlyParamsA!$I:$I, 0)), 0)</f>
        <v>18293.655703125001</v>
      </c>
      <c r="K55" s="5">
        <f t="shared" si="10"/>
        <v>18293.655703125001</v>
      </c>
      <c r="L55" s="5">
        <f t="shared" si="23"/>
        <v>7134.5257242187508</v>
      </c>
      <c r="M55" s="5">
        <f t="shared" si="11"/>
        <v>11475.409836065573</v>
      </c>
      <c r="N55" s="5">
        <f t="shared" si="12"/>
        <v>0</v>
      </c>
      <c r="O55" s="7">
        <f t="shared" si="13"/>
        <v>0</v>
      </c>
      <c r="P55" s="7">
        <f t="shared" si="21"/>
        <v>0</v>
      </c>
      <c r="Q55" s="7">
        <f t="shared" si="22"/>
        <v>18293.655703125001</v>
      </c>
      <c r="R55" s="5">
        <f t="shared" si="14"/>
        <v>7134.5257242187508</v>
      </c>
      <c r="S55" s="5">
        <f t="shared" si="15"/>
        <v>64748.221192688739</v>
      </c>
    </row>
    <row r="56" spans="1:19" x14ac:dyDescent="0.35">
      <c r="A56">
        <f t="shared" si="7"/>
        <v>55</v>
      </c>
      <c r="B56" s="13">
        <f t="shared" si="16"/>
        <v>2031</v>
      </c>
      <c r="C56">
        <f t="shared" si="17"/>
        <v>7</v>
      </c>
      <c r="D56" t="b">
        <f t="shared" si="18"/>
        <v>0</v>
      </c>
      <c r="E56" s="7">
        <f t="shared" si="1"/>
        <v>160052.86914062497</v>
      </c>
      <c r="F56" cm="1">
        <f t="array" ref="F56">IF($A56="", "", MRate(E56))</f>
        <v>0.39</v>
      </c>
      <c r="G56" s="7">
        <f t="shared" si="19"/>
        <v>11475.409836065573</v>
      </c>
      <c r="H56" s="7">
        <f>IF($A56="", "", _xlfn.XLOOKUP($B56, YearlyParamsA!$A:$A, YearlyParamsA!$E:$E, 0))</f>
        <v>0</v>
      </c>
      <c r="I56" s="5">
        <f t="shared" si="20"/>
        <v>19206.344296874995</v>
      </c>
      <c r="J56" s="5">
        <f>IFERROR(IF($A56="", "", _xlfn.XLOOKUP($B56, YearlyParamsA!$A:$A, YearlyParamsA!$I:$I, 0)), 0)</f>
        <v>18293.655703125001</v>
      </c>
      <c r="K56" s="5">
        <f t="shared" si="10"/>
        <v>18293.655703125001</v>
      </c>
      <c r="L56" s="5">
        <f t="shared" si="23"/>
        <v>7134.5257242187508</v>
      </c>
      <c r="M56" s="5">
        <f t="shared" si="11"/>
        <v>11475.409836065573</v>
      </c>
      <c r="N56" s="5">
        <f t="shared" si="12"/>
        <v>0</v>
      </c>
      <c r="O56" s="7">
        <f t="shared" si="13"/>
        <v>0</v>
      </c>
      <c r="P56" s="7">
        <f t="shared" si="21"/>
        <v>0</v>
      </c>
      <c r="Q56" s="7">
        <f t="shared" si="22"/>
        <v>18293.655703125001</v>
      </c>
      <c r="R56" s="5">
        <f t="shared" si="14"/>
        <v>7134.5257242187508</v>
      </c>
      <c r="S56" s="5">
        <f t="shared" si="15"/>
        <v>64748.221192688739</v>
      </c>
    </row>
    <row r="57" spans="1:19" x14ac:dyDescent="0.35">
      <c r="A57">
        <f t="shared" si="7"/>
        <v>56</v>
      </c>
      <c r="B57" s="13">
        <f t="shared" si="16"/>
        <v>2031</v>
      </c>
      <c r="C57">
        <f t="shared" si="17"/>
        <v>8</v>
      </c>
      <c r="D57" t="b">
        <f t="shared" si="18"/>
        <v>0</v>
      </c>
      <c r="E57" s="7">
        <f t="shared" si="1"/>
        <v>160052.86914062497</v>
      </c>
      <c r="F57" cm="1">
        <f t="array" ref="F57">IF($A57="", "", MRate(E57))</f>
        <v>0.39</v>
      </c>
      <c r="G57" s="7">
        <f t="shared" si="19"/>
        <v>11475.409836065573</v>
      </c>
      <c r="H57" s="7">
        <f>IF($A57="", "", _xlfn.XLOOKUP($B57, YearlyParamsA!$A:$A, YearlyParamsA!$E:$E, 0))</f>
        <v>0</v>
      </c>
      <c r="I57" s="5">
        <f t="shared" si="20"/>
        <v>19206.344296874995</v>
      </c>
      <c r="J57" s="5">
        <f>IFERROR(IF($A57="", "", _xlfn.XLOOKUP($B57, YearlyParamsA!$A:$A, YearlyParamsA!$I:$I, 0)), 0)</f>
        <v>18293.655703125001</v>
      </c>
      <c r="K57" s="5">
        <f t="shared" si="10"/>
        <v>18293.655703125001</v>
      </c>
      <c r="L57" s="5">
        <f t="shared" si="23"/>
        <v>7134.5257242187508</v>
      </c>
      <c r="M57" s="5">
        <f t="shared" si="11"/>
        <v>11475.409836065573</v>
      </c>
      <c r="N57" s="5">
        <f t="shared" si="12"/>
        <v>0</v>
      </c>
      <c r="O57" s="7">
        <f t="shared" si="13"/>
        <v>0</v>
      </c>
      <c r="P57" s="7">
        <f t="shared" si="21"/>
        <v>0</v>
      </c>
      <c r="Q57" s="7">
        <f t="shared" si="22"/>
        <v>18293.655703125001</v>
      </c>
      <c r="R57" s="5">
        <f t="shared" si="14"/>
        <v>7134.5257242187508</v>
      </c>
      <c r="S57" s="5">
        <f t="shared" si="15"/>
        <v>64748.221192688739</v>
      </c>
    </row>
    <row r="58" spans="1:19" x14ac:dyDescent="0.35">
      <c r="A58">
        <f t="shared" si="7"/>
        <v>57</v>
      </c>
      <c r="B58" s="13">
        <f t="shared" si="16"/>
        <v>2031</v>
      </c>
      <c r="C58">
        <f t="shared" si="17"/>
        <v>9</v>
      </c>
      <c r="D58" t="b">
        <f t="shared" si="18"/>
        <v>0</v>
      </c>
      <c r="E58" s="7">
        <f t="shared" si="1"/>
        <v>160052.86914062497</v>
      </c>
      <c r="F58" cm="1">
        <f t="array" ref="F58">IF($A58="", "", MRate(E58))</f>
        <v>0.39</v>
      </c>
      <c r="G58" s="7">
        <f t="shared" si="19"/>
        <v>11475.409836065573</v>
      </c>
      <c r="H58" s="7">
        <f>IF($A58="", "", _xlfn.XLOOKUP($B58, YearlyParamsA!$A:$A, YearlyParamsA!$E:$E, 0))</f>
        <v>0</v>
      </c>
      <c r="I58" s="5">
        <f t="shared" si="20"/>
        <v>19206.344296874995</v>
      </c>
      <c r="J58" s="5">
        <f>IFERROR(IF($A58="", "", _xlfn.XLOOKUP($B58, YearlyParamsA!$A:$A, YearlyParamsA!$I:$I, 0)), 0)</f>
        <v>18293.655703125001</v>
      </c>
      <c r="K58" s="5">
        <f t="shared" si="10"/>
        <v>18293.655703125001</v>
      </c>
      <c r="L58" s="5">
        <f t="shared" si="23"/>
        <v>7134.5257242187508</v>
      </c>
      <c r="M58" s="5">
        <f t="shared" si="11"/>
        <v>11475.409836065573</v>
      </c>
      <c r="N58" s="5">
        <f t="shared" si="12"/>
        <v>0</v>
      </c>
      <c r="O58" s="7">
        <f t="shared" si="13"/>
        <v>0</v>
      </c>
      <c r="P58" s="7">
        <f t="shared" si="21"/>
        <v>0</v>
      </c>
      <c r="Q58" s="7">
        <f t="shared" si="22"/>
        <v>18293.655703125001</v>
      </c>
      <c r="R58" s="5">
        <f t="shared" si="14"/>
        <v>7134.5257242187508</v>
      </c>
      <c r="S58" s="5">
        <f t="shared" si="15"/>
        <v>64748.221192688739</v>
      </c>
    </row>
    <row r="59" spans="1:19" x14ac:dyDescent="0.35">
      <c r="A59">
        <f t="shared" si="7"/>
        <v>58</v>
      </c>
      <c r="B59" s="13">
        <f t="shared" si="16"/>
        <v>2031</v>
      </c>
      <c r="C59">
        <f t="shared" si="17"/>
        <v>10</v>
      </c>
      <c r="D59" t="b">
        <f t="shared" si="18"/>
        <v>0</v>
      </c>
      <c r="E59" s="7">
        <f t="shared" si="1"/>
        <v>160052.86914062497</v>
      </c>
      <c r="F59" cm="1">
        <f t="array" ref="F59">IF($A59="", "", MRate(E59))</f>
        <v>0.39</v>
      </c>
      <c r="G59" s="7">
        <f t="shared" si="19"/>
        <v>11475.409836065573</v>
      </c>
      <c r="H59" s="7">
        <f>IF($A59="", "", _xlfn.XLOOKUP($B59, YearlyParamsA!$A:$A, YearlyParamsA!$E:$E, 0))</f>
        <v>0</v>
      </c>
      <c r="I59" s="5">
        <f t="shared" si="20"/>
        <v>19206.344296874995</v>
      </c>
      <c r="J59" s="5">
        <f>IFERROR(IF($A59="", "", _xlfn.XLOOKUP($B59, YearlyParamsA!$A:$A, YearlyParamsA!$I:$I, 0)), 0)</f>
        <v>18293.655703125001</v>
      </c>
      <c r="K59" s="5">
        <f t="shared" si="10"/>
        <v>18293.655703125001</v>
      </c>
      <c r="L59" s="5">
        <f t="shared" si="23"/>
        <v>7134.5257242187508</v>
      </c>
      <c r="M59" s="5">
        <f t="shared" si="11"/>
        <v>11475.409836065573</v>
      </c>
      <c r="N59" s="5">
        <f t="shared" si="12"/>
        <v>0</v>
      </c>
      <c r="O59" s="7">
        <f t="shared" si="13"/>
        <v>0</v>
      </c>
      <c r="P59" s="7">
        <f t="shared" si="21"/>
        <v>0</v>
      </c>
      <c r="Q59" s="7">
        <f t="shared" si="22"/>
        <v>18293.655703125001</v>
      </c>
      <c r="R59" s="5">
        <f t="shared" si="14"/>
        <v>7134.5257242187508</v>
      </c>
      <c r="S59" s="5">
        <f t="shared" si="15"/>
        <v>64748.221192688739</v>
      </c>
    </row>
    <row r="60" spans="1:19" x14ac:dyDescent="0.35">
      <c r="A60">
        <f t="shared" si="7"/>
        <v>59</v>
      </c>
      <c r="B60" s="13">
        <f t="shared" si="16"/>
        <v>2031</v>
      </c>
      <c r="C60">
        <f t="shared" si="17"/>
        <v>11</v>
      </c>
      <c r="D60" t="b">
        <f t="shared" si="18"/>
        <v>0</v>
      </c>
      <c r="E60" s="7">
        <f t="shared" si="1"/>
        <v>160052.86914062497</v>
      </c>
      <c r="F60" cm="1">
        <f t="array" ref="F60">IF($A60="", "", MRate(E60))</f>
        <v>0.39</v>
      </c>
      <c r="G60" s="7">
        <f t="shared" si="19"/>
        <v>11475.409836065573</v>
      </c>
      <c r="H60" s="7">
        <f>IF($A60="", "", _xlfn.XLOOKUP($B60, YearlyParamsA!$A:$A, YearlyParamsA!$E:$E, 0))</f>
        <v>0</v>
      </c>
      <c r="I60" s="5">
        <f t="shared" si="20"/>
        <v>19206.344296874995</v>
      </c>
      <c r="J60" s="5">
        <f>IFERROR(IF($A60="", "", _xlfn.XLOOKUP($B60, YearlyParamsA!$A:$A, YearlyParamsA!$I:$I, 0)), 0)</f>
        <v>18293.655703125001</v>
      </c>
      <c r="K60" s="5">
        <f t="shared" si="10"/>
        <v>18293.655703125001</v>
      </c>
      <c r="L60" s="5">
        <f t="shared" si="23"/>
        <v>7134.5257242187508</v>
      </c>
      <c r="M60" s="5">
        <f t="shared" si="11"/>
        <v>11475.409836065573</v>
      </c>
      <c r="N60" s="5">
        <f t="shared" si="12"/>
        <v>0</v>
      </c>
      <c r="O60" s="7">
        <f t="shared" si="13"/>
        <v>0</v>
      </c>
      <c r="P60" s="7">
        <f t="shared" si="21"/>
        <v>0</v>
      </c>
      <c r="Q60" s="7">
        <f t="shared" si="22"/>
        <v>18293.655703125001</v>
      </c>
      <c r="R60" s="5">
        <f t="shared" si="14"/>
        <v>7134.5257242187508</v>
      </c>
      <c r="S60" s="5">
        <f t="shared" si="15"/>
        <v>64748.221192688739</v>
      </c>
    </row>
    <row r="61" spans="1:19" x14ac:dyDescent="0.35">
      <c r="A61">
        <f t="shared" si="7"/>
        <v>60</v>
      </c>
      <c r="B61" s="13">
        <f t="shared" si="16"/>
        <v>2031</v>
      </c>
      <c r="C61">
        <f t="shared" si="17"/>
        <v>12</v>
      </c>
      <c r="D61" t="b">
        <f t="shared" si="18"/>
        <v>1</v>
      </c>
      <c r="E61" s="7">
        <f t="shared" si="1"/>
        <v>160052.86914062497</v>
      </c>
      <c r="F61" cm="1">
        <f t="array" ref="F61">IF($A61="", "", MRate(E61))</f>
        <v>0.39</v>
      </c>
      <c r="G61" s="7">
        <f t="shared" si="19"/>
        <v>11475.409836065573</v>
      </c>
      <c r="H61" s="7">
        <f>IF($A61="", "", _xlfn.XLOOKUP($B61, YearlyParamsA!$A:$A, YearlyParamsA!$E:$E, 0))</f>
        <v>0</v>
      </c>
      <c r="I61" s="5">
        <f t="shared" si="20"/>
        <v>19206.344296874995</v>
      </c>
      <c r="J61" s="5">
        <f>IFERROR(IF($A61="", "", _xlfn.XLOOKUP($B61, YearlyParamsA!$A:$A, YearlyParamsA!$I:$I, 0)), 0)</f>
        <v>18293.655703125001</v>
      </c>
      <c r="K61" s="5">
        <f t="shared" si="10"/>
        <v>18293.655703125001</v>
      </c>
      <c r="L61" s="5">
        <f t="shared" si="23"/>
        <v>7134.5257242187508</v>
      </c>
      <c r="M61" s="5">
        <f t="shared" si="11"/>
        <v>11475.409836065573</v>
      </c>
      <c r="N61" s="5">
        <f t="shared" si="12"/>
        <v>0</v>
      </c>
      <c r="O61" s="7">
        <f t="shared" si="13"/>
        <v>0</v>
      </c>
      <c r="P61" s="7">
        <f t="shared" si="21"/>
        <v>0</v>
      </c>
      <c r="Q61" s="7">
        <f t="shared" si="22"/>
        <v>18293.655703125001</v>
      </c>
      <c r="R61" s="5">
        <f t="shared" si="14"/>
        <v>7134.5257242187508</v>
      </c>
      <c r="S61" s="5">
        <f t="shared" si="15"/>
        <v>64748.221192688739</v>
      </c>
    </row>
    <row r="62" spans="1:19" x14ac:dyDescent="0.35">
      <c r="A62">
        <f t="shared" si="7"/>
        <v>61</v>
      </c>
      <c r="B62" s="13">
        <f t="shared" si="16"/>
        <v>2032</v>
      </c>
      <c r="C62">
        <f t="shared" ref="C62:C93" si="24">IF($A62="", "", MOD($A62-1, PPYA)+1)</f>
        <v>1</v>
      </c>
      <c r="D62" t="b">
        <f t="shared" ref="D62:D93" si="25">IF($A62="", "", C62=PPYA)</f>
        <v>0</v>
      </c>
      <c r="E62" s="7">
        <f t="shared" si="1"/>
        <v>164054.19086914058</v>
      </c>
      <c r="F62" cm="1">
        <f t="array" ref="F62">IF($A62="", "", MRate(E62))</f>
        <v>0.39</v>
      </c>
      <c r="G62" s="7">
        <f t="shared" ref="G62:G93" si="26">IF($A62="", "", AfterTaxA/(1-F62))</f>
        <v>11475.409836065573</v>
      </c>
      <c r="H62" s="7">
        <f>IF($A62="", "", _xlfn.XLOOKUP($B62, YearlyParamsA!$A:$A, YearlyParamsA!$E:$E, 0))</f>
        <v>0</v>
      </c>
      <c r="I62" s="5">
        <f t="shared" ref="I62:I93" si="27">IF($A62="", "", E62*SGRate)</f>
        <v>19686.502904296871</v>
      </c>
      <c r="J62" s="5">
        <f>IFERROR(IF($A62="", "", _xlfn.XLOOKUP($B62, YearlyParamsA!$A:$A, YearlyParamsA!$I:$I, 0)), 0)</f>
        <v>17813.497095703126</v>
      </c>
      <c r="K62" s="5">
        <f>IFERROR(IF($A61="", "", IF(B62&lt;&gt;B61,0,Q61)), 0)</f>
        <v>0</v>
      </c>
      <c r="L62" s="5">
        <f t="shared" si="23"/>
        <v>0</v>
      </c>
      <c r="M62" s="5">
        <f t="shared" si="11"/>
        <v>11475.409836065573</v>
      </c>
      <c r="N62" s="5">
        <f t="shared" si="12"/>
        <v>17813.497095703126</v>
      </c>
      <c r="O62" s="7">
        <f t="shared" si="13"/>
        <v>11475.409836065573</v>
      </c>
      <c r="P62" s="7">
        <f t="shared" si="21"/>
        <v>4475.4098360655735</v>
      </c>
      <c r="Q62" s="7">
        <f t="shared" si="22"/>
        <v>11475.409836065573</v>
      </c>
      <c r="R62" s="5">
        <f t="shared" si="14"/>
        <v>4475.4098360655735</v>
      </c>
      <c r="S62" s="5">
        <f t="shared" si="15"/>
        <v>69223.631028754317</v>
      </c>
    </row>
    <row r="63" spans="1:19" x14ac:dyDescent="0.35">
      <c r="A63">
        <f t="shared" si="7"/>
        <v>62</v>
      </c>
      <c r="B63" s="13">
        <f t="shared" si="16"/>
        <v>2032</v>
      </c>
      <c r="C63">
        <f t="shared" si="24"/>
        <v>2</v>
      </c>
      <c r="D63" t="b">
        <f t="shared" si="25"/>
        <v>0</v>
      </c>
      <c r="E63" s="7">
        <f t="shared" si="1"/>
        <v>164054.19086914058</v>
      </c>
      <c r="F63" cm="1">
        <f t="array" ref="F63">IF($A63="", "", MRate(E63))</f>
        <v>0.39</v>
      </c>
      <c r="G63" s="7">
        <f t="shared" si="26"/>
        <v>11475.409836065573</v>
      </c>
      <c r="H63" s="7">
        <f>IF($A63="", "", _xlfn.XLOOKUP($B63, YearlyParamsA!$A:$A, YearlyParamsA!$E:$E, 0))</f>
        <v>0</v>
      </c>
      <c r="I63" s="5">
        <f t="shared" si="27"/>
        <v>19686.502904296871</v>
      </c>
      <c r="J63" s="5">
        <f>IFERROR(IF($A63="", "", _xlfn.XLOOKUP($B63, YearlyParamsA!$A:$A, YearlyParamsA!$I:$I, 0)), 0)</f>
        <v>17813.497095703126</v>
      </c>
      <c r="K63" s="5">
        <f t="shared" ref="K63:K126" si="28">IFERROR(IF($A62="", "", IF(B63&lt;&gt;B62,0,Q62)), 0)</f>
        <v>11475.409836065573</v>
      </c>
      <c r="L63" s="5">
        <f t="shared" si="23"/>
        <v>4475.4098360655735</v>
      </c>
      <c r="M63" s="5">
        <f t="shared" si="11"/>
        <v>11475.409836065573</v>
      </c>
      <c r="N63" s="5">
        <f t="shared" si="12"/>
        <v>6338.0872596375521</v>
      </c>
      <c r="O63" s="7">
        <f t="shared" si="13"/>
        <v>6338.0872596375521</v>
      </c>
      <c r="P63" s="7">
        <f t="shared" si="21"/>
        <v>2471.8540312586456</v>
      </c>
      <c r="Q63" s="7">
        <f t="shared" si="22"/>
        <v>17813.497095703126</v>
      </c>
      <c r="R63" s="5">
        <f t="shared" si="14"/>
        <v>6947.2638673242191</v>
      </c>
      <c r="S63" s="5">
        <f t="shared" si="15"/>
        <v>71695.485060012958</v>
      </c>
    </row>
    <row r="64" spans="1:19" x14ac:dyDescent="0.35">
      <c r="A64">
        <f t="shared" si="7"/>
        <v>63</v>
      </c>
      <c r="B64" s="13">
        <f t="shared" si="16"/>
        <v>2032</v>
      </c>
      <c r="C64">
        <f t="shared" si="24"/>
        <v>3</v>
      </c>
      <c r="D64" t="b">
        <f t="shared" si="25"/>
        <v>0</v>
      </c>
      <c r="E64" s="7">
        <f t="shared" si="1"/>
        <v>164054.19086914058</v>
      </c>
      <c r="F64" cm="1">
        <f t="array" ref="F64">IF($A64="", "", MRate(E64))</f>
        <v>0.39</v>
      </c>
      <c r="G64" s="7">
        <f t="shared" si="26"/>
        <v>11475.409836065573</v>
      </c>
      <c r="H64" s="7">
        <f>IF($A64="", "", _xlfn.XLOOKUP($B64, YearlyParamsA!$A:$A, YearlyParamsA!$E:$E, 0))</f>
        <v>0</v>
      </c>
      <c r="I64" s="5">
        <f t="shared" si="27"/>
        <v>19686.502904296871</v>
      </c>
      <c r="J64" s="5">
        <f>IFERROR(IF($A64="", "", _xlfn.XLOOKUP($B64, YearlyParamsA!$A:$A, YearlyParamsA!$I:$I, 0)), 0)</f>
        <v>17813.497095703126</v>
      </c>
      <c r="K64" s="5">
        <f t="shared" si="28"/>
        <v>17813.497095703126</v>
      </c>
      <c r="L64" s="5">
        <f t="shared" si="23"/>
        <v>6947.2638673242191</v>
      </c>
      <c r="M64" s="5">
        <f t="shared" si="11"/>
        <v>11475.409836065573</v>
      </c>
      <c r="N64" s="5">
        <f t="shared" si="12"/>
        <v>0</v>
      </c>
      <c r="O64" s="7">
        <f t="shared" si="13"/>
        <v>0</v>
      </c>
      <c r="P64" s="7">
        <f t="shared" si="21"/>
        <v>0</v>
      </c>
      <c r="Q64" s="7">
        <f t="shared" si="22"/>
        <v>17813.497095703126</v>
      </c>
      <c r="R64" s="5">
        <f t="shared" si="14"/>
        <v>6947.2638673242191</v>
      </c>
      <c r="S64" s="5">
        <f t="shared" si="15"/>
        <v>71695.485060012958</v>
      </c>
    </row>
    <row r="65" spans="1:19" x14ac:dyDescent="0.35">
      <c r="A65">
        <f t="shared" si="7"/>
        <v>64</v>
      </c>
      <c r="B65" s="13">
        <f t="shared" si="16"/>
        <v>2032</v>
      </c>
      <c r="C65">
        <f t="shared" si="24"/>
        <v>4</v>
      </c>
      <c r="D65" t="b">
        <f t="shared" si="25"/>
        <v>0</v>
      </c>
      <c r="E65" s="7">
        <f t="shared" si="1"/>
        <v>164054.19086914058</v>
      </c>
      <c r="F65" cm="1">
        <f t="array" ref="F65">IF($A65="", "", MRate(E65))</f>
        <v>0.39</v>
      </c>
      <c r="G65" s="7">
        <f t="shared" si="26"/>
        <v>11475.409836065573</v>
      </c>
      <c r="H65" s="7">
        <f>IF($A65="", "", _xlfn.XLOOKUP($B65, YearlyParamsA!$A:$A, YearlyParamsA!$E:$E, 0))</f>
        <v>0</v>
      </c>
      <c r="I65" s="5">
        <f t="shared" si="27"/>
        <v>19686.502904296871</v>
      </c>
      <c r="J65" s="5">
        <f>IFERROR(IF($A65="", "", _xlfn.XLOOKUP($B65, YearlyParamsA!$A:$A, YearlyParamsA!$I:$I, 0)), 0)</f>
        <v>17813.497095703126</v>
      </c>
      <c r="K65" s="5">
        <f t="shared" si="28"/>
        <v>17813.497095703126</v>
      </c>
      <c r="L65" s="5">
        <f t="shared" si="23"/>
        <v>6947.2638673242191</v>
      </c>
      <c r="M65" s="5">
        <f t="shared" si="11"/>
        <v>11475.409836065573</v>
      </c>
      <c r="N65" s="5">
        <f t="shared" si="12"/>
        <v>0</v>
      </c>
      <c r="O65" s="7">
        <f t="shared" si="13"/>
        <v>0</v>
      </c>
      <c r="P65" s="7">
        <f t="shared" si="21"/>
        <v>0</v>
      </c>
      <c r="Q65" s="7">
        <f t="shared" si="22"/>
        <v>17813.497095703126</v>
      </c>
      <c r="R65" s="5">
        <f t="shared" si="14"/>
        <v>6947.2638673242191</v>
      </c>
      <c r="S65" s="5">
        <f t="shared" si="15"/>
        <v>71695.485060012958</v>
      </c>
    </row>
    <row r="66" spans="1:19" x14ac:dyDescent="0.35">
      <c r="A66">
        <f t="shared" si="7"/>
        <v>65</v>
      </c>
      <c r="B66" s="13">
        <f t="shared" ref="B66:B97" si="29">IF(ROW()-1 &lt;= TotalPeriodsA, YEAR(StartYear) + INT((ROW()-2)/PPYA), "")</f>
        <v>2032</v>
      </c>
      <c r="C66">
        <f t="shared" si="24"/>
        <v>5</v>
      </c>
      <c r="D66" t="b">
        <f t="shared" si="25"/>
        <v>0</v>
      </c>
      <c r="E66" s="7">
        <f t="shared" ref="E66:E129" si="30">IF($A66="","",IncA*(1+Inflation)^((B66 - YEAR(StartYear))))</f>
        <v>164054.19086914058</v>
      </c>
      <c r="F66" cm="1">
        <f t="array" ref="F66">IF($A66="", "", MRate(E66))</f>
        <v>0.39</v>
      </c>
      <c r="G66" s="7">
        <f t="shared" si="26"/>
        <v>11475.409836065573</v>
      </c>
      <c r="H66" s="7">
        <f>IF($A66="", "", _xlfn.XLOOKUP($B66, YearlyParamsA!$A:$A, YearlyParamsA!$E:$E, 0))</f>
        <v>0</v>
      </c>
      <c r="I66" s="5">
        <f t="shared" si="27"/>
        <v>19686.502904296871</v>
      </c>
      <c r="J66" s="5">
        <f>IFERROR(IF($A66="", "", _xlfn.XLOOKUP($B66, YearlyParamsA!$A:$A, YearlyParamsA!$I:$I, 0)), 0)</f>
        <v>17813.497095703126</v>
      </c>
      <c r="K66" s="5">
        <f t="shared" si="28"/>
        <v>17813.497095703126</v>
      </c>
      <c r="L66" s="5">
        <f t="shared" si="23"/>
        <v>6947.2638673242191</v>
      </c>
      <c r="M66" s="5">
        <f t="shared" si="11"/>
        <v>11475.409836065573</v>
      </c>
      <c r="N66" s="5">
        <f t="shared" si="12"/>
        <v>0</v>
      </c>
      <c r="O66" s="7">
        <f t="shared" si="13"/>
        <v>0</v>
      </c>
      <c r="P66" s="7">
        <f t="shared" ref="P66:P97" si="31">IFERROR(IF($A66="", "", MIN(G66+L66/PPYA,N66)*F66 + MAX(0, MIN(G66+L66/PPYA,N66) - MIN(G66,N66))), 0)</f>
        <v>0</v>
      </c>
      <c r="Q66" s="7">
        <f t="shared" ref="Q66:Q97" si="32">IFERROR(IF($A66="", "", K66+MIN(G66+L66/PPYA,N66)), 0)</f>
        <v>17813.497095703126</v>
      </c>
      <c r="R66" s="5">
        <f t="shared" si="14"/>
        <v>6947.2638673242191</v>
      </c>
      <c r="S66" s="5">
        <f t="shared" si="15"/>
        <v>71695.485060012958</v>
      </c>
    </row>
    <row r="67" spans="1:19" x14ac:dyDescent="0.35">
      <c r="A67">
        <f t="shared" si="7"/>
        <v>66</v>
      </c>
      <c r="B67" s="13">
        <f t="shared" si="29"/>
        <v>2032</v>
      </c>
      <c r="C67">
        <f t="shared" si="24"/>
        <v>6</v>
      </c>
      <c r="D67" t="b">
        <f t="shared" si="25"/>
        <v>0</v>
      </c>
      <c r="E67" s="7">
        <f t="shared" si="30"/>
        <v>164054.19086914058</v>
      </c>
      <c r="F67" cm="1">
        <f t="array" ref="F67">IF($A67="", "", MRate(E67))</f>
        <v>0.39</v>
      </c>
      <c r="G67" s="7">
        <f t="shared" si="26"/>
        <v>11475.409836065573</v>
      </c>
      <c r="H67" s="7">
        <f>IF($A67="", "", _xlfn.XLOOKUP($B67, YearlyParamsA!$A:$A, YearlyParamsA!$E:$E, 0))</f>
        <v>0</v>
      </c>
      <c r="I67" s="5">
        <f t="shared" si="27"/>
        <v>19686.502904296871</v>
      </c>
      <c r="J67" s="5">
        <f>IFERROR(IF($A67="", "", _xlfn.XLOOKUP($B67, YearlyParamsA!$A:$A, YearlyParamsA!$I:$I, 0)), 0)</f>
        <v>17813.497095703126</v>
      </c>
      <c r="K67" s="5">
        <f t="shared" si="28"/>
        <v>17813.497095703126</v>
      </c>
      <c r="L67" s="5">
        <f t="shared" ref="L67:L98" si="33">IFERROR(IF($A66="","",IF(B67&lt;&gt;B66, 0, L66 + MIN(G66+L66/PPYA, J66-K66)*F66)), 0)</f>
        <v>6947.2638673242191</v>
      </c>
      <c r="M67" s="5">
        <f t="shared" si="11"/>
        <v>11475.409836065573</v>
      </c>
      <c r="N67" s="5">
        <f t="shared" si="12"/>
        <v>0</v>
      </c>
      <c r="O67" s="7">
        <f t="shared" si="13"/>
        <v>0</v>
      </c>
      <c r="P67" s="7">
        <f t="shared" si="31"/>
        <v>0</v>
      </c>
      <c r="Q67" s="7">
        <f t="shared" si="32"/>
        <v>17813.497095703126</v>
      </c>
      <c r="R67" s="5">
        <f t="shared" si="14"/>
        <v>6947.2638673242191</v>
      </c>
      <c r="S67" s="5">
        <f t="shared" si="15"/>
        <v>71695.485060012958</v>
      </c>
    </row>
    <row r="68" spans="1:19" x14ac:dyDescent="0.35">
      <c r="A68">
        <f t="shared" ref="A68:A131" si="34">IF(ROW()-1 &lt;= TotalPeriodsA, ROW()-1, "")</f>
        <v>67</v>
      </c>
      <c r="B68" s="13">
        <f t="shared" si="29"/>
        <v>2032</v>
      </c>
      <c r="C68">
        <f t="shared" si="24"/>
        <v>7</v>
      </c>
      <c r="D68" t="b">
        <f t="shared" si="25"/>
        <v>0</v>
      </c>
      <c r="E68" s="7">
        <f t="shared" si="30"/>
        <v>164054.19086914058</v>
      </c>
      <c r="F68" cm="1">
        <f t="array" ref="F68">IF($A68="", "", MRate(E68))</f>
        <v>0.39</v>
      </c>
      <c r="G68" s="7">
        <f t="shared" si="26"/>
        <v>11475.409836065573</v>
      </c>
      <c r="H68" s="7">
        <f>IF($A68="", "", _xlfn.XLOOKUP($B68, YearlyParamsA!$A:$A, YearlyParamsA!$E:$E, 0))</f>
        <v>0</v>
      </c>
      <c r="I68" s="5">
        <f t="shared" si="27"/>
        <v>19686.502904296871</v>
      </c>
      <c r="J68" s="5">
        <f>IFERROR(IF($A68="", "", _xlfn.XLOOKUP($B68, YearlyParamsA!$A:$A, YearlyParamsA!$I:$I, 0)), 0)</f>
        <v>17813.497095703126</v>
      </c>
      <c r="K68" s="5">
        <f t="shared" si="28"/>
        <v>17813.497095703126</v>
      </c>
      <c r="L68" s="5">
        <f t="shared" si="33"/>
        <v>6947.2638673242191</v>
      </c>
      <c r="M68" s="5">
        <f t="shared" ref="M68:M131" si="35">IF($A68="", "", G68)</f>
        <v>11475.409836065573</v>
      </c>
      <c r="N68" s="5">
        <f t="shared" ref="N68:N131" si="36">IFERROR(IF($A68="", "", J68-K68), 0)</f>
        <v>0</v>
      </c>
      <c r="O68" s="7">
        <f t="shared" ref="O68:O131" si="37">IFERROR(IF($A68="", "", MIN(G68,N68)), 0)</f>
        <v>0</v>
      </c>
      <c r="P68" s="7">
        <f t="shared" si="31"/>
        <v>0</v>
      </c>
      <c r="Q68" s="7">
        <f t="shared" si="32"/>
        <v>17813.497095703126</v>
      </c>
      <c r="R68" s="5">
        <f t="shared" ref="R68:R121" si="38">IFERROR(IF($A67="", "", IF(B68&lt;&gt;B67,P68,R67+P68)), 0)</f>
        <v>6947.2638673242191</v>
      </c>
      <c r="S68" s="5">
        <f t="shared" ref="S68:S131" si="39">IFERROR(IF($A68="", "", S67+P68), 0)</f>
        <v>71695.485060012958</v>
      </c>
    </row>
    <row r="69" spans="1:19" x14ac:dyDescent="0.35">
      <c r="A69">
        <f t="shared" si="34"/>
        <v>68</v>
      </c>
      <c r="B69" s="13">
        <f t="shared" si="29"/>
        <v>2032</v>
      </c>
      <c r="C69">
        <f t="shared" si="24"/>
        <v>8</v>
      </c>
      <c r="D69" t="b">
        <f t="shared" si="25"/>
        <v>0</v>
      </c>
      <c r="E69" s="7">
        <f t="shared" si="30"/>
        <v>164054.19086914058</v>
      </c>
      <c r="F69" cm="1">
        <f t="array" ref="F69">IF($A69="", "", MRate(E69))</f>
        <v>0.39</v>
      </c>
      <c r="G69" s="7">
        <f t="shared" si="26"/>
        <v>11475.409836065573</v>
      </c>
      <c r="H69" s="7">
        <f>IF($A69="", "", _xlfn.XLOOKUP($B69, YearlyParamsA!$A:$A, YearlyParamsA!$E:$E, 0))</f>
        <v>0</v>
      </c>
      <c r="I69" s="5">
        <f t="shared" si="27"/>
        <v>19686.502904296871</v>
      </c>
      <c r="J69" s="5">
        <f>IFERROR(IF($A69="", "", _xlfn.XLOOKUP($B69, YearlyParamsA!$A:$A, YearlyParamsA!$I:$I, 0)), 0)</f>
        <v>17813.497095703126</v>
      </c>
      <c r="K69" s="5">
        <f t="shared" si="28"/>
        <v>17813.497095703126</v>
      </c>
      <c r="L69" s="5">
        <f t="shared" si="33"/>
        <v>6947.2638673242191</v>
      </c>
      <c r="M69" s="5">
        <f t="shared" si="35"/>
        <v>11475.409836065573</v>
      </c>
      <c r="N69" s="5">
        <f t="shared" si="36"/>
        <v>0</v>
      </c>
      <c r="O69" s="7">
        <f t="shared" si="37"/>
        <v>0</v>
      </c>
      <c r="P69" s="7">
        <f t="shared" si="31"/>
        <v>0</v>
      </c>
      <c r="Q69" s="7">
        <f t="shared" si="32"/>
        <v>17813.497095703126</v>
      </c>
      <c r="R69" s="5">
        <f t="shared" si="38"/>
        <v>6947.2638673242191</v>
      </c>
      <c r="S69" s="5">
        <f t="shared" si="39"/>
        <v>71695.485060012958</v>
      </c>
    </row>
    <row r="70" spans="1:19" x14ac:dyDescent="0.35">
      <c r="A70">
        <f t="shared" si="34"/>
        <v>69</v>
      </c>
      <c r="B70" s="13">
        <f t="shared" si="29"/>
        <v>2032</v>
      </c>
      <c r="C70">
        <f t="shared" si="24"/>
        <v>9</v>
      </c>
      <c r="D70" t="b">
        <f t="shared" si="25"/>
        <v>0</v>
      </c>
      <c r="E70" s="7">
        <f t="shared" si="30"/>
        <v>164054.19086914058</v>
      </c>
      <c r="F70" cm="1">
        <f t="array" ref="F70">IF($A70="", "", MRate(E70))</f>
        <v>0.39</v>
      </c>
      <c r="G70" s="7">
        <f t="shared" si="26"/>
        <v>11475.409836065573</v>
      </c>
      <c r="H70" s="7">
        <f>IF($A70="", "", _xlfn.XLOOKUP($B70, YearlyParamsA!$A:$A, YearlyParamsA!$E:$E, 0))</f>
        <v>0</v>
      </c>
      <c r="I70" s="5">
        <f t="shared" si="27"/>
        <v>19686.502904296871</v>
      </c>
      <c r="J70" s="5">
        <f>IFERROR(IF($A70="", "", _xlfn.XLOOKUP($B70, YearlyParamsA!$A:$A, YearlyParamsA!$I:$I, 0)), 0)</f>
        <v>17813.497095703126</v>
      </c>
      <c r="K70" s="5">
        <f t="shared" si="28"/>
        <v>17813.497095703126</v>
      </c>
      <c r="L70" s="5">
        <f t="shared" si="33"/>
        <v>6947.2638673242191</v>
      </c>
      <c r="M70" s="5">
        <f t="shared" si="35"/>
        <v>11475.409836065573</v>
      </c>
      <c r="N70" s="5">
        <f t="shared" si="36"/>
        <v>0</v>
      </c>
      <c r="O70" s="7">
        <f t="shared" si="37"/>
        <v>0</v>
      </c>
      <c r="P70" s="7">
        <f t="shared" si="31"/>
        <v>0</v>
      </c>
      <c r="Q70" s="7">
        <f t="shared" si="32"/>
        <v>17813.497095703126</v>
      </c>
      <c r="R70" s="5">
        <f t="shared" si="38"/>
        <v>6947.2638673242191</v>
      </c>
      <c r="S70" s="5">
        <f t="shared" si="39"/>
        <v>71695.485060012958</v>
      </c>
    </row>
    <row r="71" spans="1:19" x14ac:dyDescent="0.35">
      <c r="A71">
        <f t="shared" si="34"/>
        <v>70</v>
      </c>
      <c r="B71" s="13">
        <f t="shared" si="29"/>
        <v>2032</v>
      </c>
      <c r="C71">
        <f t="shared" si="24"/>
        <v>10</v>
      </c>
      <c r="D71" t="b">
        <f t="shared" si="25"/>
        <v>0</v>
      </c>
      <c r="E71" s="7">
        <f t="shared" si="30"/>
        <v>164054.19086914058</v>
      </c>
      <c r="F71" cm="1">
        <f t="array" ref="F71">IF($A71="", "", MRate(E71))</f>
        <v>0.39</v>
      </c>
      <c r="G71" s="7">
        <f t="shared" si="26"/>
        <v>11475.409836065573</v>
      </c>
      <c r="H71" s="7">
        <f>IF($A71="", "", _xlfn.XLOOKUP($B71, YearlyParamsA!$A:$A, YearlyParamsA!$E:$E, 0))</f>
        <v>0</v>
      </c>
      <c r="I71" s="5">
        <f t="shared" si="27"/>
        <v>19686.502904296871</v>
      </c>
      <c r="J71" s="5">
        <f>IFERROR(IF($A71="", "", _xlfn.XLOOKUP($B71, YearlyParamsA!$A:$A, YearlyParamsA!$I:$I, 0)), 0)</f>
        <v>17813.497095703126</v>
      </c>
      <c r="K71" s="5">
        <f t="shared" si="28"/>
        <v>17813.497095703126</v>
      </c>
      <c r="L71" s="5">
        <f t="shared" si="33"/>
        <v>6947.2638673242191</v>
      </c>
      <c r="M71" s="5">
        <f t="shared" si="35"/>
        <v>11475.409836065573</v>
      </c>
      <c r="N71" s="5">
        <f t="shared" si="36"/>
        <v>0</v>
      </c>
      <c r="O71" s="7">
        <f t="shared" si="37"/>
        <v>0</v>
      </c>
      <c r="P71" s="7">
        <f t="shared" si="31"/>
        <v>0</v>
      </c>
      <c r="Q71" s="7">
        <f t="shared" si="32"/>
        <v>17813.497095703126</v>
      </c>
      <c r="R71" s="5">
        <f t="shared" si="38"/>
        <v>6947.2638673242191</v>
      </c>
      <c r="S71" s="5">
        <f t="shared" si="39"/>
        <v>71695.485060012958</v>
      </c>
    </row>
    <row r="72" spans="1:19" x14ac:dyDescent="0.35">
      <c r="A72">
        <f t="shared" si="34"/>
        <v>71</v>
      </c>
      <c r="B72" s="13">
        <f t="shared" si="29"/>
        <v>2032</v>
      </c>
      <c r="C72">
        <f t="shared" si="24"/>
        <v>11</v>
      </c>
      <c r="D72" t="b">
        <f t="shared" si="25"/>
        <v>0</v>
      </c>
      <c r="E72" s="7">
        <f t="shared" si="30"/>
        <v>164054.19086914058</v>
      </c>
      <c r="F72" cm="1">
        <f t="array" ref="F72">IF($A72="", "", MRate(E72))</f>
        <v>0.39</v>
      </c>
      <c r="G72" s="7">
        <f t="shared" si="26"/>
        <v>11475.409836065573</v>
      </c>
      <c r="H72" s="7">
        <f>IF($A72="", "", _xlfn.XLOOKUP($B72, YearlyParamsA!$A:$A, YearlyParamsA!$E:$E, 0))</f>
        <v>0</v>
      </c>
      <c r="I72" s="5">
        <f t="shared" si="27"/>
        <v>19686.502904296871</v>
      </c>
      <c r="J72" s="5">
        <f>IFERROR(IF($A72="", "", _xlfn.XLOOKUP($B72, YearlyParamsA!$A:$A, YearlyParamsA!$I:$I, 0)), 0)</f>
        <v>17813.497095703126</v>
      </c>
      <c r="K72" s="5">
        <f t="shared" si="28"/>
        <v>17813.497095703126</v>
      </c>
      <c r="L72" s="5">
        <f t="shared" si="33"/>
        <v>6947.2638673242191</v>
      </c>
      <c r="M72" s="5">
        <f t="shared" si="35"/>
        <v>11475.409836065573</v>
      </c>
      <c r="N72" s="5">
        <f t="shared" si="36"/>
        <v>0</v>
      </c>
      <c r="O72" s="7">
        <f t="shared" si="37"/>
        <v>0</v>
      </c>
      <c r="P72" s="7">
        <f t="shared" si="31"/>
        <v>0</v>
      </c>
      <c r="Q72" s="7">
        <f t="shared" si="32"/>
        <v>17813.497095703126</v>
      </c>
      <c r="R72" s="5">
        <f t="shared" si="38"/>
        <v>6947.2638673242191</v>
      </c>
      <c r="S72" s="5">
        <f t="shared" si="39"/>
        <v>71695.485060012958</v>
      </c>
    </row>
    <row r="73" spans="1:19" x14ac:dyDescent="0.35">
      <c r="A73">
        <f t="shared" si="34"/>
        <v>72</v>
      </c>
      <c r="B73" s="13">
        <f t="shared" si="29"/>
        <v>2032</v>
      </c>
      <c r="C73">
        <f t="shared" si="24"/>
        <v>12</v>
      </c>
      <c r="D73" t="b">
        <f t="shared" si="25"/>
        <v>1</v>
      </c>
      <c r="E73" s="7">
        <f t="shared" si="30"/>
        <v>164054.19086914058</v>
      </c>
      <c r="F73" cm="1">
        <f t="array" ref="F73">IF($A73="", "", MRate(E73))</f>
        <v>0.39</v>
      </c>
      <c r="G73" s="7">
        <f t="shared" si="26"/>
        <v>11475.409836065573</v>
      </c>
      <c r="H73" s="7">
        <f>IF($A73="", "", _xlfn.XLOOKUP($B73, YearlyParamsA!$A:$A, YearlyParamsA!$E:$E, 0))</f>
        <v>0</v>
      </c>
      <c r="I73" s="5">
        <f t="shared" si="27"/>
        <v>19686.502904296871</v>
      </c>
      <c r="J73" s="5">
        <f>IFERROR(IF($A73="", "", _xlfn.XLOOKUP($B73, YearlyParamsA!$A:$A, YearlyParamsA!$I:$I, 0)), 0)</f>
        <v>17813.497095703126</v>
      </c>
      <c r="K73" s="5">
        <f t="shared" si="28"/>
        <v>17813.497095703126</v>
      </c>
      <c r="L73" s="5">
        <f t="shared" si="33"/>
        <v>6947.2638673242191</v>
      </c>
      <c r="M73" s="5">
        <f t="shared" si="35"/>
        <v>11475.409836065573</v>
      </c>
      <c r="N73" s="5">
        <f t="shared" si="36"/>
        <v>0</v>
      </c>
      <c r="O73" s="7">
        <f t="shared" si="37"/>
        <v>0</v>
      </c>
      <c r="P73" s="7">
        <f t="shared" si="31"/>
        <v>0</v>
      </c>
      <c r="Q73" s="7">
        <f t="shared" si="32"/>
        <v>17813.497095703126</v>
      </c>
      <c r="R73" s="5">
        <f t="shared" si="38"/>
        <v>6947.2638673242191</v>
      </c>
      <c r="S73" s="5">
        <f t="shared" si="39"/>
        <v>71695.485060012958</v>
      </c>
    </row>
    <row r="74" spans="1:19" x14ac:dyDescent="0.35">
      <c r="A74">
        <f t="shared" si="34"/>
        <v>73</v>
      </c>
      <c r="B74" s="13">
        <f t="shared" si="29"/>
        <v>2033</v>
      </c>
      <c r="C74">
        <f t="shared" si="24"/>
        <v>1</v>
      </c>
      <c r="D74" t="b">
        <f t="shared" si="25"/>
        <v>0</v>
      </c>
      <c r="E74" s="7">
        <f t="shared" si="30"/>
        <v>168155.54564086907</v>
      </c>
      <c r="F74" cm="1">
        <f t="array" ref="F74">IF($A74="", "", MRate(E74))</f>
        <v>0.39</v>
      </c>
      <c r="G74" s="7">
        <f t="shared" si="26"/>
        <v>11475.409836065573</v>
      </c>
      <c r="H74" s="7">
        <f>IF($A74="", "", _xlfn.XLOOKUP($B74, YearlyParamsA!$A:$A, YearlyParamsA!$E:$E, 0))</f>
        <v>0</v>
      </c>
      <c r="I74" s="5">
        <f t="shared" si="27"/>
        <v>20178.665476904287</v>
      </c>
      <c r="J74" s="5">
        <f>IFERROR(IF($A74="", "", _xlfn.XLOOKUP($B74, YearlyParamsA!$A:$A, YearlyParamsA!$I:$I, 0)), 0)</f>
        <v>19821.334523095706</v>
      </c>
      <c r="K74" s="5">
        <f t="shared" si="28"/>
        <v>0</v>
      </c>
      <c r="L74" s="5">
        <f t="shared" si="33"/>
        <v>0</v>
      </c>
      <c r="M74" s="5">
        <f t="shared" si="35"/>
        <v>11475.409836065573</v>
      </c>
      <c r="N74" s="5">
        <f t="shared" si="36"/>
        <v>19821.334523095706</v>
      </c>
      <c r="O74" s="7">
        <f t="shared" si="37"/>
        <v>11475.409836065573</v>
      </c>
      <c r="P74" s="7">
        <f t="shared" si="31"/>
        <v>4475.4098360655735</v>
      </c>
      <c r="Q74" s="7">
        <f t="shared" si="32"/>
        <v>11475.409836065573</v>
      </c>
      <c r="R74" s="5">
        <f t="shared" si="38"/>
        <v>4475.4098360655735</v>
      </c>
      <c r="S74" s="5">
        <f t="shared" si="39"/>
        <v>76170.894896078535</v>
      </c>
    </row>
    <row r="75" spans="1:19" x14ac:dyDescent="0.35">
      <c r="A75">
        <f t="shared" si="34"/>
        <v>74</v>
      </c>
      <c r="B75" s="13">
        <f t="shared" si="29"/>
        <v>2033</v>
      </c>
      <c r="C75">
        <f t="shared" si="24"/>
        <v>2</v>
      </c>
      <c r="D75" t="b">
        <f t="shared" si="25"/>
        <v>0</v>
      </c>
      <c r="E75" s="7">
        <f t="shared" si="30"/>
        <v>168155.54564086907</v>
      </c>
      <c r="F75" cm="1">
        <f t="array" ref="F75">IF($A75="", "", MRate(E75))</f>
        <v>0.39</v>
      </c>
      <c r="G75" s="7">
        <f t="shared" si="26"/>
        <v>11475.409836065573</v>
      </c>
      <c r="H75" s="7">
        <f>IF($A75="", "", _xlfn.XLOOKUP($B75, YearlyParamsA!$A:$A, YearlyParamsA!$E:$E, 0))</f>
        <v>0</v>
      </c>
      <c r="I75" s="5">
        <f t="shared" si="27"/>
        <v>20178.665476904287</v>
      </c>
      <c r="J75" s="5">
        <f>IFERROR(IF($A75="", "", _xlfn.XLOOKUP($B75, YearlyParamsA!$A:$A, YearlyParamsA!$I:$I, 0)), 0)</f>
        <v>19821.334523095706</v>
      </c>
      <c r="K75" s="5">
        <f t="shared" si="28"/>
        <v>11475.409836065573</v>
      </c>
      <c r="L75" s="5">
        <f t="shared" si="33"/>
        <v>4475.4098360655735</v>
      </c>
      <c r="M75" s="5">
        <f t="shared" si="35"/>
        <v>11475.409836065573</v>
      </c>
      <c r="N75" s="5">
        <f t="shared" si="36"/>
        <v>8345.9246870301322</v>
      </c>
      <c r="O75" s="7">
        <f t="shared" si="37"/>
        <v>8345.9246870301322</v>
      </c>
      <c r="P75" s="7">
        <f t="shared" si="31"/>
        <v>3254.9106279417515</v>
      </c>
      <c r="Q75" s="7">
        <f t="shared" si="32"/>
        <v>19821.334523095706</v>
      </c>
      <c r="R75" s="5">
        <f t="shared" si="38"/>
        <v>7730.3204640073254</v>
      </c>
      <c r="S75" s="5">
        <f t="shared" si="39"/>
        <v>79425.805524020281</v>
      </c>
    </row>
    <row r="76" spans="1:19" x14ac:dyDescent="0.35">
      <c r="A76">
        <f t="shared" si="34"/>
        <v>75</v>
      </c>
      <c r="B76" s="13">
        <f t="shared" si="29"/>
        <v>2033</v>
      </c>
      <c r="C76">
        <f t="shared" si="24"/>
        <v>3</v>
      </c>
      <c r="D76" t="b">
        <f t="shared" si="25"/>
        <v>0</v>
      </c>
      <c r="E76" s="7">
        <f t="shared" si="30"/>
        <v>168155.54564086907</v>
      </c>
      <c r="F76" cm="1">
        <f t="array" ref="F76">IF($A76="", "", MRate(E76))</f>
        <v>0.39</v>
      </c>
      <c r="G76" s="7">
        <f t="shared" si="26"/>
        <v>11475.409836065573</v>
      </c>
      <c r="H76" s="7">
        <f>IF($A76="", "", _xlfn.XLOOKUP($B76, YearlyParamsA!$A:$A, YearlyParamsA!$E:$E, 0))</f>
        <v>0</v>
      </c>
      <c r="I76" s="5">
        <f t="shared" si="27"/>
        <v>20178.665476904287</v>
      </c>
      <c r="J76" s="5">
        <f>IFERROR(IF($A76="", "", _xlfn.XLOOKUP($B76, YearlyParamsA!$A:$A, YearlyParamsA!$I:$I, 0)), 0)</f>
        <v>19821.334523095706</v>
      </c>
      <c r="K76" s="5">
        <f t="shared" si="28"/>
        <v>19821.334523095706</v>
      </c>
      <c r="L76" s="5">
        <f t="shared" si="33"/>
        <v>7730.3204640073254</v>
      </c>
      <c r="M76" s="5">
        <f t="shared" si="35"/>
        <v>11475.409836065573</v>
      </c>
      <c r="N76" s="5">
        <f t="shared" si="36"/>
        <v>0</v>
      </c>
      <c r="O76" s="7">
        <f t="shared" si="37"/>
        <v>0</v>
      </c>
      <c r="P76" s="7">
        <f t="shared" si="31"/>
        <v>0</v>
      </c>
      <c r="Q76" s="7">
        <f t="shared" si="32"/>
        <v>19821.334523095706</v>
      </c>
      <c r="R76" s="5">
        <f t="shared" si="38"/>
        <v>7730.3204640073254</v>
      </c>
      <c r="S76" s="5">
        <f t="shared" si="39"/>
        <v>79425.805524020281</v>
      </c>
    </row>
    <row r="77" spans="1:19" x14ac:dyDescent="0.35">
      <c r="A77">
        <f t="shared" si="34"/>
        <v>76</v>
      </c>
      <c r="B77" s="13">
        <f t="shared" si="29"/>
        <v>2033</v>
      </c>
      <c r="C77">
        <f t="shared" si="24"/>
        <v>4</v>
      </c>
      <c r="D77" t="b">
        <f t="shared" si="25"/>
        <v>0</v>
      </c>
      <c r="E77" s="7">
        <f t="shared" si="30"/>
        <v>168155.54564086907</v>
      </c>
      <c r="F77" cm="1">
        <f t="array" ref="F77">IF($A77="", "", MRate(E77))</f>
        <v>0.39</v>
      </c>
      <c r="G77" s="7">
        <f t="shared" si="26"/>
        <v>11475.409836065573</v>
      </c>
      <c r="H77" s="7">
        <f>IF($A77="", "", _xlfn.XLOOKUP($B77, YearlyParamsA!$A:$A, YearlyParamsA!$E:$E, 0))</f>
        <v>0</v>
      </c>
      <c r="I77" s="5">
        <f t="shared" si="27"/>
        <v>20178.665476904287</v>
      </c>
      <c r="J77" s="5">
        <f>IFERROR(IF($A77="", "", _xlfn.XLOOKUP($B77, YearlyParamsA!$A:$A, YearlyParamsA!$I:$I, 0)), 0)</f>
        <v>19821.334523095706</v>
      </c>
      <c r="K77" s="5">
        <f t="shared" si="28"/>
        <v>19821.334523095706</v>
      </c>
      <c r="L77" s="5">
        <f t="shared" si="33"/>
        <v>7730.3204640073254</v>
      </c>
      <c r="M77" s="5">
        <f t="shared" si="35"/>
        <v>11475.409836065573</v>
      </c>
      <c r="N77" s="5">
        <f t="shared" si="36"/>
        <v>0</v>
      </c>
      <c r="O77" s="7">
        <f t="shared" si="37"/>
        <v>0</v>
      </c>
      <c r="P77" s="7">
        <f t="shared" si="31"/>
        <v>0</v>
      </c>
      <c r="Q77" s="7">
        <f t="shared" si="32"/>
        <v>19821.334523095706</v>
      </c>
      <c r="R77" s="5">
        <f t="shared" si="38"/>
        <v>7730.3204640073254</v>
      </c>
      <c r="S77" s="5">
        <f t="shared" si="39"/>
        <v>79425.805524020281</v>
      </c>
    </row>
    <row r="78" spans="1:19" x14ac:dyDescent="0.35">
      <c r="A78">
        <f t="shared" si="34"/>
        <v>77</v>
      </c>
      <c r="B78" s="13">
        <f t="shared" si="29"/>
        <v>2033</v>
      </c>
      <c r="C78">
        <f t="shared" si="24"/>
        <v>5</v>
      </c>
      <c r="D78" t="b">
        <f t="shared" si="25"/>
        <v>0</v>
      </c>
      <c r="E78" s="7">
        <f t="shared" si="30"/>
        <v>168155.54564086907</v>
      </c>
      <c r="F78" cm="1">
        <f t="array" ref="F78">IF($A78="", "", MRate(E78))</f>
        <v>0.39</v>
      </c>
      <c r="G78" s="7">
        <f t="shared" si="26"/>
        <v>11475.409836065573</v>
      </c>
      <c r="H78" s="7">
        <f>IF($A78="", "", _xlfn.XLOOKUP($B78, YearlyParamsA!$A:$A, YearlyParamsA!$E:$E, 0))</f>
        <v>0</v>
      </c>
      <c r="I78" s="5">
        <f t="shared" si="27"/>
        <v>20178.665476904287</v>
      </c>
      <c r="J78" s="5">
        <f>IFERROR(IF($A78="", "", _xlfn.XLOOKUP($B78, YearlyParamsA!$A:$A, YearlyParamsA!$I:$I, 0)), 0)</f>
        <v>19821.334523095706</v>
      </c>
      <c r="K78" s="5">
        <f t="shared" si="28"/>
        <v>19821.334523095706</v>
      </c>
      <c r="L78" s="5">
        <f t="shared" si="33"/>
        <v>7730.3204640073254</v>
      </c>
      <c r="M78" s="5">
        <f t="shared" si="35"/>
        <v>11475.409836065573</v>
      </c>
      <c r="N78" s="5">
        <f t="shared" si="36"/>
        <v>0</v>
      </c>
      <c r="O78" s="7">
        <f t="shared" si="37"/>
        <v>0</v>
      </c>
      <c r="P78" s="7">
        <f t="shared" si="31"/>
        <v>0</v>
      </c>
      <c r="Q78" s="7">
        <f t="shared" si="32"/>
        <v>19821.334523095706</v>
      </c>
      <c r="R78" s="5">
        <f t="shared" si="38"/>
        <v>7730.3204640073254</v>
      </c>
      <c r="S78" s="5">
        <f t="shared" si="39"/>
        <v>79425.805524020281</v>
      </c>
    </row>
    <row r="79" spans="1:19" x14ac:dyDescent="0.35">
      <c r="A79">
        <f t="shared" si="34"/>
        <v>78</v>
      </c>
      <c r="B79" s="13">
        <f t="shared" si="29"/>
        <v>2033</v>
      </c>
      <c r="C79">
        <f t="shared" si="24"/>
        <v>6</v>
      </c>
      <c r="D79" t="b">
        <f t="shared" si="25"/>
        <v>0</v>
      </c>
      <c r="E79" s="7">
        <f t="shared" si="30"/>
        <v>168155.54564086907</v>
      </c>
      <c r="F79" cm="1">
        <f t="array" ref="F79">IF($A79="", "", MRate(E79))</f>
        <v>0.39</v>
      </c>
      <c r="G79" s="7">
        <f t="shared" si="26"/>
        <v>11475.409836065573</v>
      </c>
      <c r="H79" s="7">
        <f>IF($A79="", "", _xlfn.XLOOKUP($B79, YearlyParamsA!$A:$A, YearlyParamsA!$E:$E, 0))</f>
        <v>0</v>
      </c>
      <c r="I79" s="5">
        <f t="shared" si="27"/>
        <v>20178.665476904287</v>
      </c>
      <c r="J79" s="5">
        <f>IFERROR(IF($A79="", "", _xlfn.XLOOKUP($B79, YearlyParamsA!$A:$A, YearlyParamsA!$I:$I, 0)), 0)</f>
        <v>19821.334523095706</v>
      </c>
      <c r="K79" s="5">
        <f t="shared" si="28"/>
        <v>19821.334523095706</v>
      </c>
      <c r="L79" s="5">
        <f t="shared" si="33"/>
        <v>7730.3204640073254</v>
      </c>
      <c r="M79" s="5">
        <f t="shared" si="35"/>
        <v>11475.409836065573</v>
      </c>
      <c r="N79" s="5">
        <f t="shared" si="36"/>
        <v>0</v>
      </c>
      <c r="O79" s="7">
        <f t="shared" si="37"/>
        <v>0</v>
      </c>
      <c r="P79" s="7">
        <f t="shared" si="31"/>
        <v>0</v>
      </c>
      <c r="Q79" s="7">
        <f t="shared" si="32"/>
        <v>19821.334523095706</v>
      </c>
      <c r="R79" s="5">
        <f t="shared" si="38"/>
        <v>7730.3204640073254</v>
      </c>
      <c r="S79" s="5">
        <f t="shared" si="39"/>
        <v>79425.805524020281</v>
      </c>
    </row>
    <row r="80" spans="1:19" x14ac:dyDescent="0.35">
      <c r="A80">
        <f t="shared" si="34"/>
        <v>79</v>
      </c>
      <c r="B80" s="13">
        <f t="shared" si="29"/>
        <v>2033</v>
      </c>
      <c r="C80">
        <f t="shared" si="24"/>
        <v>7</v>
      </c>
      <c r="D80" t="b">
        <f t="shared" si="25"/>
        <v>0</v>
      </c>
      <c r="E80" s="7">
        <f t="shared" si="30"/>
        <v>168155.54564086907</v>
      </c>
      <c r="F80" cm="1">
        <f t="array" ref="F80">IF($A80="", "", MRate(E80))</f>
        <v>0.39</v>
      </c>
      <c r="G80" s="7">
        <f t="shared" si="26"/>
        <v>11475.409836065573</v>
      </c>
      <c r="H80" s="7">
        <f>IF($A80="", "", _xlfn.XLOOKUP($B80, YearlyParamsA!$A:$A, YearlyParamsA!$E:$E, 0))</f>
        <v>0</v>
      </c>
      <c r="I80" s="5">
        <f t="shared" si="27"/>
        <v>20178.665476904287</v>
      </c>
      <c r="J80" s="5">
        <f>IFERROR(IF($A80="", "", _xlfn.XLOOKUP($B80, YearlyParamsA!$A:$A, YearlyParamsA!$I:$I, 0)), 0)</f>
        <v>19821.334523095706</v>
      </c>
      <c r="K80" s="5">
        <f t="shared" si="28"/>
        <v>19821.334523095706</v>
      </c>
      <c r="L80" s="5">
        <f t="shared" si="33"/>
        <v>7730.3204640073254</v>
      </c>
      <c r="M80" s="5">
        <f t="shared" si="35"/>
        <v>11475.409836065573</v>
      </c>
      <c r="N80" s="5">
        <f t="shared" si="36"/>
        <v>0</v>
      </c>
      <c r="O80" s="7">
        <f t="shared" si="37"/>
        <v>0</v>
      </c>
      <c r="P80" s="7">
        <f t="shared" si="31"/>
        <v>0</v>
      </c>
      <c r="Q80" s="7">
        <f t="shared" si="32"/>
        <v>19821.334523095706</v>
      </c>
      <c r="R80" s="5">
        <f t="shared" si="38"/>
        <v>7730.3204640073254</v>
      </c>
      <c r="S80" s="5">
        <f t="shared" si="39"/>
        <v>79425.805524020281</v>
      </c>
    </row>
    <row r="81" spans="1:19" x14ac:dyDescent="0.35">
      <c r="A81">
        <f t="shared" si="34"/>
        <v>80</v>
      </c>
      <c r="B81" s="13">
        <f t="shared" si="29"/>
        <v>2033</v>
      </c>
      <c r="C81">
        <f t="shared" si="24"/>
        <v>8</v>
      </c>
      <c r="D81" t="b">
        <f t="shared" si="25"/>
        <v>0</v>
      </c>
      <c r="E81" s="7">
        <f t="shared" si="30"/>
        <v>168155.54564086907</v>
      </c>
      <c r="F81" cm="1">
        <f t="array" ref="F81">IF($A81="", "", MRate(E81))</f>
        <v>0.39</v>
      </c>
      <c r="G81" s="7">
        <f t="shared" si="26"/>
        <v>11475.409836065573</v>
      </c>
      <c r="H81" s="7">
        <f>IF($A81="", "", _xlfn.XLOOKUP($B81, YearlyParamsA!$A:$A, YearlyParamsA!$E:$E, 0))</f>
        <v>0</v>
      </c>
      <c r="I81" s="5">
        <f t="shared" si="27"/>
        <v>20178.665476904287</v>
      </c>
      <c r="J81" s="5">
        <f>IFERROR(IF($A81="", "", _xlfn.XLOOKUP($B81, YearlyParamsA!$A:$A, YearlyParamsA!$I:$I, 0)), 0)</f>
        <v>19821.334523095706</v>
      </c>
      <c r="K81" s="5">
        <f t="shared" si="28"/>
        <v>19821.334523095706</v>
      </c>
      <c r="L81" s="5">
        <f t="shared" si="33"/>
        <v>7730.3204640073254</v>
      </c>
      <c r="M81" s="5">
        <f t="shared" si="35"/>
        <v>11475.409836065573</v>
      </c>
      <c r="N81" s="5">
        <f t="shared" si="36"/>
        <v>0</v>
      </c>
      <c r="O81" s="7">
        <f t="shared" si="37"/>
        <v>0</v>
      </c>
      <c r="P81" s="7">
        <f t="shared" si="31"/>
        <v>0</v>
      </c>
      <c r="Q81" s="7">
        <f t="shared" si="32"/>
        <v>19821.334523095706</v>
      </c>
      <c r="R81" s="5">
        <f t="shared" si="38"/>
        <v>7730.3204640073254</v>
      </c>
      <c r="S81" s="5">
        <f t="shared" si="39"/>
        <v>79425.805524020281</v>
      </c>
    </row>
    <row r="82" spans="1:19" x14ac:dyDescent="0.35">
      <c r="A82">
        <f t="shared" si="34"/>
        <v>81</v>
      </c>
      <c r="B82" s="13">
        <f t="shared" si="29"/>
        <v>2033</v>
      </c>
      <c r="C82">
        <f t="shared" si="24"/>
        <v>9</v>
      </c>
      <c r="D82" t="b">
        <f t="shared" si="25"/>
        <v>0</v>
      </c>
      <c r="E82" s="7">
        <f t="shared" si="30"/>
        <v>168155.54564086907</v>
      </c>
      <c r="F82" cm="1">
        <f t="array" ref="F82">IF($A82="", "", MRate(E82))</f>
        <v>0.39</v>
      </c>
      <c r="G82" s="7">
        <f t="shared" si="26"/>
        <v>11475.409836065573</v>
      </c>
      <c r="H82" s="7">
        <f>IF($A82="", "", _xlfn.XLOOKUP($B82, YearlyParamsA!$A:$A, YearlyParamsA!$E:$E, 0))</f>
        <v>0</v>
      </c>
      <c r="I82" s="5">
        <f t="shared" si="27"/>
        <v>20178.665476904287</v>
      </c>
      <c r="J82" s="5">
        <f>IFERROR(IF($A82="", "", _xlfn.XLOOKUP($B82, YearlyParamsA!$A:$A, YearlyParamsA!$I:$I, 0)), 0)</f>
        <v>19821.334523095706</v>
      </c>
      <c r="K82" s="5">
        <f t="shared" si="28"/>
        <v>19821.334523095706</v>
      </c>
      <c r="L82" s="5">
        <f t="shared" si="33"/>
        <v>7730.3204640073254</v>
      </c>
      <c r="M82" s="5">
        <f t="shared" si="35"/>
        <v>11475.409836065573</v>
      </c>
      <c r="N82" s="5">
        <f t="shared" si="36"/>
        <v>0</v>
      </c>
      <c r="O82" s="7">
        <f t="shared" si="37"/>
        <v>0</v>
      </c>
      <c r="P82" s="7">
        <f t="shared" si="31"/>
        <v>0</v>
      </c>
      <c r="Q82" s="7">
        <f t="shared" si="32"/>
        <v>19821.334523095706</v>
      </c>
      <c r="R82" s="5">
        <f t="shared" si="38"/>
        <v>7730.3204640073254</v>
      </c>
      <c r="S82" s="5">
        <f t="shared" si="39"/>
        <v>79425.805524020281</v>
      </c>
    </row>
    <row r="83" spans="1:19" x14ac:dyDescent="0.35">
      <c r="A83">
        <f t="shared" si="34"/>
        <v>82</v>
      </c>
      <c r="B83" s="13">
        <f t="shared" si="29"/>
        <v>2033</v>
      </c>
      <c r="C83">
        <f t="shared" si="24"/>
        <v>10</v>
      </c>
      <c r="D83" t="b">
        <f t="shared" si="25"/>
        <v>0</v>
      </c>
      <c r="E83" s="7">
        <f t="shared" si="30"/>
        <v>168155.54564086907</v>
      </c>
      <c r="F83" cm="1">
        <f t="array" ref="F83">IF($A83="", "", MRate(E83))</f>
        <v>0.39</v>
      </c>
      <c r="G83" s="7">
        <f t="shared" si="26"/>
        <v>11475.409836065573</v>
      </c>
      <c r="H83" s="7">
        <f>IF($A83="", "", _xlfn.XLOOKUP($B83, YearlyParamsA!$A:$A, YearlyParamsA!$E:$E, 0))</f>
        <v>0</v>
      </c>
      <c r="I83" s="5">
        <f t="shared" si="27"/>
        <v>20178.665476904287</v>
      </c>
      <c r="J83" s="5">
        <f>IFERROR(IF($A83="", "", _xlfn.XLOOKUP($B83, YearlyParamsA!$A:$A, YearlyParamsA!$I:$I, 0)), 0)</f>
        <v>19821.334523095706</v>
      </c>
      <c r="K83" s="5">
        <f t="shared" si="28"/>
        <v>19821.334523095706</v>
      </c>
      <c r="L83" s="5">
        <f t="shared" si="33"/>
        <v>7730.3204640073254</v>
      </c>
      <c r="M83" s="5">
        <f t="shared" si="35"/>
        <v>11475.409836065573</v>
      </c>
      <c r="N83" s="5">
        <f t="shared" si="36"/>
        <v>0</v>
      </c>
      <c r="O83" s="7">
        <f t="shared" si="37"/>
        <v>0</v>
      </c>
      <c r="P83" s="7">
        <f t="shared" si="31"/>
        <v>0</v>
      </c>
      <c r="Q83" s="7">
        <f t="shared" si="32"/>
        <v>19821.334523095706</v>
      </c>
      <c r="R83" s="5">
        <f t="shared" si="38"/>
        <v>7730.3204640073254</v>
      </c>
      <c r="S83" s="5">
        <f t="shared" si="39"/>
        <v>79425.805524020281</v>
      </c>
    </row>
    <row r="84" spans="1:19" x14ac:dyDescent="0.35">
      <c r="A84">
        <f t="shared" si="34"/>
        <v>83</v>
      </c>
      <c r="B84" s="13">
        <f t="shared" si="29"/>
        <v>2033</v>
      </c>
      <c r="C84">
        <f t="shared" si="24"/>
        <v>11</v>
      </c>
      <c r="D84" t="b">
        <f t="shared" si="25"/>
        <v>0</v>
      </c>
      <c r="E84" s="7">
        <f t="shared" si="30"/>
        <v>168155.54564086907</v>
      </c>
      <c r="F84" cm="1">
        <f t="array" ref="F84">IF($A84="", "", MRate(E84))</f>
        <v>0.39</v>
      </c>
      <c r="G84" s="7">
        <f t="shared" si="26"/>
        <v>11475.409836065573</v>
      </c>
      <c r="H84" s="7">
        <f>IF($A84="", "", _xlfn.XLOOKUP($B84, YearlyParamsA!$A:$A, YearlyParamsA!$E:$E, 0))</f>
        <v>0</v>
      </c>
      <c r="I84" s="5">
        <f t="shared" si="27"/>
        <v>20178.665476904287</v>
      </c>
      <c r="J84" s="5">
        <f>IFERROR(IF($A84="", "", _xlfn.XLOOKUP($B84, YearlyParamsA!$A:$A, YearlyParamsA!$I:$I, 0)), 0)</f>
        <v>19821.334523095706</v>
      </c>
      <c r="K84" s="5">
        <f t="shared" si="28"/>
        <v>19821.334523095706</v>
      </c>
      <c r="L84" s="5">
        <f t="shared" si="33"/>
        <v>7730.3204640073254</v>
      </c>
      <c r="M84" s="5">
        <f t="shared" si="35"/>
        <v>11475.409836065573</v>
      </c>
      <c r="N84" s="5">
        <f t="shared" si="36"/>
        <v>0</v>
      </c>
      <c r="O84" s="7">
        <f t="shared" si="37"/>
        <v>0</v>
      </c>
      <c r="P84" s="7">
        <f t="shared" si="31"/>
        <v>0</v>
      </c>
      <c r="Q84" s="7">
        <f t="shared" si="32"/>
        <v>19821.334523095706</v>
      </c>
      <c r="R84" s="5">
        <f t="shared" si="38"/>
        <v>7730.3204640073254</v>
      </c>
      <c r="S84" s="5">
        <f t="shared" si="39"/>
        <v>79425.805524020281</v>
      </c>
    </row>
    <row r="85" spans="1:19" x14ac:dyDescent="0.35">
      <c r="A85">
        <f t="shared" si="34"/>
        <v>84</v>
      </c>
      <c r="B85" s="13">
        <f t="shared" si="29"/>
        <v>2033</v>
      </c>
      <c r="C85">
        <f t="shared" si="24"/>
        <v>12</v>
      </c>
      <c r="D85" t="b">
        <f t="shared" si="25"/>
        <v>1</v>
      </c>
      <c r="E85" s="7">
        <f t="shared" si="30"/>
        <v>168155.54564086907</v>
      </c>
      <c r="F85" cm="1">
        <f t="array" ref="F85">IF($A85="", "", MRate(E85))</f>
        <v>0.39</v>
      </c>
      <c r="G85" s="7">
        <f t="shared" si="26"/>
        <v>11475.409836065573</v>
      </c>
      <c r="H85" s="7">
        <f>IF($A85="", "", _xlfn.XLOOKUP($B85, YearlyParamsA!$A:$A, YearlyParamsA!$E:$E, 0))</f>
        <v>0</v>
      </c>
      <c r="I85" s="5">
        <f t="shared" si="27"/>
        <v>20178.665476904287</v>
      </c>
      <c r="J85" s="5">
        <f>IFERROR(IF($A85="", "", _xlfn.XLOOKUP($B85, YearlyParamsA!$A:$A, YearlyParamsA!$I:$I, 0)), 0)</f>
        <v>19821.334523095706</v>
      </c>
      <c r="K85" s="5">
        <f t="shared" si="28"/>
        <v>19821.334523095706</v>
      </c>
      <c r="L85" s="5">
        <f t="shared" si="33"/>
        <v>7730.3204640073254</v>
      </c>
      <c r="M85" s="5">
        <f t="shared" si="35"/>
        <v>11475.409836065573</v>
      </c>
      <c r="N85" s="5">
        <f t="shared" si="36"/>
        <v>0</v>
      </c>
      <c r="O85" s="7">
        <f t="shared" si="37"/>
        <v>0</v>
      </c>
      <c r="P85" s="7">
        <f t="shared" si="31"/>
        <v>0</v>
      </c>
      <c r="Q85" s="7">
        <f t="shared" si="32"/>
        <v>19821.334523095706</v>
      </c>
      <c r="R85" s="5">
        <f t="shared" si="38"/>
        <v>7730.3204640073254</v>
      </c>
      <c r="S85" s="5">
        <f t="shared" si="39"/>
        <v>79425.805524020281</v>
      </c>
    </row>
    <row r="86" spans="1:19" x14ac:dyDescent="0.35">
      <c r="A86">
        <f t="shared" si="34"/>
        <v>85</v>
      </c>
      <c r="B86" s="13">
        <f t="shared" si="29"/>
        <v>2034</v>
      </c>
      <c r="C86">
        <f t="shared" si="24"/>
        <v>1</v>
      </c>
      <c r="D86" t="b">
        <f t="shared" si="25"/>
        <v>0</v>
      </c>
      <c r="E86" s="7">
        <f t="shared" si="30"/>
        <v>172359.4342818908</v>
      </c>
      <c r="F86" cm="1">
        <f t="array" ref="F86">IF($A86="", "", MRate(E86))</f>
        <v>0.39</v>
      </c>
      <c r="G86" s="7">
        <f t="shared" si="26"/>
        <v>11475.409836065573</v>
      </c>
      <c r="H86" s="7">
        <f>IF($A86="", "", _xlfn.XLOOKUP($B86, YearlyParamsA!$A:$A, YearlyParamsA!$E:$E, 0))</f>
        <v>0</v>
      </c>
      <c r="I86" s="5">
        <f t="shared" si="27"/>
        <v>20683.132113826894</v>
      </c>
      <c r="J86" s="5">
        <f>IFERROR(IF($A86="", "", _xlfn.XLOOKUP($B86, YearlyParamsA!$A:$A, YearlyParamsA!$I:$I, 0)), 0)</f>
        <v>19316.867886173102</v>
      </c>
      <c r="K86" s="5">
        <f t="shared" si="28"/>
        <v>0</v>
      </c>
      <c r="L86" s="5">
        <f t="shared" si="33"/>
        <v>0</v>
      </c>
      <c r="M86" s="5">
        <f t="shared" si="35"/>
        <v>11475.409836065573</v>
      </c>
      <c r="N86" s="5">
        <f t="shared" si="36"/>
        <v>19316.867886173102</v>
      </c>
      <c r="O86" s="7">
        <f t="shared" si="37"/>
        <v>11475.409836065573</v>
      </c>
      <c r="P86" s="7">
        <f t="shared" si="31"/>
        <v>4475.4098360655735</v>
      </c>
      <c r="Q86" s="7">
        <f t="shared" si="32"/>
        <v>11475.409836065573</v>
      </c>
      <c r="R86" s="5">
        <f t="shared" si="38"/>
        <v>4475.4098360655735</v>
      </c>
      <c r="S86" s="5">
        <f t="shared" si="39"/>
        <v>83901.215360085858</v>
      </c>
    </row>
    <row r="87" spans="1:19" x14ac:dyDescent="0.35">
      <c r="A87">
        <f t="shared" si="34"/>
        <v>86</v>
      </c>
      <c r="B87" s="13">
        <f t="shared" si="29"/>
        <v>2034</v>
      </c>
      <c r="C87">
        <f t="shared" si="24"/>
        <v>2</v>
      </c>
      <c r="D87" t="b">
        <f t="shared" si="25"/>
        <v>0</v>
      </c>
      <c r="E87" s="7">
        <f t="shared" si="30"/>
        <v>172359.4342818908</v>
      </c>
      <c r="F87" cm="1">
        <f t="array" ref="F87">IF($A87="", "", MRate(E87))</f>
        <v>0.39</v>
      </c>
      <c r="G87" s="7">
        <f t="shared" si="26"/>
        <v>11475.409836065573</v>
      </c>
      <c r="H87" s="7">
        <f>IF($A87="", "", _xlfn.XLOOKUP($B87, YearlyParamsA!$A:$A, YearlyParamsA!$E:$E, 0))</f>
        <v>0</v>
      </c>
      <c r="I87" s="5">
        <f t="shared" si="27"/>
        <v>20683.132113826894</v>
      </c>
      <c r="J87" s="5">
        <f>IFERROR(IF($A87="", "", _xlfn.XLOOKUP($B87, YearlyParamsA!$A:$A, YearlyParamsA!$I:$I, 0)), 0)</f>
        <v>19316.867886173102</v>
      </c>
      <c r="K87" s="5">
        <f t="shared" si="28"/>
        <v>11475.409836065573</v>
      </c>
      <c r="L87" s="5">
        <f t="shared" si="33"/>
        <v>4475.4098360655735</v>
      </c>
      <c r="M87" s="5">
        <f t="shared" si="35"/>
        <v>11475.409836065573</v>
      </c>
      <c r="N87" s="5">
        <f t="shared" si="36"/>
        <v>7841.4580501075288</v>
      </c>
      <c r="O87" s="7">
        <f t="shared" si="37"/>
        <v>7841.4580501075288</v>
      </c>
      <c r="P87" s="7">
        <f t="shared" si="31"/>
        <v>3058.1686395419365</v>
      </c>
      <c r="Q87" s="7">
        <f t="shared" si="32"/>
        <v>19316.867886173102</v>
      </c>
      <c r="R87" s="5">
        <f t="shared" si="38"/>
        <v>7533.57847560751</v>
      </c>
      <c r="S87" s="5">
        <f t="shared" si="39"/>
        <v>86959.383999627797</v>
      </c>
    </row>
    <row r="88" spans="1:19" x14ac:dyDescent="0.35">
      <c r="A88">
        <f t="shared" si="34"/>
        <v>87</v>
      </c>
      <c r="B88" s="13">
        <f t="shared" si="29"/>
        <v>2034</v>
      </c>
      <c r="C88">
        <f t="shared" si="24"/>
        <v>3</v>
      </c>
      <c r="D88" t="b">
        <f t="shared" si="25"/>
        <v>0</v>
      </c>
      <c r="E88" s="7">
        <f t="shared" si="30"/>
        <v>172359.4342818908</v>
      </c>
      <c r="F88" cm="1">
        <f t="array" ref="F88">IF($A88="", "", MRate(E88))</f>
        <v>0.39</v>
      </c>
      <c r="G88" s="7">
        <f t="shared" si="26"/>
        <v>11475.409836065573</v>
      </c>
      <c r="H88" s="7">
        <f>IF($A88="", "", _xlfn.XLOOKUP($B88, YearlyParamsA!$A:$A, YearlyParamsA!$E:$E, 0))</f>
        <v>0</v>
      </c>
      <c r="I88" s="5">
        <f t="shared" si="27"/>
        <v>20683.132113826894</v>
      </c>
      <c r="J88" s="5">
        <f>IFERROR(IF($A88="", "", _xlfn.XLOOKUP($B88, YearlyParamsA!$A:$A, YearlyParamsA!$I:$I, 0)), 0)</f>
        <v>19316.867886173102</v>
      </c>
      <c r="K88" s="5">
        <f t="shared" si="28"/>
        <v>19316.867886173102</v>
      </c>
      <c r="L88" s="5">
        <f t="shared" si="33"/>
        <v>7533.57847560751</v>
      </c>
      <c r="M88" s="5">
        <f t="shared" si="35"/>
        <v>11475.409836065573</v>
      </c>
      <c r="N88" s="5">
        <f t="shared" si="36"/>
        <v>0</v>
      </c>
      <c r="O88" s="7">
        <f t="shared" si="37"/>
        <v>0</v>
      </c>
      <c r="P88" s="7">
        <f t="shared" si="31"/>
        <v>0</v>
      </c>
      <c r="Q88" s="7">
        <f t="shared" si="32"/>
        <v>19316.867886173102</v>
      </c>
      <c r="R88" s="5">
        <f t="shared" si="38"/>
        <v>7533.57847560751</v>
      </c>
      <c r="S88" s="5">
        <f t="shared" si="39"/>
        <v>86959.383999627797</v>
      </c>
    </row>
    <row r="89" spans="1:19" x14ac:dyDescent="0.35">
      <c r="A89">
        <f t="shared" si="34"/>
        <v>88</v>
      </c>
      <c r="B89" s="13">
        <f t="shared" si="29"/>
        <v>2034</v>
      </c>
      <c r="C89">
        <f t="shared" si="24"/>
        <v>4</v>
      </c>
      <c r="D89" t="b">
        <f t="shared" si="25"/>
        <v>0</v>
      </c>
      <c r="E89" s="7">
        <f t="shared" si="30"/>
        <v>172359.4342818908</v>
      </c>
      <c r="F89" cm="1">
        <f t="array" ref="F89">IF($A89="", "", MRate(E89))</f>
        <v>0.39</v>
      </c>
      <c r="G89" s="7">
        <f t="shared" si="26"/>
        <v>11475.409836065573</v>
      </c>
      <c r="H89" s="7">
        <f>IF($A89="", "", _xlfn.XLOOKUP($B89, YearlyParamsA!$A:$A, YearlyParamsA!$E:$E, 0))</f>
        <v>0</v>
      </c>
      <c r="I89" s="5">
        <f t="shared" si="27"/>
        <v>20683.132113826894</v>
      </c>
      <c r="J89" s="5">
        <f>IFERROR(IF($A89="", "", _xlfn.XLOOKUP($B89, YearlyParamsA!$A:$A, YearlyParamsA!$I:$I, 0)), 0)</f>
        <v>19316.867886173102</v>
      </c>
      <c r="K89" s="5">
        <f t="shared" si="28"/>
        <v>19316.867886173102</v>
      </c>
      <c r="L89" s="5">
        <f t="shared" si="33"/>
        <v>7533.57847560751</v>
      </c>
      <c r="M89" s="5">
        <f t="shared" si="35"/>
        <v>11475.409836065573</v>
      </c>
      <c r="N89" s="5">
        <f t="shared" si="36"/>
        <v>0</v>
      </c>
      <c r="O89" s="7">
        <f t="shared" si="37"/>
        <v>0</v>
      </c>
      <c r="P89" s="7">
        <f t="shared" si="31"/>
        <v>0</v>
      </c>
      <c r="Q89" s="7">
        <f t="shared" si="32"/>
        <v>19316.867886173102</v>
      </c>
      <c r="R89" s="5">
        <f t="shared" si="38"/>
        <v>7533.57847560751</v>
      </c>
      <c r="S89" s="5">
        <f t="shared" si="39"/>
        <v>86959.383999627797</v>
      </c>
    </row>
    <row r="90" spans="1:19" x14ac:dyDescent="0.35">
      <c r="A90">
        <f t="shared" si="34"/>
        <v>89</v>
      </c>
      <c r="B90" s="13">
        <f t="shared" si="29"/>
        <v>2034</v>
      </c>
      <c r="C90">
        <f t="shared" si="24"/>
        <v>5</v>
      </c>
      <c r="D90" t="b">
        <f t="shared" si="25"/>
        <v>0</v>
      </c>
      <c r="E90" s="7">
        <f t="shared" si="30"/>
        <v>172359.4342818908</v>
      </c>
      <c r="F90" cm="1">
        <f t="array" ref="F90">IF($A90="", "", MRate(E90))</f>
        <v>0.39</v>
      </c>
      <c r="G90" s="7">
        <f t="shared" si="26"/>
        <v>11475.409836065573</v>
      </c>
      <c r="H90" s="7">
        <f>IF($A90="", "", _xlfn.XLOOKUP($B90, YearlyParamsA!$A:$A, YearlyParamsA!$E:$E, 0))</f>
        <v>0</v>
      </c>
      <c r="I90" s="5">
        <f t="shared" si="27"/>
        <v>20683.132113826894</v>
      </c>
      <c r="J90" s="5">
        <f>IFERROR(IF($A90="", "", _xlfn.XLOOKUP($B90, YearlyParamsA!$A:$A, YearlyParamsA!$I:$I, 0)), 0)</f>
        <v>19316.867886173102</v>
      </c>
      <c r="K90" s="5">
        <f t="shared" si="28"/>
        <v>19316.867886173102</v>
      </c>
      <c r="L90" s="5">
        <f t="shared" si="33"/>
        <v>7533.57847560751</v>
      </c>
      <c r="M90" s="5">
        <f t="shared" si="35"/>
        <v>11475.409836065573</v>
      </c>
      <c r="N90" s="5">
        <f t="shared" si="36"/>
        <v>0</v>
      </c>
      <c r="O90" s="7">
        <f t="shared" si="37"/>
        <v>0</v>
      </c>
      <c r="P90" s="7">
        <f t="shared" si="31"/>
        <v>0</v>
      </c>
      <c r="Q90" s="7">
        <f t="shared" si="32"/>
        <v>19316.867886173102</v>
      </c>
      <c r="R90" s="5">
        <f t="shared" si="38"/>
        <v>7533.57847560751</v>
      </c>
      <c r="S90" s="5">
        <f t="shared" si="39"/>
        <v>86959.383999627797</v>
      </c>
    </row>
    <row r="91" spans="1:19" x14ac:dyDescent="0.35">
      <c r="A91">
        <f t="shared" si="34"/>
        <v>90</v>
      </c>
      <c r="B91" s="13">
        <f t="shared" si="29"/>
        <v>2034</v>
      </c>
      <c r="C91">
        <f t="shared" si="24"/>
        <v>6</v>
      </c>
      <c r="D91" t="b">
        <f t="shared" si="25"/>
        <v>0</v>
      </c>
      <c r="E91" s="7">
        <f t="shared" si="30"/>
        <v>172359.4342818908</v>
      </c>
      <c r="F91" cm="1">
        <f t="array" ref="F91">IF($A91="", "", MRate(E91))</f>
        <v>0.39</v>
      </c>
      <c r="G91" s="7">
        <f t="shared" si="26"/>
        <v>11475.409836065573</v>
      </c>
      <c r="H91" s="7">
        <f>IF($A91="", "", _xlfn.XLOOKUP($B91, YearlyParamsA!$A:$A, YearlyParamsA!$E:$E, 0))</f>
        <v>0</v>
      </c>
      <c r="I91" s="5">
        <f t="shared" si="27"/>
        <v>20683.132113826894</v>
      </c>
      <c r="J91" s="5">
        <f>IFERROR(IF($A91="", "", _xlfn.XLOOKUP($B91, YearlyParamsA!$A:$A, YearlyParamsA!$I:$I, 0)), 0)</f>
        <v>19316.867886173102</v>
      </c>
      <c r="K91" s="5">
        <f t="shared" si="28"/>
        <v>19316.867886173102</v>
      </c>
      <c r="L91" s="5">
        <f t="shared" si="33"/>
        <v>7533.57847560751</v>
      </c>
      <c r="M91" s="5">
        <f t="shared" si="35"/>
        <v>11475.409836065573</v>
      </c>
      <c r="N91" s="5">
        <f t="shared" si="36"/>
        <v>0</v>
      </c>
      <c r="O91" s="7">
        <f t="shared" si="37"/>
        <v>0</v>
      </c>
      <c r="P91" s="7">
        <f t="shared" si="31"/>
        <v>0</v>
      </c>
      <c r="Q91" s="7">
        <f t="shared" si="32"/>
        <v>19316.867886173102</v>
      </c>
      <c r="R91" s="5">
        <f t="shared" si="38"/>
        <v>7533.57847560751</v>
      </c>
      <c r="S91" s="5">
        <f t="shared" si="39"/>
        <v>86959.383999627797</v>
      </c>
    </row>
    <row r="92" spans="1:19" x14ac:dyDescent="0.35">
      <c r="A92">
        <f t="shared" si="34"/>
        <v>91</v>
      </c>
      <c r="B92" s="13">
        <f t="shared" si="29"/>
        <v>2034</v>
      </c>
      <c r="C92">
        <f t="shared" si="24"/>
        <v>7</v>
      </c>
      <c r="D92" t="b">
        <f t="shared" si="25"/>
        <v>0</v>
      </c>
      <c r="E92" s="7">
        <f t="shared" si="30"/>
        <v>172359.4342818908</v>
      </c>
      <c r="F92" cm="1">
        <f t="array" ref="F92">IF($A92="", "", MRate(E92))</f>
        <v>0.39</v>
      </c>
      <c r="G92" s="7">
        <f t="shared" si="26"/>
        <v>11475.409836065573</v>
      </c>
      <c r="H92" s="7">
        <f>IF($A92="", "", _xlfn.XLOOKUP($B92, YearlyParamsA!$A:$A, YearlyParamsA!$E:$E, 0))</f>
        <v>0</v>
      </c>
      <c r="I92" s="5">
        <f t="shared" si="27"/>
        <v>20683.132113826894</v>
      </c>
      <c r="J92" s="5">
        <f>IFERROR(IF($A92="", "", _xlfn.XLOOKUP($B92, YearlyParamsA!$A:$A, YearlyParamsA!$I:$I, 0)), 0)</f>
        <v>19316.867886173102</v>
      </c>
      <c r="K92" s="5">
        <f t="shared" si="28"/>
        <v>19316.867886173102</v>
      </c>
      <c r="L92" s="5">
        <f t="shared" si="33"/>
        <v>7533.57847560751</v>
      </c>
      <c r="M92" s="5">
        <f t="shared" si="35"/>
        <v>11475.409836065573</v>
      </c>
      <c r="N92" s="5">
        <f t="shared" si="36"/>
        <v>0</v>
      </c>
      <c r="O92" s="7">
        <f t="shared" si="37"/>
        <v>0</v>
      </c>
      <c r="P92" s="7">
        <f t="shared" si="31"/>
        <v>0</v>
      </c>
      <c r="Q92" s="7">
        <f t="shared" si="32"/>
        <v>19316.867886173102</v>
      </c>
      <c r="R92" s="5">
        <f t="shared" si="38"/>
        <v>7533.57847560751</v>
      </c>
      <c r="S92" s="5">
        <f t="shared" si="39"/>
        <v>86959.383999627797</v>
      </c>
    </row>
    <row r="93" spans="1:19" x14ac:dyDescent="0.35">
      <c r="A93">
        <f t="shared" si="34"/>
        <v>92</v>
      </c>
      <c r="B93" s="13">
        <f t="shared" si="29"/>
        <v>2034</v>
      </c>
      <c r="C93">
        <f t="shared" si="24"/>
        <v>8</v>
      </c>
      <c r="D93" t="b">
        <f t="shared" si="25"/>
        <v>0</v>
      </c>
      <c r="E93" s="7">
        <f t="shared" si="30"/>
        <v>172359.4342818908</v>
      </c>
      <c r="F93" cm="1">
        <f t="array" ref="F93">IF($A93="", "", MRate(E93))</f>
        <v>0.39</v>
      </c>
      <c r="G93" s="7">
        <f t="shared" si="26"/>
        <v>11475.409836065573</v>
      </c>
      <c r="H93" s="7">
        <f>IF($A93="", "", _xlfn.XLOOKUP($B93, YearlyParamsA!$A:$A, YearlyParamsA!$E:$E, 0))</f>
        <v>0</v>
      </c>
      <c r="I93" s="5">
        <f t="shared" si="27"/>
        <v>20683.132113826894</v>
      </c>
      <c r="J93" s="5">
        <f>IFERROR(IF($A93="", "", _xlfn.XLOOKUP($B93, YearlyParamsA!$A:$A, YearlyParamsA!$I:$I, 0)), 0)</f>
        <v>19316.867886173102</v>
      </c>
      <c r="K93" s="5">
        <f t="shared" si="28"/>
        <v>19316.867886173102</v>
      </c>
      <c r="L93" s="5">
        <f t="shared" si="33"/>
        <v>7533.57847560751</v>
      </c>
      <c r="M93" s="5">
        <f t="shared" si="35"/>
        <v>11475.409836065573</v>
      </c>
      <c r="N93" s="5">
        <f t="shared" si="36"/>
        <v>0</v>
      </c>
      <c r="O93" s="7">
        <f t="shared" si="37"/>
        <v>0</v>
      </c>
      <c r="P93" s="7">
        <f t="shared" si="31"/>
        <v>0</v>
      </c>
      <c r="Q93" s="7">
        <f t="shared" si="32"/>
        <v>19316.867886173102</v>
      </c>
      <c r="R93" s="5">
        <f t="shared" si="38"/>
        <v>7533.57847560751</v>
      </c>
      <c r="S93" s="5">
        <f t="shared" si="39"/>
        <v>86959.383999627797</v>
      </c>
    </row>
    <row r="94" spans="1:19" x14ac:dyDescent="0.35">
      <c r="A94">
        <f t="shared" si="34"/>
        <v>93</v>
      </c>
      <c r="B94" s="13">
        <f t="shared" si="29"/>
        <v>2034</v>
      </c>
      <c r="C94">
        <f t="shared" ref="C94:C121" si="40">IF($A94="", "", MOD($A94-1, PPYA)+1)</f>
        <v>9</v>
      </c>
      <c r="D94" t="b">
        <f t="shared" ref="D94:D121" si="41">IF($A94="", "", C94=PPYA)</f>
        <v>0</v>
      </c>
      <c r="E94" s="7">
        <f t="shared" si="30"/>
        <v>172359.4342818908</v>
      </c>
      <c r="F94" cm="1">
        <f t="array" ref="F94">IF($A94="", "", MRate(E94))</f>
        <v>0.39</v>
      </c>
      <c r="G94" s="7">
        <f t="shared" ref="G94:G121" si="42">IF($A94="", "", AfterTaxA/(1-F94))</f>
        <v>11475.409836065573</v>
      </c>
      <c r="H94" s="7">
        <f>IF($A94="", "", _xlfn.XLOOKUP($B94, YearlyParamsA!$A:$A, YearlyParamsA!$E:$E, 0))</f>
        <v>0</v>
      </c>
      <c r="I94" s="5">
        <f t="shared" ref="I94:I121" si="43">IF($A94="", "", E94*SGRate)</f>
        <v>20683.132113826894</v>
      </c>
      <c r="J94" s="5">
        <f>IFERROR(IF($A94="", "", _xlfn.XLOOKUP($B94, YearlyParamsA!$A:$A, YearlyParamsA!$I:$I, 0)), 0)</f>
        <v>19316.867886173102</v>
      </c>
      <c r="K94" s="5">
        <f t="shared" si="28"/>
        <v>19316.867886173102</v>
      </c>
      <c r="L94" s="5">
        <f t="shared" si="33"/>
        <v>7533.57847560751</v>
      </c>
      <c r="M94" s="5">
        <f t="shared" si="35"/>
        <v>11475.409836065573</v>
      </c>
      <c r="N94" s="5">
        <f t="shared" si="36"/>
        <v>0</v>
      </c>
      <c r="O94" s="7">
        <f t="shared" si="37"/>
        <v>0</v>
      </c>
      <c r="P94" s="7">
        <f t="shared" si="31"/>
        <v>0</v>
      </c>
      <c r="Q94" s="7">
        <f t="shared" si="32"/>
        <v>19316.867886173102</v>
      </c>
      <c r="R94" s="5">
        <f t="shared" si="38"/>
        <v>7533.57847560751</v>
      </c>
      <c r="S94" s="5">
        <f t="shared" si="39"/>
        <v>86959.383999627797</v>
      </c>
    </row>
    <row r="95" spans="1:19" x14ac:dyDescent="0.35">
      <c r="A95">
        <f t="shared" si="34"/>
        <v>94</v>
      </c>
      <c r="B95" s="13">
        <f t="shared" si="29"/>
        <v>2034</v>
      </c>
      <c r="C95">
        <f t="shared" si="40"/>
        <v>10</v>
      </c>
      <c r="D95" t="b">
        <f t="shared" si="41"/>
        <v>0</v>
      </c>
      <c r="E95" s="7">
        <f t="shared" si="30"/>
        <v>172359.4342818908</v>
      </c>
      <c r="F95" cm="1">
        <f t="array" ref="F95">IF($A95="", "", MRate(E95))</f>
        <v>0.39</v>
      </c>
      <c r="G95" s="7">
        <f t="shared" si="42"/>
        <v>11475.409836065573</v>
      </c>
      <c r="H95" s="7">
        <f>IF($A95="", "", _xlfn.XLOOKUP($B95, YearlyParamsA!$A:$A, YearlyParamsA!$E:$E, 0))</f>
        <v>0</v>
      </c>
      <c r="I95" s="5">
        <f t="shared" si="43"/>
        <v>20683.132113826894</v>
      </c>
      <c r="J95" s="5">
        <f>IFERROR(IF($A95="", "", _xlfn.XLOOKUP($B95, YearlyParamsA!$A:$A, YearlyParamsA!$I:$I, 0)), 0)</f>
        <v>19316.867886173102</v>
      </c>
      <c r="K95" s="5">
        <f t="shared" si="28"/>
        <v>19316.867886173102</v>
      </c>
      <c r="L95" s="5">
        <f t="shared" si="33"/>
        <v>7533.57847560751</v>
      </c>
      <c r="M95" s="5">
        <f t="shared" si="35"/>
        <v>11475.409836065573</v>
      </c>
      <c r="N95" s="5">
        <f t="shared" si="36"/>
        <v>0</v>
      </c>
      <c r="O95" s="7">
        <f t="shared" si="37"/>
        <v>0</v>
      </c>
      <c r="P95" s="7">
        <f t="shared" si="31"/>
        <v>0</v>
      </c>
      <c r="Q95" s="7">
        <f t="shared" si="32"/>
        <v>19316.867886173102</v>
      </c>
      <c r="R95" s="5">
        <f t="shared" si="38"/>
        <v>7533.57847560751</v>
      </c>
      <c r="S95" s="5">
        <f t="shared" si="39"/>
        <v>86959.383999627797</v>
      </c>
    </row>
    <row r="96" spans="1:19" x14ac:dyDescent="0.35">
      <c r="A96">
        <f t="shared" si="34"/>
        <v>95</v>
      </c>
      <c r="B96" s="13">
        <f t="shared" si="29"/>
        <v>2034</v>
      </c>
      <c r="C96">
        <f t="shared" si="40"/>
        <v>11</v>
      </c>
      <c r="D96" t="b">
        <f t="shared" si="41"/>
        <v>0</v>
      </c>
      <c r="E96" s="7">
        <f t="shared" si="30"/>
        <v>172359.4342818908</v>
      </c>
      <c r="F96" cm="1">
        <f t="array" ref="F96">IF($A96="", "", MRate(E96))</f>
        <v>0.39</v>
      </c>
      <c r="G96" s="7">
        <f t="shared" si="42"/>
        <v>11475.409836065573</v>
      </c>
      <c r="H96" s="7">
        <f>IF($A96="", "", _xlfn.XLOOKUP($B96, YearlyParamsA!$A:$A, YearlyParamsA!$E:$E, 0))</f>
        <v>0</v>
      </c>
      <c r="I96" s="5">
        <f t="shared" si="43"/>
        <v>20683.132113826894</v>
      </c>
      <c r="J96" s="5">
        <f>IFERROR(IF($A96="", "", _xlfn.XLOOKUP($B96, YearlyParamsA!$A:$A, YearlyParamsA!$I:$I, 0)), 0)</f>
        <v>19316.867886173102</v>
      </c>
      <c r="K96" s="5">
        <f t="shared" si="28"/>
        <v>19316.867886173102</v>
      </c>
      <c r="L96" s="5">
        <f t="shared" si="33"/>
        <v>7533.57847560751</v>
      </c>
      <c r="M96" s="5">
        <f t="shared" si="35"/>
        <v>11475.409836065573</v>
      </c>
      <c r="N96" s="5">
        <f t="shared" si="36"/>
        <v>0</v>
      </c>
      <c r="O96" s="7">
        <f t="shared" si="37"/>
        <v>0</v>
      </c>
      <c r="P96" s="7">
        <f t="shared" si="31"/>
        <v>0</v>
      </c>
      <c r="Q96" s="7">
        <f t="shared" si="32"/>
        <v>19316.867886173102</v>
      </c>
      <c r="R96" s="5">
        <f t="shared" si="38"/>
        <v>7533.57847560751</v>
      </c>
      <c r="S96" s="5">
        <f t="shared" si="39"/>
        <v>86959.383999627797</v>
      </c>
    </row>
    <row r="97" spans="1:19" x14ac:dyDescent="0.35">
      <c r="A97">
        <f t="shared" si="34"/>
        <v>96</v>
      </c>
      <c r="B97" s="13">
        <f t="shared" si="29"/>
        <v>2034</v>
      </c>
      <c r="C97">
        <f t="shared" si="40"/>
        <v>12</v>
      </c>
      <c r="D97" t="b">
        <f t="shared" si="41"/>
        <v>1</v>
      </c>
      <c r="E97" s="7">
        <f t="shared" si="30"/>
        <v>172359.4342818908</v>
      </c>
      <c r="F97" cm="1">
        <f t="array" ref="F97">IF($A97="", "", MRate(E97))</f>
        <v>0.39</v>
      </c>
      <c r="G97" s="7">
        <f t="shared" si="42"/>
        <v>11475.409836065573</v>
      </c>
      <c r="H97" s="7">
        <f>IF($A97="", "", _xlfn.XLOOKUP($B97, YearlyParamsA!$A:$A, YearlyParamsA!$E:$E, 0))</f>
        <v>0</v>
      </c>
      <c r="I97" s="5">
        <f t="shared" si="43"/>
        <v>20683.132113826894</v>
      </c>
      <c r="J97" s="5">
        <f>IFERROR(IF($A97="", "", _xlfn.XLOOKUP($B97, YearlyParamsA!$A:$A, YearlyParamsA!$I:$I, 0)), 0)</f>
        <v>19316.867886173102</v>
      </c>
      <c r="K97" s="5">
        <f t="shared" si="28"/>
        <v>19316.867886173102</v>
      </c>
      <c r="L97" s="5">
        <f t="shared" si="33"/>
        <v>7533.57847560751</v>
      </c>
      <c r="M97" s="5">
        <f t="shared" si="35"/>
        <v>11475.409836065573</v>
      </c>
      <c r="N97" s="5">
        <f t="shared" si="36"/>
        <v>0</v>
      </c>
      <c r="O97" s="7">
        <f t="shared" si="37"/>
        <v>0</v>
      </c>
      <c r="P97" s="7">
        <f t="shared" si="31"/>
        <v>0</v>
      </c>
      <c r="Q97" s="7">
        <f t="shared" si="32"/>
        <v>19316.867886173102</v>
      </c>
      <c r="R97" s="5">
        <f t="shared" si="38"/>
        <v>7533.57847560751</v>
      </c>
      <c r="S97" s="5">
        <f t="shared" si="39"/>
        <v>86959.383999627797</v>
      </c>
    </row>
    <row r="98" spans="1:19" x14ac:dyDescent="0.35">
      <c r="A98">
        <f t="shared" si="34"/>
        <v>97</v>
      </c>
      <c r="B98" s="13">
        <f t="shared" ref="B98:B129" si="44">IF(ROW()-1 &lt;= TotalPeriodsA, YEAR(StartYear) + INT((ROW()-2)/PPYA), "")</f>
        <v>2035</v>
      </c>
      <c r="C98">
        <f t="shared" si="40"/>
        <v>1</v>
      </c>
      <c r="D98" t="b">
        <f t="shared" si="41"/>
        <v>0</v>
      </c>
      <c r="E98" s="7">
        <f t="shared" si="30"/>
        <v>176668.42013893806</v>
      </c>
      <c r="F98" cm="1">
        <f t="array" ref="F98">IF($A98="", "", MRate(E98))</f>
        <v>0.39</v>
      </c>
      <c r="G98" s="7">
        <f t="shared" si="42"/>
        <v>11475.409836065573</v>
      </c>
      <c r="H98" s="7">
        <f>IF($A98="", "", _xlfn.XLOOKUP($B98, YearlyParamsA!$A:$A, YearlyParamsA!$E:$E, 0))</f>
        <v>0</v>
      </c>
      <c r="I98" s="5">
        <f t="shared" si="43"/>
        <v>21200.210416672566</v>
      </c>
      <c r="J98" s="5">
        <f>IFERROR(IF($A98="", "", _xlfn.XLOOKUP($B98, YearlyParamsA!$A:$A, YearlyParamsA!$I:$I, 0)), 0)</f>
        <v>21299.789583327431</v>
      </c>
      <c r="K98" s="5">
        <f t="shared" si="28"/>
        <v>0</v>
      </c>
      <c r="L98" s="5">
        <f t="shared" si="33"/>
        <v>0</v>
      </c>
      <c r="M98" s="5">
        <f t="shared" si="35"/>
        <v>11475.409836065573</v>
      </c>
      <c r="N98" s="5">
        <f t="shared" si="36"/>
        <v>21299.789583327431</v>
      </c>
      <c r="O98" s="7">
        <f t="shared" si="37"/>
        <v>11475.409836065573</v>
      </c>
      <c r="P98" s="7">
        <f t="shared" ref="P98:P129" si="45">IFERROR(IF($A98="", "", MIN(G98+L98/PPYA,N98)*F98 + MAX(0, MIN(G98+L98/PPYA,N98) - MIN(G98,N98))), 0)</f>
        <v>4475.4098360655735</v>
      </c>
      <c r="Q98" s="7">
        <f t="shared" ref="Q98:Q129" si="46">IFERROR(IF($A98="", "", K98+MIN(G98+L98/PPYA,N98)), 0)</f>
        <v>11475.409836065573</v>
      </c>
      <c r="R98" s="5">
        <f t="shared" si="38"/>
        <v>4475.4098360655735</v>
      </c>
      <c r="S98" s="5">
        <f t="shared" si="39"/>
        <v>91434.793835693374</v>
      </c>
    </row>
    <row r="99" spans="1:19" x14ac:dyDescent="0.35">
      <c r="A99">
        <f t="shared" si="34"/>
        <v>98</v>
      </c>
      <c r="B99" s="13">
        <f t="shared" si="44"/>
        <v>2035</v>
      </c>
      <c r="C99">
        <f t="shared" si="40"/>
        <v>2</v>
      </c>
      <c r="D99" t="b">
        <f t="shared" si="41"/>
        <v>0</v>
      </c>
      <c r="E99" s="7">
        <f t="shared" si="30"/>
        <v>176668.42013893806</v>
      </c>
      <c r="F99" cm="1">
        <f t="array" ref="F99">IF($A99="", "", MRate(E99))</f>
        <v>0.39</v>
      </c>
      <c r="G99" s="7">
        <f t="shared" si="42"/>
        <v>11475.409836065573</v>
      </c>
      <c r="H99" s="7">
        <f>IF($A99="", "", _xlfn.XLOOKUP($B99, YearlyParamsA!$A:$A, YearlyParamsA!$E:$E, 0))</f>
        <v>0</v>
      </c>
      <c r="I99" s="5">
        <f t="shared" si="43"/>
        <v>21200.210416672566</v>
      </c>
      <c r="J99" s="5">
        <f>IFERROR(IF($A99="", "", _xlfn.XLOOKUP($B99, YearlyParamsA!$A:$A, YearlyParamsA!$I:$I, 0)), 0)</f>
        <v>21299.789583327431</v>
      </c>
      <c r="K99" s="5">
        <f t="shared" si="28"/>
        <v>11475.409836065573</v>
      </c>
      <c r="L99" s="5">
        <f t="shared" ref="L99:L130" si="47">IFERROR(IF($A98="","",IF(B99&lt;&gt;B98, 0, L98 + MIN(G98+L98/PPYA, J98-K98)*F98)), 0)</f>
        <v>4475.4098360655735</v>
      </c>
      <c r="M99" s="5">
        <f t="shared" si="35"/>
        <v>11475.409836065573</v>
      </c>
      <c r="N99" s="5">
        <f t="shared" si="36"/>
        <v>9824.3797472618571</v>
      </c>
      <c r="O99" s="7">
        <f t="shared" si="37"/>
        <v>9824.3797472618571</v>
      </c>
      <c r="P99" s="7">
        <f t="shared" si="45"/>
        <v>3831.5081014321245</v>
      </c>
      <c r="Q99" s="7">
        <f t="shared" si="46"/>
        <v>21299.789583327431</v>
      </c>
      <c r="R99" s="5">
        <f t="shared" si="38"/>
        <v>8306.9179374976975</v>
      </c>
      <c r="S99" s="5">
        <f t="shared" si="39"/>
        <v>95266.301937125492</v>
      </c>
    </row>
    <row r="100" spans="1:19" x14ac:dyDescent="0.35">
      <c r="A100">
        <f t="shared" si="34"/>
        <v>99</v>
      </c>
      <c r="B100" s="13">
        <f t="shared" si="44"/>
        <v>2035</v>
      </c>
      <c r="C100">
        <f t="shared" si="40"/>
        <v>3</v>
      </c>
      <c r="D100" t="b">
        <f t="shared" si="41"/>
        <v>0</v>
      </c>
      <c r="E100" s="7">
        <f t="shared" si="30"/>
        <v>176668.42013893806</v>
      </c>
      <c r="F100" cm="1">
        <f t="array" ref="F100">IF($A100="", "", MRate(E100))</f>
        <v>0.39</v>
      </c>
      <c r="G100" s="7">
        <f t="shared" si="42"/>
        <v>11475.409836065573</v>
      </c>
      <c r="H100" s="7">
        <f>IF($A100="", "", _xlfn.XLOOKUP($B100, YearlyParamsA!$A:$A, YearlyParamsA!$E:$E, 0))</f>
        <v>0</v>
      </c>
      <c r="I100" s="5">
        <f t="shared" si="43"/>
        <v>21200.210416672566</v>
      </c>
      <c r="J100" s="5">
        <f>IFERROR(IF($A100="", "", _xlfn.XLOOKUP($B100, YearlyParamsA!$A:$A, YearlyParamsA!$I:$I, 0)), 0)</f>
        <v>21299.789583327431</v>
      </c>
      <c r="K100" s="5">
        <f t="shared" si="28"/>
        <v>21299.789583327431</v>
      </c>
      <c r="L100" s="5">
        <f t="shared" si="47"/>
        <v>8306.9179374976975</v>
      </c>
      <c r="M100" s="5">
        <f t="shared" si="35"/>
        <v>11475.409836065573</v>
      </c>
      <c r="N100" s="5">
        <f t="shared" si="36"/>
        <v>0</v>
      </c>
      <c r="O100" s="7">
        <f t="shared" si="37"/>
        <v>0</v>
      </c>
      <c r="P100" s="7">
        <f t="shared" si="45"/>
        <v>0</v>
      </c>
      <c r="Q100" s="7">
        <f t="shared" si="46"/>
        <v>21299.789583327431</v>
      </c>
      <c r="R100" s="5">
        <f t="shared" si="38"/>
        <v>8306.9179374976975</v>
      </c>
      <c r="S100" s="5">
        <f t="shared" si="39"/>
        <v>95266.301937125492</v>
      </c>
    </row>
    <row r="101" spans="1:19" x14ac:dyDescent="0.35">
      <c r="A101">
        <f t="shared" si="34"/>
        <v>100</v>
      </c>
      <c r="B101" s="13">
        <f t="shared" si="44"/>
        <v>2035</v>
      </c>
      <c r="C101">
        <f t="shared" si="40"/>
        <v>4</v>
      </c>
      <c r="D101" t="b">
        <f t="shared" si="41"/>
        <v>0</v>
      </c>
      <c r="E101" s="7">
        <f t="shared" si="30"/>
        <v>176668.42013893806</v>
      </c>
      <c r="F101" cm="1">
        <f t="array" ref="F101">IF($A101="", "", MRate(E101))</f>
        <v>0.39</v>
      </c>
      <c r="G101" s="7">
        <f t="shared" si="42"/>
        <v>11475.409836065573</v>
      </c>
      <c r="H101" s="7">
        <f>IF($A101="", "", _xlfn.XLOOKUP($B101, YearlyParamsA!$A:$A, YearlyParamsA!$E:$E, 0))</f>
        <v>0</v>
      </c>
      <c r="I101" s="5">
        <f t="shared" si="43"/>
        <v>21200.210416672566</v>
      </c>
      <c r="J101" s="5">
        <f>IFERROR(IF($A101="", "", _xlfn.XLOOKUP($B101, YearlyParamsA!$A:$A, YearlyParamsA!$I:$I, 0)), 0)</f>
        <v>21299.789583327431</v>
      </c>
      <c r="K101" s="5">
        <f t="shared" si="28"/>
        <v>21299.789583327431</v>
      </c>
      <c r="L101" s="5">
        <f t="shared" si="47"/>
        <v>8306.9179374976975</v>
      </c>
      <c r="M101" s="5">
        <f t="shared" si="35"/>
        <v>11475.409836065573</v>
      </c>
      <c r="N101" s="5">
        <f t="shared" si="36"/>
        <v>0</v>
      </c>
      <c r="O101" s="7">
        <f t="shared" si="37"/>
        <v>0</v>
      </c>
      <c r="P101" s="7">
        <f t="shared" si="45"/>
        <v>0</v>
      </c>
      <c r="Q101" s="7">
        <f t="shared" si="46"/>
        <v>21299.789583327431</v>
      </c>
      <c r="R101" s="5">
        <f t="shared" si="38"/>
        <v>8306.9179374976975</v>
      </c>
      <c r="S101" s="5">
        <f t="shared" si="39"/>
        <v>95266.301937125492</v>
      </c>
    </row>
    <row r="102" spans="1:19" x14ac:dyDescent="0.35">
      <c r="A102">
        <f t="shared" si="34"/>
        <v>101</v>
      </c>
      <c r="B102" s="13">
        <f t="shared" si="44"/>
        <v>2035</v>
      </c>
      <c r="C102">
        <f t="shared" si="40"/>
        <v>5</v>
      </c>
      <c r="D102" t="b">
        <f t="shared" si="41"/>
        <v>0</v>
      </c>
      <c r="E102" s="7">
        <f t="shared" si="30"/>
        <v>176668.42013893806</v>
      </c>
      <c r="F102" cm="1">
        <f t="array" ref="F102">IF($A102="", "", MRate(E102))</f>
        <v>0.39</v>
      </c>
      <c r="G102" s="7">
        <f t="shared" si="42"/>
        <v>11475.409836065573</v>
      </c>
      <c r="H102" s="7">
        <f>IF($A102="", "", _xlfn.XLOOKUP($B102, YearlyParamsA!$A:$A, YearlyParamsA!$E:$E, 0))</f>
        <v>0</v>
      </c>
      <c r="I102" s="5">
        <f t="shared" si="43"/>
        <v>21200.210416672566</v>
      </c>
      <c r="J102" s="5">
        <f>IFERROR(IF($A102="", "", _xlfn.XLOOKUP($B102, YearlyParamsA!$A:$A, YearlyParamsA!$I:$I, 0)), 0)</f>
        <v>21299.789583327431</v>
      </c>
      <c r="K102" s="5">
        <f t="shared" si="28"/>
        <v>21299.789583327431</v>
      </c>
      <c r="L102" s="5">
        <f t="shared" si="47"/>
        <v>8306.9179374976975</v>
      </c>
      <c r="M102" s="5">
        <f t="shared" si="35"/>
        <v>11475.409836065573</v>
      </c>
      <c r="N102" s="5">
        <f t="shared" si="36"/>
        <v>0</v>
      </c>
      <c r="O102" s="7">
        <f t="shared" si="37"/>
        <v>0</v>
      </c>
      <c r="P102" s="7">
        <f t="shared" si="45"/>
        <v>0</v>
      </c>
      <c r="Q102" s="7">
        <f t="shared" si="46"/>
        <v>21299.789583327431</v>
      </c>
      <c r="R102" s="5">
        <f t="shared" si="38"/>
        <v>8306.9179374976975</v>
      </c>
      <c r="S102" s="5">
        <f t="shared" si="39"/>
        <v>95266.301937125492</v>
      </c>
    </row>
    <row r="103" spans="1:19" x14ac:dyDescent="0.35">
      <c r="A103">
        <f t="shared" si="34"/>
        <v>102</v>
      </c>
      <c r="B103" s="13">
        <f t="shared" si="44"/>
        <v>2035</v>
      </c>
      <c r="C103">
        <f t="shared" si="40"/>
        <v>6</v>
      </c>
      <c r="D103" t="b">
        <f t="shared" si="41"/>
        <v>0</v>
      </c>
      <c r="E103" s="7">
        <f t="shared" si="30"/>
        <v>176668.42013893806</v>
      </c>
      <c r="F103" cm="1">
        <f t="array" ref="F103">IF($A103="", "", MRate(E103))</f>
        <v>0.39</v>
      </c>
      <c r="G103" s="7">
        <f t="shared" si="42"/>
        <v>11475.409836065573</v>
      </c>
      <c r="H103" s="7">
        <f>IF($A103="", "", _xlfn.XLOOKUP($B103, YearlyParamsA!$A:$A, YearlyParamsA!$E:$E, 0))</f>
        <v>0</v>
      </c>
      <c r="I103" s="5">
        <f t="shared" si="43"/>
        <v>21200.210416672566</v>
      </c>
      <c r="J103" s="5">
        <f>IFERROR(IF($A103="", "", _xlfn.XLOOKUP($B103, YearlyParamsA!$A:$A, YearlyParamsA!$I:$I, 0)), 0)</f>
        <v>21299.789583327431</v>
      </c>
      <c r="K103" s="5">
        <f t="shared" si="28"/>
        <v>21299.789583327431</v>
      </c>
      <c r="L103" s="5">
        <f t="shared" si="47"/>
        <v>8306.9179374976975</v>
      </c>
      <c r="M103" s="5">
        <f t="shared" si="35"/>
        <v>11475.409836065573</v>
      </c>
      <c r="N103" s="5">
        <f t="shared" si="36"/>
        <v>0</v>
      </c>
      <c r="O103" s="7">
        <f t="shared" si="37"/>
        <v>0</v>
      </c>
      <c r="P103" s="7">
        <f t="shared" si="45"/>
        <v>0</v>
      </c>
      <c r="Q103" s="7">
        <f t="shared" si="46"/>
        <v>21299.789583327431</v>
      </c>
      <c r="R103" s="5">
        <f t="shared" si="38"/>
        <v>8306.9179374976975</v>
      </c>
      <c r="S103" s="5">
        <f t="shared" si="39"/>
        <v>95266.301937125492</v>
      </c>
    </row>
    <row r="104" spans="1:19" x14ac:dyDescent="0.35">
      <c r="A104">
        <f t="shared" si="34"/>
        <v>103</v>
      </c>
      <c r="B104" s="13">
        <f t="shared" si="44"/>
        <v>2035</v>
      </c>
      <c r="C104">
        <f t="shared" si="40"/>
        <v>7</v>
      </c>
      <c r="D104" t="b">
        <f t="shared" si="41"/>
        <v>0</v>
      </c>
      <c r="E104" s="7">
        <f t="shared" si="30"/>
        <v>176668.42013893806</v>
      </c>
      <c r="F104" cm="1">
        <f t="array" ref="F104">IF($A104="", "", MRate(E104))</f>
        <v>0.39</v>
      </c>
      <c r="G104" s="7">
        <f t="shared" si="42"/>
        <v>11475.409836065573</v>
      </c>
      <c r="H104" s="7">
        <f>IF($A104="", "", _xlfn.XLOOKUP($B104, YearlyParamsA!$A:$A, YearlyParamsA!$E:$E, 0))</f>
        <v>0</v>
      </c>
      <c r="I104" s="5">
        <f t="shared" si="43"/>
        <v>21200.210416672566</v>
      </c>
      <c r="J104" s="5">
        <f>IFERROR(IF($A104="", "", _xlfn.XLOOKUP($B104, YearlyParamsA!$A:$A, YearlyParamsA!$I:$I, 0)), 0)</f>
        <v>21299.789583327431</v>
      </c>
      <c r="K104" s="5">
        <f t="shared" si="28"/>
        <v>21299.789583327431</v>
      </c>
      <c r="L104" s="5">
        <f t="shared" si="47"/>
        <v>8306.9179374976975</v>
      </c>
      <c r="M104" s="5">
        <f t="shared" si="35"/>
        <v>11475.409836065573</v>
      </c>
      <c r="N104" s="5">
        <f t="shared" si="36"/>
        <v>0</v>
      </c>
      <c r="O104" s="7">
        <f t="shared" si="37"/>
        <v>0</v>
      </c>
      <c r="P104" s="7">
        <f t="shared" si="45"/>
        <v>0</v>
      </c>
      <c r="Q104" s="7">
        <f t="shared" si="46"/>
        <v>21299.789583327431</v>
      </c>
      <c r="R104" s="5">
        <f t="shared" si="38"/>
        <v>8306.9179374976975</v>
      </c>
      <c r="S104" s="5">
        <f t="shared" si="39"/>
        <v>95266.301937125492</v>
      </c>
    </row>
    <row r="105" spans="1:19" x14ac:dyDescent="0.35">
      <c r="A105">
        <f t="shared" si="34"/>
        <v>104</v>
      </c>
      <c r="B105" s="13">
        <f t="shared" si="44"/>
        <v>2035</v>
      </c>
      <c r="C105">
        <f t="shared" si="40"/>
        <v>8</v>
      </c>
      <c r="D105" t="b">
        <f t="shared" si="41"/>
        <v>0</v>
      </c>
      <c r="E105" s="7">
        <f t="shared" si="30"/>
        <v>176668.42013893806</v>
      </c>
      <c r="F105" cm="1">
        <f t="array" ref="F105">IF($A105="", "", MRate(E105))</f>
        <v>0.39</v>
      </c>
      <c r="G105" s="7">
        <f t="shared" si="42"/>
        <v>11475.409836065573</v>
      </c>
      <c r="H105" s="7">
        <f>IF($A105="", "", _xlfn.XLOOKUP($B105, YearlyParamsA!$A:$A, YearlyParamsA!$E:$E, 0))</f>
        <v>0</v>
      </c>
      <c r="I105" s="5">
        <f t="shared" si="43"/>
        <v>21200.210416672566</v>
      </c>
      <c r="J105" s="5">
        <f>IFERROR(IF($A105="", "", _xlfn.XLOOKUP($B105, YearlyParamsA!$A:$A, YearlyParamsA!$I:$I, 0)), 0)</f>
        <v>21299.789583327431</v>
      </c>
      <c r="K105" s="5">
        <f t="shared" si="28"/>
        <v>21299.789583327431</v>
      </c>
      <c r="L105" s="5">
        <f t="shared" si="47"/>
        <v>8306.9179374976975</v>
      </c>
      <c r="M105" s="5">
        <f t="shared" si="35"/>
        <v>11475.409836065573</v>
      </c>
      <c r="N105" s="5">
        <f t="shared" si="36"/>
        <v>0</v>
      </c>
      <c r="O105" s="7">
        <f t="shared" si="37"/>
        <v>0</v>
      </c>
      <c r="P105" s="7">
        <f t="shared" si="45"/>
        <v>0</v>
      </c>
      <c r="Q105" s="7">
        <f t="shared" si="46"/>
        <v>21299.789583327431</v>
      </c>
      <c r="R105" s="5">
        <f t="shared" si="38"/>
        <v>8306.9179374976975</v>
      </c>
      <c r="S105" s="5">
        <f t="shared" si="39"/>
        <v>95266.301937125492</v>
      </c>
    </row>
    <row r="106" spans="1:19" x14ac:dyDescent="0.35">
      <c r="A106">
        <f t="shared" si="34"/>
        <v>105</v>
      </c>
      <c r="B106" s="13">
        <f t="shared" si="44"/>
        <v>2035</v>
      </c>
      <c r="C106">
        <f t="shared" si="40"/>
        <v>9</v>
      </c>
      <c r="D106" t="b">
        <f t="shared" si="41"/>
        <v>0</v>
      </c>
      <c r="E106" s="7">
        <f t="shared" si="30"/>
        <v>176668.42013893806</v>
      </c>
      <c r="F106" cm="1">
        <f t="array" ref="F106">IF($A106="", "", MRate(E106))</f>
        <v>0.39</v>
      </c>
      <c r="G106" s="7">
        <f t="shared" si="42"/>
        <v>11475.409836065573</v>
      </c>
      <c r="H106" s="7">
        <f>IF($A106="", "", _xlfn.XLOOKUP($B106, YearlyParamsA!$A:$A, YearlyParamsA!$E:$E, 0))</f>
        <v>0</v>
      </c>
      <c r="I106" s="5">
        <f t="shared" si="43"/>
        <v>21200.210416672566</v>
      </c>
      <c r="J106" s="5">
        <f>IFERROR(IF($A106="", "", _xlfn.XLOOKUP($B106, YearlyParamsA!$A:$A, YearlyParamsA!$I:$I, 0)), 0)</f>
        <v>21299.789583327431</v>
      </c>
      <c r="K106" s="5">
        <f t="shared" si="28"/>
        <v>21299.789583327431</v>
      </c>
      <c r="L106" s="5">
        <f t="shared" si="47"/>
        <v>8306.9179374976975</v>
      </c>
      <c r="M106" s="5">
        <f t="shared" si="35"/>
        <v>11475.409836065573</v>
      </c>
      <c r="N106" s="5">
        <f t="shared" si="36"/>
        <v>0</v>
      </c>
      <c r="O106" s="7">
        <f t="shared" si="37"/>
        <v>0</v>
      </c>
      <c r="P106" s="7">
        <f t="shared" si="45"/>
        <v>0</v>
      </c>
      <c r="Q106" s="7">
        <f t="shared" si="46"/>
        <v>21299.789583327431</v>
      </c>
      <c r="R106" s="5">
        <f t="shared" si="38"/>
        <v>8306.9179374976975</v>
      </c>
      <c r="S106" s="5">
        <f t="shared" si="39"/>
        <v>95266.301937125492</v>
      </c>
    </row>
    <row r="107" spans="1:19" x14ac:dyDescent="0.35">
      <c r="A107">
        <f t="shared" si="34"/>
        <v>106</v>
      </c>
      <c r="B107" s="13">
        <f t="shared" si="44"/>
        <v>2035</v>
      </c>
      <c r="C107">
        <f t="shared" si="40"/>
        <v>10</v>
      </c>
      <c r="D107" t="b">
        <f t="shared" si="41"/>
        <v>0</v>
      </c>
      <c r="E107" s="7">
        <f t="shared" si="30"/>
        <v>176668.42013893806</v>
      </c>
      <c r="F107" cm="1">
        <f t="array" ref="F107">IF($A107="", "", MRate(E107))</f>
        <v>0.39</v>
      </c>
      <c r="G107" s="7">
        <f t="shared" si="42"/>
        <v>11475.409836065573</v>
      </c>
      <c r="H107" s="7">
        <f>IF($A107="", "", _xlfn.XLOOKUP($B107, YearlyParamsA!$A:$A, YearlyParamsA!$E:$E, 0))</f>
        <v>0</v>
      </c>
      <c r="I107" s="5">
        <f t="shared" si="43"/>
        <v>21200.210416672566</v>
      </c>
      <c r="J107" s="5">
        <f>IFERROR(IF($A107="", "", _xlfn.XLOOKUP($B107, YearlyParamsA!$A:$A, YearlyParamsA!$I:$I, 0)), 0)</f>
        <v>21299.789583327431</v>
      </c>
      <c r="K107" s="5">
        <f t="shared" si="28"/>
        <v>21299.789583327431</v>
      </c>
      <c r="L107" s="5">
        <f t="shared" si="47"/>
        <v>8306.9179374976975</v>
      </c>
      <c r="M107" s="5">
        <f t="shared" si="35"/>
        <v>11475.409836065573</v>
      </c>
      <c r="N107" s="5">
        <f t="shared" si="36"/>
        <v>0</v>
      </c>
      <c r="O107" s="7">
        <f t="shared" si="37"/>
        <v>0</v>
      </c>
      <c r="P107" s="7">
        <f t="shared" si="45"/>
        <v>0</v>
      </c>
      <c r="Q107" s="7">
        <f t="shared" si="46"/>
        <v>21299.789583327431</v>
      </c>
      <c r="R107" s="5">
        <f t="shared" si="38"/>
        <v>8306.9179374976975</v>
      </c>
      <c r="S107" s="5">
        <f t="shared" si="39"/>
        <v>95266.301937125492</v>
      </c>
    </row>
    <row r="108" spans="1:19" x14ac:dyDescent="0.35">
      <c r="A108">
        <f t="shared" si="34"/>
        <v>107</v>
      </c>
      <c r="B108" s="13">
        <f t="shared" si="44"/>
        <v>2035</v>
      </c>
      <c r="C108">
        <f t="shared" si="40"/>
        <v>11</v>
      </c>
      <c r="D108" t="b">
        <f t="shared" si="41"/>
        <v>0</v>
      </c>
      <c r="E108" s="7">
        <f t="shared" si="30"/>
        <v>176668.42013893806</v>
      </c>
      <c r="F108" cm="1">
        <f t="array" ref="F108">IF($A108="", "", MRate(E108))</f>
        <v>0.39</v>
      </c>
      <c r="G108" s="7">
        <f t="shared" si="42"/>
        <v>11475.409836065573</v>
      </c>
      <c r="H108" s="7">
        <f>IF($A108="", "", _xlfn.XLOOKUP($B108, YearlyParamsA!$A:$A, YearlyParamsA!$E:$E, 0))</f>
        <v>0</v>
      </c>
      <c r="I108" s="5">
        <f t="shared" si="43"/>
        <v>21200.210416672566</v>
      </c>
      <c r="J108" s="5">
        <f>IFERROR(IF($A108="", "", _xlfn.XLOOKUP($B108, YearlyParamsA!$A:$A, YearlyParamsA!$I:$I, 0)), 0)</f>
        <v>21299.789583327431</v>
      </c>
      <c r="K108" s="5">
        <f t="shared" si="28"/>
        <v>21299.789583327431</v>
      </c>
      <c r="L108" s="5">
        <f t="shared" si="47"/>
        <v>8306.9179374976975</v>
      </c>
      <c r="M108" s="5">
        <f t="shared" si="35"/>
        <v>11475.409836065573</v>
      </c>
      <c r="N108" s="5">
        <f t="shared" si="36"/>
        <v>0</v>
      </c>
      <c r="O108" s="7">
        <f t="shared" si="37"/>
        <v>0</v>
      </c>
      <c r="P108" s="7">
        <f t="shared" si="45"/>
        <v>0</v>
      </c>
      <c r="Q108" s="7">
        <f t="shared" si="46"/>
        <v>21299.789583327431</v>
      </c>
      <c r="R108" s="5">
        <f t="shared" si="38"/>
        <v>8306.9179374976975</v>
      </c>
      <c r="S108" s="5">
        <f t="shared" si="39"/>
        <v>95266.301937125492</v>
      </c>
    </row>
    <row r="109" spans="1:19" x14ac:dyDescent="0.35">
      <c r="A109">
        <f t="shared" si="34"/>
        <v>108</v>
      </c>
      <c r="B109" s="13">
        <f t="shared" si="44"/>
        <v>2035</v>
      </c>
      <c r="C109">
        <f t="shared" si="40"/>
        <v>12</v>
      </c>
      <c r="D109" t="b">
        <f t="shared" si="41"/>
        <v>1</v>
      </c>
      <c r="E109" s="7">
        <f t="shared" si="30"/>
        <v>176668.42013893806</v>
      </c>
      <c r="F109" cm="1">
        <f t="array" ref="F109">IF($A109="", "", MRate(E109))</f>
        <v>0.39</v>
      </c>
      <c r="G109" s="7">
        <f t="shared" si="42"/>
        <v>11475.409836065573</v>
      </c>
      <c r="H109" s="7">
        <f>IF($A109="", "", _xlfn.XLOOKUP($B109, YearlyParamsA!$A:$A, YearlyParamsA!$E:$E, 0))</f>
        <v>0</v>
      </c>
      <c r="I109" s="5">
        <f t="shared" si="43"/>
        <v>21200.210416672566</v>
      </c>
      <c r="J109" s="5">
        <f>IFERROR(IF($A109="", "", _xlfn.XLOOKUP($B109, YearlyParamsA!$A:$A, YearlyParamsA!$I:$I, 0)), 0)</f>
        <v>21299.789583327431</v>
      </c>
      <c r="K109" s="5">
        <f t="shared" si="28"/>
        <v>21299.789583327431</v>
      </c>
      <c r="L109" s="5">
        <f t="shared" si="47"/>
        <v>8306.9179374976975</v>
      </c>
      <c r="M109" s="5">
        <f t="shared" si="35"/>
        <v>11475.409836065573</v>
      </c>
      <c r="N109" s="5">
        <f t="shared" si="36"/>
        <v>0</v>
      </c>
      <c r="O109" s="7">
        <f t="shared" si="37"/>
        <v>0</v>
      </c>
      <c r="P109" s="7">
        <f t="shared" si="45"/>
        <v>0</v>
      </c>
      <c r="Q109" s="7">
        <f t="shared" si="46"/>
        <v>21299.789583327431</v>
      </c>
      <c r="R109" s="5">
        <f t="shared" si="38"/>
        <v>8306.9179374976975</v>
      </c>
      <c r="S109" s="5">
        <f t="shared" si="39"/>
        <v>95266.301937125492</v>
      </c>
    </row>
    <row r="110" spans="1:19" x14ac:dyDescent="0.35">
      <c r="A110">
        <f t="shared" si="34"/>
        <v>109</v>
      </c>
      <c r="B110" s="13">
        <f t="shared" si="44"/>
        <v>2036</v>
      </c>
      <c r="C110">
        <f t="shared" si="40"/>
        <v>1</v>
      </c>
      <c r="D110" t="b">
        <f t="shared" si="41"/>
        <v>0</v>
      </c>
      <c r="E110" s="7">
        <f t="shared" si="30"/>
        <v>181085.13064241147</v>
      </c>
      <c r="F110" cm="1">
        <f t="array" ref="F110">IF($A110="", "", MRate(E110))</f>
        <v>0.39</v>
      </c>
      <c r="G110" s="7">
        <f t="shared" si="42"/>
        <v>11475.409836065573</v>
      </c>
      <c r="H110" s="7">
        <f>IF($A110="", "", _xlfn.XLOOKUP($B110, YearlyParamsA!$A:$A, YearlyParamsA!$E:$E, 0))</f>
        <v>0</v>
      </c>
      <c r="I110" s="5">
        <f t="shared" si="43"/>
        <v>21730.215677089374</v>
      </c>
      <c r="J110" s="5">
        <f>IFERROR(IF($A110="", "", _xlfn.XLOOKUP($B110, YearlyParamsA!$A:$A, YearlyParamsA!$I:$I, 0)), 0)</f>
        <v>20769.784322910618</v>
      </c>
      <c r="K110" s="5">
        <f t="shared" si="28"/>
        <v>0</v>
      </c>
      <c r="L110" s="5">
        <f t="shared" si="47"/>
        <v>0</v>
      </c>
      <c r="M110" s="5">
        <f t="shared" si="35"/>
        <v>11475.409836065573</v>
      </c>
      <c r="N110" s="5">
        <f t="shared" si="36"/>
        <v>20769.784322910618</v>
      </c>
      <c r="O110" s="7">
        <f t="shared" si="37"/>
        <v>11475.409836065573</v>
      </c>
      <c r="P110" s="7">
        <f t="shared" si="45"/>
        <v>4475.4098360655735</v>
      </c>
      <c r="Q110" s="7">
        <f t="shared" si="46"/>
        <v>11475.409836065573</v>
      </c>
      <c r="R110" s="5">
        <f t="shared" si="38"/>
        <v>4475.4098360655735</v>
      </c>
      <c r="S110" s="5">
        <f t="shared" si="39"/>
        <v>99741.711773191069</v>
      </c>
    </row>
    <row r="111" spans="1:19" x14ac:dyDescent="0.35">
      <c r="A111">
        <f t="shared" si="34"/>
        <v>110</v>
      </c>
      <c r="B111" s="13">
        <f t="shared" si="44"/>
        <v>2036</v>
      </c>
      <c r="C111">
        <f t="shared" si="40"/>
        <v>2</v>
      </c>
      <c r="D111" t="b">
        <f t="shared" si="41"/>
        <v>0</v>
      </c>
      <c r="E111" s="7">
        <f t="shared" si="30"/>
        <v>181085.13064241147</v>
      </c>
      <c r="F111" cm="1">
        <f t="array" ref="F111">IF($A111="", "", MRate(E111))</f>
        <v>0.39</v>
      </c>
      <c r="G111" s="7">
        <f t="shared" si="42"/>
        <v>11475.409836065573</v>
      </c>
      <c r="H111" s="7">
        <f>IF($A111="", "", _xlfn.XLOOKUP($B111, YearlyParamsA!$A:$A, YearlyParamsA!$E:$E, 0))</f>
        <v>0</v>
      </c>
      <c r="I111" s="5">
        <f t="shared" si="43"/>
        <v>21730.215677089374</v>
      </c>
      <c r="J111" s="5">
        <f>IFERROR(IF($A111="", "", _xlfn.XLOOKUP($B111, YearlyParamsA!$A:$A, YearlyParamsA!$I:$I, 0)), 0)</f>
        <v>20769.784322910618</v>
      </c>
      <c r="K111" s="5">
        <f t="shared" si="28"/>
        <v>11475.409836065573</v>
      </c>
      <c r="L111" s="5">
        <f t="shared" si="47"/>
        <v>4475.4098360655735</v>
      </c>
      <c r="M111" s="5">
        <f t="shared" si="35"/>
        <v>11475.409836065573</v>
      </c>
      <c r="N111" s="5">
        <f t="shared" si="36"/>
        <v>9294.3744868450449</v>
      </c>
      <c r="O111" s="7">
        <f t="shared" si="37"/>
        <v>9294.3744868450449</v>
      </c>
      <c r="P111" s="7">
        <f t="shared" si="45"/>
        <v>3624.8060498695677</v>
      </c>
      <c r="Q111" s="7">
        <f t="shared" si="46"/>
        <v>20769.784322910618</v>
      </c>
      <c r="R111" s="5">
        <f t="shared" si="38"/>
        <v>8100.2158859351412</v>
      </c>
      <c r="S111" s="5">
        <f t="shared" si="39"/>
        <v>103366.51782306064</v>
      </c>
    </row>
    <row r="112" spans="1:19" x14ac:dyDescent="0.35">
      <c r="A112">
        <f t="shared" si="34"/>
        <v>111</v>
      </c>
      <c r="B112" s="13">
        <f t="shared" si="44"/>
        <v>2036</v>
      </c>
      <c r="C112">
        <f t="shared" si="40"/>
        <v>3</v>
      </c>
      <c r="D112" t="b">
        <f t="shared" si="41"/>
        <v>0</v>
      </c>
      <c r="E112" s="7">
        <f t="shared" si="30"/>
        <v>181085.13064241147</v>
      </c>
      <c r="F112" cm="1">
        <f t="array" ref="F112">IF($A112="", "", MRate(E112))</f>
        <v>0.39</v>
      </c>
      <c r="G112" s="7">
        <f t="shared" si="42"/>
        <v>11475.409836065573</v>
      </c>
      <c r="H112" s="7">
        <f>IF($A112="", "", _xlfn.XLOOKUP($B112, YearlyParamsA!$A:$A, YearlyParamsA!$E:$E, 0))</f>
        <v>0</v>
      </c>
      <c r="I112" s="5">
        <f t="shared" si="43"/>
        <v>21730.215677089374</v>
      </c>
      <c r="J112" s="5">
        <f>IFERROR(IF($A112="", "", _xlfn.XLOOKUP($B112, YearlyParamsA!$A:$A, YearlyParamsA!$I:$I, 0)), 0)</f>
        <v>20769.784322910618</v>
      </c>
      <c r="K112" s="5">
        <f t="shared" si="28"/>
        <v>20769.784322910618</v>
      </c>
      <c r="L112" s="5">
        <f t="shared" si="47"/>
        <v>8100.2158859351412</v>
      </c>
      <c r="M112" s="5">
        <f t="shared" si="35"/>
        <v>11475.409836065573</v>
      </c>
      <c r="N112" s="5">
        <f t="shared" si="36"/>
        <v>0</v>
      </c>
      <c r="O112" s="7">
        <f t="shared" si="37"/>
        <v>0</v>
      </c>
      <c r="P112" s="7">
        <f t="shared" si="45"/>
        <v>0</v>
      </c>
      <c r="Q112" s="7">
        <f t="shared" si="46"/>
        <v>20769.784322910618</v>
      </c>
      <c r="R112" s="5">
        <f t="shared" si="38"/>
        <v>8100.2158859351412</v>
      </c>
      <c r="S112" s="5">
        <f t="shared" si="39"/>
        <v>103366.51782306064</v>
      </c>
    </row>
    <row r="113" spans="1:19" x14ac:dyDescent="0.35">
      <c r="A113">
        <f t="shared" si="34"/>
        <v>112</v>
      </c>
      <c r="B113" s="13">
        <f t="shared" si="44"/>
        <v>2036</v>
      </c>
      <c r="C113">
        <f t="shared" si="40"/>
        <v>4</v>
      </c>
      <c r="D113" t="b">
        <f t="shared" si="41"/>
        <v>0</v>
      </c>
      <c r="E113" s="7">
        <f t="shared" si="30"/>
        <v>181085.13064241147</v>
      </c>
      <c r="F113" cm="1">
        <f t="array" ref="F113">IF($A113="", "", MRate(E113))</f>
        <v>0.39</v>
      </c>
      <c r="G113" s="7">
        <f t="shared" si="42"/>
        <v>11475.409836065573</v>
      </c>
      <c r="H113" s="7">
        <f>IF($A113="", "", _xlfn.XLOOKUP($B113, YearlyParamsA!$A:$A, YearlyParamsA!$E:$E, 0))</f>
        <v>0</v>
      </c>
      <c r="I113" s="5">
        <f t="shared" si="43"/>
        <v>21730.215677089374</v>
      </c>
      <c r="J113" s="5">
        <f>IFERROR(IF($A113="", "", _xlfn.XLOOKUP($B113, YearlyParamsA!$A:$A, YearlyParamsA!$I:$I, 0)), 0)</f>
        <v>20769.784322910618</v>
      </c>
      <c r="K113" s="5">
        <f t="shared" si="28"/>
        <v>20769.784322910618</v>
      </c>
      <c r="L113" s="5">
        <f t="shared" si="47"/>
        <v>8100.2158859351412</v>
      </c>
      <c r="M113" s="5">
        <f t="shared" si="35"/>
        <v>11475.409836065573</v>
      </c>
      <c r="N113" s="5">
        <f t="shared" si="36"/>
        <v>0</v>
      </c>
      <c r="O113" s="7">
        <f t="shared" si="37"/>
        <v>0</v>
      </c>
      <c r="P113" s="7">
        <f t="shared" si="45"/>
        <v>0</v>
      </c>
      <c r="Q113" s="7">
        <f t="shared" si="46"/>
        <v>20769.784322910618</v>
      </c>
      <c r="R113" s="5">
        <f t="shared" si="38"/>
        <v>8100.2158859351412</v>
      </c>
      <c r="S113" s="5">
        <f t="shared" si="39"/>
        <v>103366.51782306064</v>
      </c>
    </row>
    <row r="114" spans="1:19" x14ac:dyDescent="0.35">
      <c r="A114">
        <f t="shared" si="34"/>
        <v>113</v>
      </c>
      <c r="B114" s="13">
        <f t="shared" si="44"/>
        <v>2036</v>
      </c>
      <c r="C114">
        <f t="shared" si="40"/>
        <v>5</v>
      </c>
      <c r="D114" t="b">
        <f t="shared" si="41"/>
        <v>0</v>
      </c>
      <c r="E114" s="7">
        <f t="shared" si="30"/>
        <v>181085.13064241147</v>
      </c>
      <c r="F114" cm="1">
        <f t="array" ref="F114">IF($A114="", "", MRate(E114))</f>
        <v>0.39</v>
      </c>
      <c r="G114" s="7">
        <f t="shared" si="42"/>
        <v>11475.409836065573</v>
      </c>
      <c r="H114" s="7">
        <f>IF($A114="", "", _xlfn.XLOOKUP($B114, YearlyParamsA!$A:$A, YearlyParamsA!$E:$E, 0))</f>
        <v>0</v>
      </c>
      <c r="I114" s="5">
        <f t="shared" si="43"/>
        <v>21730.215677089374</v>
      </c>
      <c r="J114" s="5">
        <f>IFERROR(IF($A114="", "", _xlfn.XLOOKUP($B114, YearlyParamsA!$A:$A, YearlyParamsA!$I:$I, 0)), 0)</f>
        <v>20769.784322910618</v>
      </c>
      <c r="K114" s="5">
        <f t="shared" si="28"/>
        <v>20769.784322910618</v>
      </c>
      <c r="L114" s="5">
        <f t="shared" si="47"/>
        <v>8100.2158859351412</v>
      </c>
      <c r="M114" s="5">
        <f t="shared" si="35"/>
        <v>11475.409836065573</v>
      </c>
      <c r="N114" s="5">
        <f t="shared" si="36"/>
        <v>0</v>
      </c>
      <c r="O114" s="7">
        <f t="shared" si="37"/>
        <v>0</v>
      </c>
      <c r="P114" s="7">
        <f t="shared" si="45"/>
        <v>0</v>
      </c>
      <c r="Q114" s="7">
        <f t="shared" si="46"/>
        <v>20769.784322910618</v>
      </c>
      <c r="R114" s="5">
        <f t="shared" si="38"/>
        <v>8100.2158859351412</v>
      </c>
      <c r="S114" s="5">
        <f t="shared" si="39"/>
        <v>103366.51782306064</v>
      </c>
    </row>
    <row r="115" spans="1:19" x14ac:dyDescent="0.35">
      <c r="A115">
        <f t="shared" si="34"/>
        <v>114</v>
      </c>
      <c r="B115" s="13">
        <f t="shared" si="44"/>
        <v>2036</v>
      </c>
      <c r="C115">
        <f t="shared" si="40"/>
        <v>6</v>
      </c>
      <c r="D115" t="b">
        <f t="shared" si="41"/>
        <v>0</v>
      </c>
      <c r="E115" s="7">
        <f t="shared" si="30"/>
        <v>181085.13064241147</v>
      </c>
      <c r="F115" cm="1">
        <f t="array" ref="F115">IF($A115="", "", MRate(E115))</f>
        <v>0.39</v>
      </c>
      <c r="G115" s="7">
        <f t="shared" si="42"/>
        <v>11475.409836065573</v>
      </c>
      <c r="H115" s="7">
        <f>IF($A115="", "", _xlfn.XLOOKUP($B115, YearlyParamsA!$A:$A, YearlyParamsA!$E:$E, 0))</f>
        <v>0</v>
      </c>
      <c r="I115" s="5">
        <f t="shared" si="43"/>
        <v>21730.215677089374</v>
      </c>
      <c r="J115" s="5">
        <f>IFERROR(IF($A115="", "", _xlfn.XLOOKUP($B115, YearlyParamsA!$A:$A, YearlyParamsA!$I:$I, 0)), 0)</f>
        <v>20769.784322910618</v>
      </c>
      <c r="K115" s="5">
        <f t="shared" si="28"/>
        <v>20769.784322910618</v>
      </c>
      <c r="L115" s="5">
        <f t="shared" si="47"/>
        <v>8100.2158859351412</v>
      </c>
      <c r="M115" s="5">
        <f t="shared" si="35"/>
        <v>11475.409836065573</v>
      </c>
      <c r="N115" s="5">
        <f t="shared" si="36"/>
        <v>0</v>
      </c>
      <c r="O115" s="7">
        <f t="shared" si="37"/>
        <v>0</v>
      </c>
      <c r="P115" s="7">
        <f t="shared" si="45"/>
        <v>0</v>
      </c>
      <c r="Q115" s="7">
        <f t="shared" si="46"/>
        <v>20769.784322910618</v>
      </c>
      <c r="R115" s="5">
        <f t="shared" si="38"/>
        <v>8100.2158859351412</v>
      </c>
      <c r="S115" s="5">
        <f t="shared" si="39"/>
        <v>103366.51782306064</v>
      </c>
    </row>
    <row r="116" spans="1:19" x14ac:dyDescent="0.35">
      <c r="A116">
        <f t="shared" si="34"/>
        <v>115</v>
      </c>
      <c r="B116" s="13">
        <f t="shared" si="44"/>
        <v>2036</v>
      </c>
      <c r="C116">
        <f t="shared" si="40"/>
        <v>7</v>
      </c>
      <c r="D116" t="b">
        <f t="shared" si="41"/>
        <v>0</v>
      </c>
      <c r="E116" s="7">
        <f t="shared" si="30"/>
        <v>181085.13064241147</v>
      </c>
      <c r="F116" cm="1">
        <f t="array" ref="F116">IF($A116="", "", MRate(E116))</f>
        <v>0.39</v>
      </c>
      <c r="G116" s="7">
        <f t="shared" si="42"/>
        <v>11475.409836065573</v>
      </c>
      <c r="H116" s="7">
        <f>IF($A116="", "", _xlfn.XLOOKUP($B116, YearlyParamsA!$A:$A, YearlyParamsA!$E:$E, 0))</f>
        <v>0</v>
      </c>
      <c r="I116" s="5">
        <f t="shared" si="43"/>
        <v>21730.215677089374</v>
      </c>
      <c r="J116" s="5">
        <f>IFERROR(IF($A116="", "", _xlfn.XLOOKUP($B116, YearlyParamsA!$A:$A, YearlyParamsA!$I:$I, 0)), 0)</f>
        <v>20769.784322910618</v>
      </c>
      <c r="K116" s="5">
        <f t="shared" si="28"/>
        <v>20769.784322910618</v>
      </c>
      <c r="L116" s="5">
        <f t="shared" si="47"/>
        <v>8100.2158859351412</v>
      </c>
      <c r="M116" s="5">
        <f t="shared" si="35"/>
        <v>11475.409836065573</v>
      </c>
      <c r="N116" s="5">
        <f t="shared" si="36"/>
        <v>0</v>
      </c>
      <c r="O116" s="7">
        <f t="shared" si="37"/>
        <v>0</v>
      </c>
      <c r="P116" s="7">
        <f t="shared" si="45"/>
        <v>0</v>
      </c>
      <c r="Q116" s="7">
        <f t="shared" si="46"/>
        <v>20769.784322910618</v>
      </c>
      <c r="R116" s="5">
        <f t="shared" si="38"/>
        <v>8100.2158859351412</v>
      </c>
      <c r="S116" s="5">
        <f t="shared" si="39"/>
        <v>103366.51782306064</v>
      </c>
    </row>
    <row r="117" spans="1:19" x14ac:dyDescent="0.35">
      <c r="A117">
        <f t="shared" si="34"/>
        <v>116</v>
      </c>
      <c r="B117" s="13">
        <f t="shared" si="44"/>
        <v>2036</v>
      </c>
      <c r="C117">
        <f t="shared" si="40"/>
        <v>8</v>
      </c>
      <c r="D117" t="b">
        <f t="shared" si="41"/>
        <v>0</v>
      </c>
      <c r="E117" s="7">
        <f t="shared" si="30"/>
        <v>181085.13064241147</v>
      </c>
      <c r="F117" cm="1">
        <f t="array" ref="F117">IF($A117="", "", MRate(E117))</f>
        <v>0.39</v>
      </c>
      <c r="G117" s="7">
        <f t="shared" si="42"/>
        <v>11475.409836065573</v>
      </c>
      <c r="H117" s="7">
        <f>IF($A117="", "", _xlfn.XLOOKUP($B117, YearlyParamsA!$A:$A, YearlyParamsA!$E:$E, 0))</f>
        <v>0</v>
      </c>
      <c r="I117" s="5">
        <f t="shared" si="43"/>
        <v>21730.215677089374</v>
      </c>
      <c r="J117" s="5">
        <f>IFERROR(IF($A117="", "", _xlfn.XLOOKUP($B117, YearlyParamsA!$A:$A, YearlyParamsA!$I:$I, 0)), 0)</f>
        <v>20769.784322910618</v>
      </c>
      <c r="K117" s="5">
        <f t="shared" si="28"/>
        <v>20769.784322910618</v>
      </c>
      <c r="L117" s="5">
        <f t="shared" si="47"/>
        <v>8100.2158859351412</v>
      </c>
      <c r="M117" s="5">
        <f t="shared" si="35"/>
        <v>11475.409836065573</v>
      </c>
      <c r="N117" s="5">
        <f t="shared" si="36"/>
        <v>0</v>
      </c>
      <c r="O117" s="7">
        <f t="shared" si="37"/>
        <v>0</v>
      </c>
      <c r="P117" s="7">
        <f t="shared" si="45"/>
        <v>0</v>
      </c>
      <c r="Q117" s="7">
        <f t="shared" si="46"/>
        <v>20769.784322910618</v>
      </c>
      <c r="R117" s="5">
        <f t="shared" si="38"/>
        <v>8100.2158859351412</v>
      </c>
      <c r="S117" s="5">
        <f t="shared" si="39"/>
        <v>103366.51782306064</v>
      </c>
    </row>
    <row r="118" spans="1:19" x14ac:dyDescent="0.35">
      <c r="A118">
        <f t="shared" si="34"/>
        <v>117</v>
      </c>
      <c r="B118" s="13">
        <f t="shared" si="44"/>
        <v>2036</v>
      </c>
      <c r="C118">
        <f t="shared" si="40"/>
        <v>9</v>
      </c>
      <c r="D118" t="b">
        <f t="shared" si="41"/>
        <v>0</v>
      </c>
      <c r="E118" s="7">
        <f t="shared" si="30"/>
        <v>181085.13064241147</v>
      </c>
      <c r="F118" cm="1">
        <f t="array" ref="F118">IF($A118="", "", MRate(E118))</f>
        <v>0.39</v>
      </c>
      <c r="G118" s="7">
        <f t="shared" si="42"/>
        <v>11475.409836065573</v>
      </c>
      <c r="H118" s="7">
        <f>IF($A118="", "", _xlfn.XLOOKUP($B118, YearlyParamsA!$A:$A, YearlyParamsA!$E:$E, 0))</f>
        <v>0</v>
      </c>
      <c r="I118" s="5">
        <f t="shared" si="43"/>
        <v>21730.215677089374</v>
      </c>
      <c r="J118" s="5">
        <f>IFERROR(IF($A118="", "", _xlfn.XLOOKUP($B118, YearlyParamsA!$A:$A, YearlyParamsA!$I:$I, 0)), 0)</f>
        <v>20769.784322910618</v>
      </c>
      <c r="K118" s="5">
        <f t="shared" si="28"/>
        <v>20769.784322910618</v>
      </c>
      <c r="L118" s="5">
        <f t="shared" si="47"/>
        <v>8100.2158859351412</v>
      </c>
      <c r="M118" s="5">
        <f t="shared" si="35"/>
        <v>11475.409836065573</v>
      </c>
      <c r="N118" s="5">
        <f t="shared" si="36"/>
        <v>0</v>
      </c>
      <c r="O118" s="7">
        <f t="shared" si="37"/>
        <v>0</v>
      </c>
      <c r="P118" s="7">
        <f t="shared" si="45"/>
        <v>0</v>
      </c>
      <c r="Q118" s="7">
        <f t="shared" si="46"/>
        <v>20769.784322910618</v>
      </c>
      <c r="R118" s="5">
        <f t="shared" si="38"/>
        <v>8100.2158859351412</v>
      </c>
      <c r="S118" s="5">
        <f t="shared" si="39"/>
        <v>103366.51782306064</v>
      </c>
    </row>
    <row r="119" spans="1:19" x14ac:dyDescent="0.35">
      <c r="A119">
        <f t="shared" si="34"/>
        <v>118</v>
      </c>
      <c r="B119" s="13">
        <f t="shared" si="44"/>
        <v>2036</v>
      </c>
      <c r="C119">
        <f t="shared" si="40"/>
        <v>10</v>
      </c>
      <c r="D119" t="b">
        <f t="shared" si="41"/>
        <v>0</v>
      </c>
      <c r="E119" s="7">
        <f t="shared" si="30"/>
        <v>181085.13064241147</v>
      </c>
      <c r="F119" cm="1">
        <f t="array" ref="F119">IF($A119="", "", MRate(E119))</f>
        <v>0.39</v>
      </c>
      <c r="G119" s="7">
        <f t="shared" si="42"/>
        <v>11475.409836065573</v>
      </c>
      <c r="H119" s="7">
        <f>IF($A119="", "", _xlfn.XLOOKUP($B119, YearlyParamsA!$A:$A, YearlyParamsA!$E:$E, 0))</f>
        <v>0</v>
      </c>
      <c r="I119" s="5">
        <f t="shared" si="43"/>
        <v>21730.215677089374</v>
      </c>
      <c r="J119" s="5">
        <f>IFERROR(IF($A119="", "", _xlfn.XLOOKUP($B119, YearlyParamsA!$A:$A, YearlyParamsA!$I:$I, 0)), 0)</f>
        <v>20769.784322910618</v>
      </c>
      <c r="K119" s="5">
        <f t="shared" si="28"/>
        <v>20769.784322910618</v>
      </c>
      <c r="L119" s="5">
        <f t="shared" si="47"/>
        <v>8100.2158859351412</v>
      </c>
      <c r="M119" s="5">
        <f t="shared" si="35"/>
        <v>11475.409836065573</v>
      </c>
      <c r="N119" s="5">
        <f t="shared" si="36"/>
        <v>0</v>
      </c>
      <c r="O119" s="7">
        <f t="shared" si="37"/>
        <v>0</v>
      </c>
      <c r="P119" s="7">
        <f t="shared" si="45"/>
        <v>0</v>
      </c>
      <c r="Q119" s="7">
        <f t="shared" si="46"/>
        <v>20769.784322910618</v>
      </c>
      <c r="R119" s="5">
        <f t="shared" si="38"/>
        <v>8100.2158859351412</v>
      </c>
      <c r="S119" s="5">
        <f t="shared" si="39"/>
        <v>103366.51782306064</v>
      </c>
    </row>
    <row r="120" spans="1:19" x14ac:dyDescent="0.35">
      <c r="A120">
        <f t="shared" si="34"/>
        <v>119</v>
      </c>
      <c r="B120" s="13">
        <f t="shared" si="44"/>
        <v>2036</v>
      </c>
      <c r="C120">
        <f t="shared" si="40"/>
        <v>11</v>
      </c>
      <c r="D120" t="b">
        <f t="shared" si="41"/>
        <v>0</v>
      </c>
      <c r="E120" s="7">
        <f t="shared" si="30"/>
        <v>181085.13064241147</v>
      </c>
      <c r="F120" cm="1">
        <f t="array" ref="F120">IF($A120="", "", MRate(E120))</f>
        <v>0.39</v>
      </c>
      <c r="G120" s="7">
        <f t="shared" si="42"/>
        <v>11475.409836065573</v>
      </c>
      <c r="H120" s="7">
        <f>IF($A120="", "", _xlfn.XLOOKUP($B120, YearlyParamsA!$A:$A, YearlyParamsA!$E:$E, 0))</f>
        <v>0</v>
      </c>
      <c r="I120" s="5">
        <f t="shared" si="43"/>
        <v>21730.215677089374</v>
      </c>
      <c r="J120" s="5">
        <f>IFERROR(IF($A120="", "", _xlfn.XLOOKUP($B120, YearlyParamsA!$A:$A, YearlyParamsA!$I:$I, 0)), 0)</f>
        <v>20769.784322910618</v>
      </c>
      <c r="K120" s="5">
        <f t="shared" si="28"/>
        <v>20769.784322910618</v>
      </c>
      <c r="L120" s="5">
        <f t="shared" si="47"/>
        <v>8100.2158859351412</v>
      </c>
      <c r="M120" s="5">
        <f t="shared" si="35"/>
        <v>11475.409836065573</v>
      </c>
      <c r="N120" s="5">
        <f t="shared" si="36"/>
        <v>0</v>
      </c>
      <c r="O120" s="7">
        <f t="shared" si="37"/>
        <v>0</v>
      </c>
      <c r="P120" s="7">
        <f t="shared" si="45"/>
        <v>0</v>
      </c>
      <c r="Q120" s="7">
        <f t="shared" si="46"/>
        <v>20769.784322910618</v>
      </c>
      <c r="R120" s="5">
        <f t="shared" si="38"/>
        <v>8100.2158859351412</v>
      </c>
      <c r="S120" s="5">
        <f t="shared" si="39"/>
        <v>103366.51782306064</v>
      </c>
    </row>
    <row r="121" spans="1:19" x14ac:dyDescent="0.35">
      <c r="A121">
        <f t="shared" si="34"/>
        <v>120</v>
      </c>
      <c r="B121" s="13">
        <f t="shared" si="44"/>
        <v>2036</v>
      </c>
      <c r="C121">
        <f t="shared" si="40"/>
        <v>12</v>
      </c>
      <c r="D121" t="b">
        <f t="shared" si="41"/>
        <v>1</v>
      </c>
      <c r="E121" s="7">
        <f t="shared" si="30"/>
        <v>181085.13064241147</v>
      </c>
      <c r="F121" cm="1">
        <f t="array" ref="F121">IF($A121="", "", MRate(E121))</f>
        <v>0.39</v>
      </c>
      <c r="G121" s="7">
        <f t="shared" si="42"/>
        <v>11475.409836065573</v>
      </c>
      <c r="H121" s="7">
        <f>IF($A121="", "", _xlfn.XLOOKUP($B121, YearlyParamsA!$A:$A, YearlyParamsA!$E:$E, 0))</f>
        <v>0</v>
      </c>
      <c r="I121" s="5">
        <f t="shared" si="43"/>
        <v>21730.215677089374</v>
      </c>
      <c r="J121" s="5">
        <f>IFERROR(IF($A121="", "", _xlfn.XLOOKUP($B121, YearlyParamsA!$A:$A, YearlyParamsA!$I:$I, 0)), 0)</f>
        <v>20769.784322910618</v>
      </c>
      <c r="K121" s="5">
        <f t="shared" si="28"/>
        <v>20769.784322910618</v>
      </c>
      <c r="L121" s="5">
        <f t="shared" si="47"/>
        <v>8100.2158859351412</v>
      </c>
      <c r="M121" s="5">
        <f t="shared" si="35"/>
        <v>11475.409836065573</v>
      </c>
      <c r="N121" s="5">
        <f t="shared" si="36"/>
        <v>0</v>
      </c>
      <c r="O121" s="7">
        <f t="shared" si="37"/>
        <v>0</v>
      </c>
      <c r="P121" s="7">
        <f t="shared" si="45"/>
        <v>0</v>
      </c>
      <c r="Q121" s="7">
        <f t="shared" si="46"/>
        <v>20769.784322910618</v>
      </c>
      <c r="R121" s="5">
        <f t="shared" si="38"/>
        <v>8100.2158859351412</v>
      </c>
      <c r="S121" s="5">
        <f t="shared" si="39"/>
        <v>103366.51782306064</v>
      </c>
    </row>
    <row r="122" spans="1:19" x14ac:dyDescent="0.35">
      <c r="A122">
        <f t="shared" si="34"/>
        <v>121</v>
      </c>
      <c r="B122" s="13">
        <f t="shared" si="44"/>
        <v>2037</v>
      </c>
      <c r="C122">
        <f t="shared" ref="C122:C145" si="48">IF($A122="", "", MOD($A122-1, PPYA)+1)</f>
        <v>1</v>
      </c>
      <c r="D122" t="b">
        <f t="shared" ref="D122:D145" si="49">IF($A122="", "", C122=PPYA)</f>
        <v>0</v>
      </c>
      <c r="E122" s="7">
        <f t="shared" si="30"/>
        <v>185612.25890847179</v>
      </c>
      <c r="F122" cm="1">
        <f t="array" ref="F122">IF($A122="", "", MRate(E122))</f>
        <v>0.39</v>
      </c>
      <c r="G122" s="7">
        <f t="shared" ref="G122:G145" si="50">IF($A122="", "", AfterTaxA/(1-F122))</f>
        <v>11475.409836065573</v>
      </c>
      <c r="H122" s="7">
        <f>IF($A122="", "", _xlfn.XLOOKUP($B122, YearlyParamsA!$A:$A, YearlyParamsA!$E:$E, 0))</f>
        <v>0</v>
      </c>
      <c r="I122" s="5">
        <f t="shared" ref="I122:I145" si="51">IF($A122="", "", E122*SGRate)</f>
        <v>22273.471069016614</v>
      </c>
      <c r="J122" s="5">
        <f>IFERROR(IF($A122="", "", _xlfn.XLOOKUP($B122, YearlyParamsA!$A:$A, YearlyParamsA!$I:$I, 0)), 0)</f>
        <v>22726.528930983386</v>
      </c>
      <c r="K122" s="5">
        <f t="shared" si="28"/>
        <v>0</v>
      </c>
      <c r="L122" s="5">
        <f t="shared" si="47"/>
        <v>0</v>
      </c>
      <c r="M122" s="5">
        <f t="shared" si="35"/>
        <v>11475.409836065573</v>
      </c>
      <c r="N122" s="5">
        <f t="shared" si="36"/>
        <v>22726.528930983386</v>
      </c>
      <c r="O122" s="7">
        <f t="shared" si="37"/>
        <v>11475.409836065573</v>
      </c>
      <c r="P122" s="7">
        <f t="shared" si="45"/>
        <v>4475.4098360655735</v>
      </c>
      <c r="Q122" s="7">
        <f t="shared" si="46"/>
        <v>11475.409836065573</v>
      </c>
      <c r="R122" s="5">
        <f>IFERROR(IF($A121="", "", IF(B122&lt;&gt;B121,P122,R121+P122)), 0)</f>
        <v>4475.4098360655735</v>
      </c>
      <c r="S122" s="5">
        <f t="shared" si="39"/>
        <v>107841.92765912622</v>
      </c>
    </row>
    <row r="123" spans="1:19" x14ac:dyDescent="0.35">
      <c r="A123">
        <f t="shared" si="34"/>
        <v>122</v>
      </c>
      <c r="B123" s="13">
        <f t="shared" si="44"/>
        <v>2037</v>
      </c>
      <c r="C123">
        <f t="shared" si="48"/>
        <v>2</v>
      </c>
      <c r="D123" t="b">
        <f t="shared" si="49"/>
        <v>0</v>
      </c>
      <c r="E123" s="7">
        <f t="shared" si="30"/>
        <v>185612.25890847179</v>
      </c>
      <c r="F123" cm="1">
        <f t="array" ref="F123">IF($A123="", "", MRate(E123))</f>
        <v>0.39</v>
      </c>
      <c r="G123" s="7">
        <f t="shared" si="50"/>
        <v>11475.409836065573</v>
      </c>
      <c r="H123" s="7">
        <f>IF($A123="", "", _xlfn.XLOOKUP($B123, YearlyParamsA!$A:$A, YearlyParamsA!$E:$E, 0))</f>
        <v>0</v>
      </c>
      <c r="I123" s="5">
        <f t="shared" si="51"/>
        <v>22273.471069016614</v>
      </c>
      <c r="J123" s="5">
        <f>IFERROR(IF($A123="", "", _xlfn.XLOOKUP($B123, YearlyParamsA!$A:$A, YearlyParamsA!$I:$I, 0)), 0)</f>
        <v>22726.528930983386</v>
      </c>
      <c r="K123" s="5">
        <f t="shared" si="28"/>
        <v>11475.409836065573</v>
      </c>
      <c r="L123" s="5">
        <f t="shared" si="47"/>
        <v>4475.4098360655735</v>
      </c>
      <c r="M123" s="5">
        <f t="shared" si="35"/>
        <v>11475.409836065573</v>
      </c>
      <c r="N123" s="5">
        <f t="shared" si="36"/>
        <v>11251.119094917813</v>
      </c>
      <c r="O123" s="7">
        <f t="shared" si="37"/>
        <v>11251.119094917813</v>
      </c>
      <c r="P123" s="7">
        <f t="shared" si="45"/>
        <v>4387.9364470179471</v>
      </c>
      <c r="Q123" s="7">
        <f t="shared" si="46"/>
        <v>22726.528930983386</v>
      </c>
      <c r="R123" s="5">
        <f t="shared" ref="R123:R145" si="52">IFERROR(IF($A122="", "", IF(B123&lt;&gt;B122,P123,R122+P123)), 0)</f>
        <v>8863.3462830835197</v>
      </c>
      <c r="S123" s="5">
        <f t="shared" si="39"/>
        <v>112229.86410614416</v>
      </c>
    </row>
    <row r="124" spans="1:19" x14ac:dyDescent="0.35">
      <c r="A124">
        <f t="shared" si="34"/>
        <v>123</v>
      </c>
      <c r="B124" s="13">
        <f t="shared" si="44"/>
        <v>2037</v>
      </c>
      <c r="C124">
        <f t="shared" si="48"/>
        <v>3</v>
      </c>
      <c r="D124" t="b">
        <f t="shared" si="49"/>
        <v>0</v>
      </c>
      <c r="E124" s="7">
        <f t="shared" si="30"/>
        <v>185612.25890847179</v>
      </c>
      <c r="F124" cm="1">
        <f t="array" ref="F124">IF($A124="", "", MRate(E124))</f>
        <v>0.39</v>
      </c>
      <c r="G124" s="7">
        <f t="shared" si="50"/>
        <v>11475.409836065573</v>
      </c>
      <c r="H124" s="7">
        <f>IF($A124="", "", _xlfn.XLOOKUP($B124, YearlyParamsA!$A:$A, YearlyParamsA!$E:$E, 0))</f>
        <v>0</v>
      </c>
      <c r="I124" s="5">
        <f t="shared" si="51"/>
        <v>22273.471069016614</v>
      </c>
      <c r="J124" s="5">
        <f>IFERROR(IF($A124="", "", _xlfn.XLOOKUP($B124, YearlyParamsA!$A:$A, YearlyParamsA!$I:$I, 0)), 0)</f>
        <v>22726.528930983386</v>
      </c>
      <c r="K124" s="5">
        <f t="shared" si="28"/>
        <v>22726.528930983386</v>
      </c>
      <c r="L124" s="5">
        <f t="shared" si="47"/>
        <v>8863.3462830835197</v>
      </c>
      <c r="M124" s="5">
        <f t="shared" si="35"/>
        <v>11475.409836065573</v>
      </c>
      <c r="N124" s="5">
        <f t="shared" si="36"/>
        <v>0</v>
      </c>
      <c r="O124" s="7">
        <f t="shared" si="37"/>
        <v>0</v>
      </c>
      <c r="P124" s="7">
        <f t="shared" si="45"/>
        <v>0</v>
      </c>
      <c r="Q124" s="7">
        <f t="shared" si="46"/>
        <v>22726.528930983386</v>
      </c>
      <c r="R124" s="5">
        <f t="shared" si="52"/>
        <v>8863.3462830835197</v>
      </c>
      <c r="S124" s="5">
        <f t="shared" si="39"/>
        <v>112229.86410614416</v>
      </c>
    </row>
    <row r="125" spans="1:19" x14ac:dyDescent="0.35">
      <c r="A125">
        <f t="shared" si="34"/>
        <v>124</v>
      </c>
      <c r="B125" s="13">
        <f t="shared" si="44"/>
        <v>2037</v>
      </c>
      <c r="C125">
        <f t="shared" si="48"/>
        <v>4</v>
      </c>
      <c r="D125" t="b">
        <f t="shared" si="49"/>
        <v>0</v>
      </c>
      <c r="E125" s="7">
        <f t="shared" si="30"/>
        <v>185612.25890847179</v>
      </c>
      <c r="F125" cm="1">
        <f t="array" ref="F125">IF($A125="", "", MRate(E125))</f>
        <v>0.39</v>
      </c>
      <c r="G125" s="7">
        <f t="shared" si="50"/>
        <v>11475.409836065573</v>
      </c>
      <c r="H125" s="7">
        <f>IF($A125="", "", _xlfn.XLOOKUP($B125, YearlyParamsA!$A:$A, YearlyParamsA!$E:$E, 0))</f>
        <v>0</v>
      </c>
      <c r="I125" s="5">
        <f t="shared" si="51"/>
        <v>22273.471069016614</v>
      </c>
      <c r="J125" s="5">
        <f>IFERROR(IF($A125="", "", _xlfn.XLOOKUP($B125, YearlyParamsA!$A:$A, YearlyParamsA!$I:$I, 0)), 0)</f>
        <v>22726.528930983386</v>
      </c>
      <c r="K125" s="5">
        <f t="shared" si="28"/>
        <v>22726.528930983386</v>
      </c>
      <c r="L125" s="5">
        <f t="shared" si="47"/>
        <v>8863.3462830835197</v>
      </c>
      <c r="M125" s="5">
        <f t="shared" si="35"/>
        <v>11475.409836065573</v>
      </c>
      <c r="N125" s="5">
        <f t="shared" si="36"/>
        <v>0</v>
      </c>
      <c r="O125" s="7">
        <f t="shared" si="37"/>
        <v>0</v>
      </c>
      <c r="P125" s="7">
        <f t="shared" si="45"/>
        <v>0</v>
      </c>
      <c r="Q125" s="7">
        <f t="shared" si="46"/>
        <v>22726.528930983386</v>
      </c>
      <c r="R125" s="5">
        <f t="shared" si="52"/>
        <v>8863.3462830835197</v>
      </c>
      <c r="S125" s="5">
        <f t="shared" si="39"/>
        <v>112229.86410614416</v>
      </c>
    </row>
    <row r="126" spans="1:19" x14ac:dyDescent="0.35">
      <c r="A126">
        <f t="shared" si="34"/>
        <v>125</v>
      </c>
      <c r="B126" s="13">
        <f t="shared" si="44"/>
        <v>2037</v>
      </c>
      <c r="C126">
        <f t="shared" si="48"/>
        <v>5</v>
      </c>
      <c r="D126" t="b">
        <f t="shared" si="49"/>
        <v>0</v>
      </c>
      <c r="E126" s="7">
        <f t="shared" si="30"/>
        <v>185612.25890847179</v>
      </c>
      <c r="F126" cm="1">
        <f t="array" ref="F126">IF($A126="", "", MRate(E126))</f>
        <v>0.39</v>
      </c>
      <c r="G126" s="7">
        <f t="shared" si="50"/>
        <v>11475.409836065573</v>
      </c>
      <c r="H126" s="7">
        <f>IF($A126="", "", _xlfn.XLOOKUP($B126, YearlyParamsA!$A:$A, YearlyParamsA!$E:$E, 0))</f>
        <v>0</v>
      </c>
      <c r="I126" s="5">
        <f t="shared" si="51"/>
        <v>22273.471069016614</v>
      </c>
      <c r="J126" s="5">
        <f>IFERROR(IF($A126="", "", _xlfn.XLOOKUP($B126, YearlyParamsA!$A:$A, YearlyParamsA!$I:$I, 0)), 0)</f>
        <v>22726.528930983386</v>
      </c>
      <c r="K126" s="5">
        <f t="shared" si="28"/>
        <v>22726.528930983386</v>
      </c>
      <c r="L126" s="5">
        <f t="shared" si="47"/>
        <v>8863.3462830835197</v>
      </c>
      <c r="M126" s="5">
        <f t="shared" si="35"/>
        <v>11475.409836065573</v>
      </c>
      <c r="N126" s="5">
        <f t="shared" si="36"/>
        <v>0</v>
      </c>
      <c r="O126" s="7">
        <f t="shared" si="37"/>
        <v>0</v>
      </c>
      <c r="P126" s="7">
        <f t="shared" si="45"/>
        <v>0</v>
      </c>
      <c r="Q126" s="7">
        <f t="shared" si="46"/>
        <v>22726.528930983386</v>
      </c>
      <c r="R126" s="5">
        <f t="shared" si="52"/>
        <v>8863.3462830835197</v>
      </c>
      <c r="S126" s="5">
        <f t="shared" si="39"/>
        <v>112229.86410614416</v>
      </c>
    </row>
    <row r="127" spans="1:19" x14ac:dyDescent="0.35">
      <c r="A127">
        <f t="shared" si="34"/>
        <v>126</v>
      </c>
      <c r="B127" s="13">
        <f t="shared" si="44"/>
        <v>2037</v>
      </c>
      <c r="C127">
        <f t="shared" si="48"/>
        <v>6</v>
      </c>
      <c r="D127" t="b">
        <f t="shared" si="49"/>
        <v>0</v>
      </c>
      <c r="E127" s="7">
        <f t="shared" si="30"/>
        <v>185612.25890847179</v>
      </c>
      <c r="F127" cm="1">
        <f t="array" ref="F127">IF($A127="", "", MRate(E127))</f>
        <v>0.39</v>
      </c>
      <c r="G127" s="7">
        <f t="shared" si="50"/>
        <v>11475.409836065573</v>
      </c>
      <c r="H127" s="7">
        <f>IF($A127="", "", _xlfn.XLOOKUP($B127, YearlyParamsA!$A:$A, YearlyParamsA!$E:$E, 0))</f>
        <v>0</v>
      </c>
      <c r="I127" s="5">
        <f t="shared" si="51"/>
        <v>22273.471069016614</v>
      </c>
      <c r="J127" s="5">
        <f>IFERROR(IF($A127="", "", _xlfn.XLOOKUP($B127, YearlyParamsA!$A:$A, YearlyParamsA!$I:$I, 0)), 0)</f>
        <v>22726.528930983386</v>
      </c>
      <c r="K127" s="5">
        <f t="shared" ref="K127:K145" si="53">IFERROR(IF($A126="", "", IF(B127&lt;&gt;B126,0,Q126)), 0)</f>
        <v>22726.528930983386</v>
      </c>
      <c r="L127" s="5">
        <f t="shared" si="47"/>
        <v>8863.3462830835197</v>
      </c>
      <c r="M127" s="5">
        <f t="shared" si="35"/>
        <v>11475.409836065573</v>
      </c>
      <c r="N127" s="5">
        <f t="shared" si="36"/>
        <v>0</v>
      </c>
      <c r="O127" s="7">
        <f t="shared" si="37"/>
        <v>0</v>
      </c>
      <c r="P127" s="7">
        <f t="shared" si="45"/>
        <v>0</v>
      </c>
      <c r="Q127" s="7">
        <f t="shared" si="46"/>
        <v>22726.528930983386</v>
      </c>
      <c r="R127" s="5">
        <f t="shared" si="52"/>
        <v>8863.3462830835197</v>
      </c>
      <c r="S127" s="5">
        <f t="shared" si="39"/>
        <v>112229.86410614416</v>
      </c>
    </row>
    <row r="128" spans="1:19" x14ac:dyDescent="0.35">
      <c r="A128">
        <f t="shared" si="34"/>
        <v>127</v>
      </c>
      <c r="B128" s="13">
        <f t="shared" si="44"/>
        <v>2037</v>
      </c>
      <c r="C128">
        <f t="shared" si="48"/>
        <v>7</v>
      </c>
      <c r="D128" t="b">
        <f t="shared" si="49"/>
        <v>0</v>
      </c>
      <c r="E128" s="7">
        <f t="shared" si="30"/>
        <v>185612.25890847179</v>
      </c>
      <c r="F128" cm="1">
        <f t="array" ref="F128">IF($A128="", "", MRate(E128))</f>
        <v>0.39</v>
      </c>
      <c r="G128" s="7">
        <f t="shared" si="50"/>
        <v>11475.409836065573</v>
      </c>
      <c r="H128" s="7">
        <f>IF($A128="", "", _xlfn.XLOOKUP($B128, YearlyParamsA!$A:$A, YearlyParamsA!$E:$E, 0))</f>
        <v>0</v>
      </c>
      <c r="I128" s="5">
        <f t="shared" si="51"/>
        <v>22273.471069016614</v>
      </c>
      <c r="J128" s="5">
        <f>IFERROR(IF($A128="", "", _xlfn.XLOOKUP($B128, YearlyParamsA!$A:$A, YearlyParamsA!$I:$I, 0)), 0)</f>
        <v>22726.528930983386</v>
      </c>
      <c r="K128" s="5">
        <f t="shared" si="53"/>
        <v>22726.528930983386</v>
      </c>
      <c r="L128" s="5">
        <f t="shared" si="47"/>
        <v>8863.3462830835197</v>
      </c>
      <c r="M128" s="5">
        <f t="shared" si="35"/>
        <v>11475.409836065573</v>
      </c>
      <c r="N128" s="5">
        <f t="shared" si="36"/>
        <v>0</v>
      </c>
      <c r="O128" s="7">
        <f t="shared" si="37"/>
        <v>0</v>
      </c>
      <c r="P128" s="7">
        <f t="shared" si="45"/>
        <v>0</v>
      </c>
      <c r="Q128" s="7">
        <f t="shared" si="46"/>
        <v>22726.528930983386</v>
      </c>
      <c r="R128" s="5">
        <f t="shared" si="52"/>
        <v>8863.3462830835197</v>
      </c>
      <c r="S128" s="5">
        <f t="shared" si="39"/>
        <v>112229.86410614416</v>
      </c>
    </row>
    <row r="129" spans="1:19" x14ac:dyDescent="0.35">
      <c r="A129">
        <f t="shared" si="34"/>
        <v>128</v>
      </c>
      <c r="B129" s="13">
        <f t="shared" si="44"/>
        <v>2037</v>
      </c>
      <c r="C129">
        <f t="shared" si="48"/>
        <v>8</v>
      </c>
      <c r="D129" t="b">
        <f t="shared" si="49"/>
        <v>0</v>
      </c>
      <c r="E129" s="7">
        <f t="shared" si="30"/>
        <v>185612.25890847179</v>
      </c>
      <c r="F129" cm="1">
        <f t="array" ref="F129">IF($A129="", "", MRate(E129))</f>
        <v>0.39</v>
      </c>
      <c r="G129" s="7">
        <f t="shared" si="50"/>
        <v>11475.409836065573</v>
      </c>
      <c r="H129" s="7">
        <f>IF($A129="", "", _xlfn.XLOOKUP($B129, YearlyParamsA!$A:$A, YearlyParamsA!$E:$E, 0))</f>
        <v>0</v>
      </c>
      <c r="I129" s="5">
        <f t="shared" si="51"/>
        <v>22273.471069016614</v>
      </c>
      <c r="J129" s="5">
        <f>IFERROR(IF($A129="", "", _xlfn.XLOOKUP($B129, YearlyParamsA!$A:$A, YearlyParamsA!$I:$I, 0)), 0)</f>
        <v>22726.528930983386</v>
      </c>
      <c r="K129" s="5">
        <f t="shared" si="53"/>
        <v>22726.528930983386</v>
      </c>
      <c r="L129" s="5">
        <f t="shared" si="47"/>
        <v>8863.3462830835197</v>
      </c>
      <c r="M129" s="5">
        <f t="shared" si="35"/>
        <v>11475.409836065573</v>
      </c>
      <c r="N129" s="5">
        <f t="shared" si="36"/>
        <v>0</v>
      </c>
      <c r="O129" s="7">
        <f t="shared" si="37"/>
        <v>0</v>
      </c>
      <c r="P129" s="7">
        <f t="shared" si="45"/>
        <v>0</v>
      </c>
      <c r="Q129" s="7">
        <f t="shared" si="46"/>
        <v>22726.528930983386</v>
      </c>
      <c r="R129" s="5">
        <f t="shared" si="52"/>
        <v>8863.3462830835197</v>
      </c>
      <c r="S129" s="5">
        <f t="shared" si="39"/>
        <v>112229.86410614416</v>
      </c>
    </row>
    <row r="130" spans="1:19" x14ac:dyDescent="0.35">
      <c r="A130">
        <f t="shared" si="34"/>
        <v>129</v>
      </c>
      <c r="B130" s="13">
        <f t="shared" ref="B130:B145" si="54">IF(ROW()-1 &lt;= TotalPeriodsA, YEAR(StartYear) + INT((ROW()-2)/PPYA), "")</f>
        <v>2037</v>
      </c>
      <c r="C130">
        <f t="shared" si="48"/>
        <v>9</v>
      </c>
      <c r="D130" t="b">
        <f t="shared" si="49"/>
        <v>0</v>
      </c>
      <c r="E130" s="7">
        <f t="shared" ref="E130:E145" si="55">IF($A130="","",IncA*(1+Inflation)^((B130 - YEAR(StartYear))))</f>
        <v>185612.25890847179</v>
      </c>
      <c r="F130" cm="1">
        <f t="array" ref="F130">IF($A130="", "", MRate(E130))</f>
        <v>0.39</v>
      </c>
      <c r="G130" s="7">
        <f t="shared" si="50"/>
        <v>11475.409836065573</v>
      </c>
      <c r="H130" s="7">
        <f>IF($A130="", "", _xlfn.XLOOKUP($B130, YearlyParamsA!$A:$A, YearlyParamsA!$E:$E, 0))</f>
        <v>0</v>
      </c>
      <c r="I130" s="5">
        <f t="shared" si="51"/>
        <v>22273.471069016614</v>
      </c>
      <c r="J130" s="5">
        <f>IFERROR(IF($A130="", "", _xlfn.XLOOKUP($B130, YearlyParamsA!$A:$A, YearlyParamsA!$I:$I, 0)), 0)</f>
        <v>22726.528930983386</v>
      </c>
      <c r="K130" s="5">
        <f t="shared" si="53"/>
        <v>22726.528930983386</v>
      </c>
      <c r="L130" s="5">
        <f t="shared" si="47"/>
        <v>8863.3462830835197</v>
      </c>
      <c r="M130" s="5">
        <f t="shared" si="35"/>
        <v>11475.409836065573</v>
      </c>
      <c r="N130" s="5">
        <f t="shared" si="36"/>
        <v>0</v>
      </c>
      <c r="O130" s="7">
        <f t="shared" si="37"/>
        <v>0</v>
      </c>
      <c r="P130" s="7">
        <f t="shared" ref="P130:P145" si="56">IFERROR(IF($A130="", "", MIN(G130+L130/PPYA,N130)*F130 + MAX(0, MIN(G130+L130/PPYA,N130) - MIN(G130,N130))), 0)</f>
        <v>0</v>
      </c>
      <c r="Q130" s="7">
        <f t="shared" ref="Q130:Q145" si="57">IFERROR(IF($A130="", "", K130+MIN(G130+L130/PPYA,N130)), 0)</f>
        <v>22726.528930983386</v>
      </c>
      <c r="R130" s="5">
        <f t="shared" si="52"/>
        <v>8863.3462830835197</v>
      </c>
      <c r="S130" s="5">
        <f t="shared" si="39"/>
        <v>112229.86410614416</v>
      </c>
    </row>
    <row r="131" spans="1:19" x14ac:dyDescent="0.35">
      <c r="A131">
        <f t="shared" si="34"/>
        <v>130</v>
      </c>
      <c r="B131" s="13">
        <f t="shared" si="54"/>
        <v>2037</v>
      </c>
      <c r="C131">
        <f t="shared" si="48"/>
        <v>10</v>
      </c>
      <c r="D131" t="b">
        <f t="shared" si="49"/>
        <v>0</v>
      </c>
      <c r="E131" s="7">
        <f t="shared" si="55"/>
        <v>185612.25890847179</v>
      </c>
      <c r="F131" cm="1">
        <f t="array" ref="F131">IF($A131="", "", MRate(E131))</f>
        <v>0.39</v>
      </c>
      <c r="G131" s="7">
        <f t="shared" si="50"/>
        <v>11475.409836065573</v>
      </c>
      <c r="H131" s="7">
        <f>IF($A131="", "", _xlfn.XLOOKUP($B131, YearlyParamsA!$A:$A, YearlyParamsA!$E:$E, 0))</f>
        <v>0</v>
      </c>
      <c r="I131" s="5">
        <f t="shared" si="51"/>
        <v>22273.471069016614</v>
      </c>
      <c r="J131" s="5">
        <f>IFERROR(IF($A131="", "", _xlfn.XLOOKUP($B131, YearlyParamsA!$A:$A, YearlyParamsA!$I:$I, 0)), 0)</f>
        <v>22726.528930983386</v>
      </c>
      <c r="K131" s="5">
        <f t="shared" si="53"/>
        <v>22726.528930983386</v>
      </c>
      <c r="L131" s="5">
        <f t="shared" ref="L131:L145" si="58">IFERROR(IF($A130="","",IF(B131&lt;&gt;B130, 0, L130 + MIN(G130+L130/PPYA, J130-K130)*F130)), 0)</f>
        <v>8863.3462830835197</v>
      </c>
      <c r="M131" s="5">
        <f t="shared" si="35"/>
        <v>11475.409836065573</v>
      </c>
      <c r="N131" s="5">
        <f t="shared" si="36"/>
        <v>0</v>
      </c>
      <c r="O131" s="7">
        <f t="shared" si="37"/>
        <v>0</v>
      </c>
      <c r="P131" s="7">
        <f t="shared" si="56"/>
        <v>0</v>
      </c>
      <c r="Q131" s="7">
        <f t="shared" si="57"/>
        <v>22726.528930983386</v>
      </c>
      <c r="R131" s="5">
        <f t="shared" si="52"/>
        <v>8863.3462830835197</v>
      </c>
      <c r="S131" s="5">
        <f t="shared" si="39"/>
        <v>112229.86410614416</v>
      </c>
    </row>
    <row r="132" spans="1:19" x14ac:dyDescent="0.35">
      <c r="A132">
        <f t="shared" ref="A132:A145" si="59">IF(ROW()-1 &lt;= TotalPeriodsA, ROW()-1, "")</f>
        <v>131</v>
      </c>
      <c r="B132" s="13">
        <f t="shared" si="54"/>
        <v>2037</v>
      </c>
      <c r="C132">
        <f t="shared" si="48"/>
        <v>11</v>
      </c>
      <c r="D132" t="b">
        <f t="shared" si="49"/>
        <v>0</v>
      </c>
      <c r="E132" s="7">
        <f t="shared" si="55"/>
        <v>185612.25890847179</v>
      </c>
      <c r="F132" cm="1">
        <f t="array" ref="F132">IF($A132="", "", MRate(E132))</f>
        <v>0.39</v>
      </c>
      <c r="G132" s="7">
        <f t="shared" si="50"/>
        <v>11475.409836065573</v>
      </c>
      <c r="H132" s="7">
        <f>IF($A132="", "", _xlfn.XLOOKUP($B132, YearlyParamsA!$A:$A, YearlyParamsA!$E:$E, 0))</f>
        <v>0</v>
      </c>
      <c r="I132" s="5">
        <f t="shared" si="51"/>
        <v>22273.471069016614</v>
      </c>
      <c r="J132" s="5">
        <f>IFERROR(IF($A132="", "", _xlfn.XLOOKUP($B132, YearlyParamsA!$A:$A, YearlyParamsA!$I:$I, 0)), 0)</f>
        <v>22726.528930983386</v>
      </c>
      <c r="K132" s="5">
        <f t="shared" si="53"/>
        <v>22726.528930983386</v>
      </c>
      <c r="L132" s="5">
        <f t="shared" si="58"/>
        <v>8863.3462830835197</v>
      </c>
      <c r="M132" s="5">
        <f t="shared" ref="M132:M145" si="60">IF($A132="", "", G132)</f>
        <v>11475.409836065573</v>
      </c>
      <c r="N132" s="5">
        <f t="shared" ref="N132:N145" si="61">IFERROR(IF($A132="", "", J132-K132), 0)</f>
        <v>0</v>
      </c>
      <c r="O132" s="7">
        <f t="shared" ref="O132:O145" si="62">IFERROR(IF($A132="", "", MIN(G132,N132)), 0)</f>
        <v>0</v>
      </c>
      <c r="P132" s="7">
        <f t="shared" si="56"/>
        <v>0</v>
      </c>
      <c r="Q132" s="7">
        <f t="shared" si="57"/>
        <v>22726.528930983386</v>
      </c>
      <c r="R132" s="5">
        <f t="shared" si="52"/>
        <v>8863.3462830835197</v>
      </c>
      <c r="S132" s="5">
        <f t="shared" ref="S132:S145" si="63">IFERROR(IF($A132="", "", S131+P132), 0)</f>
        <v>112229.86410614416</v>
      </c>
    </row>
    <row r="133" spans="1:19" x14ac:dyDescent="0.35">
      <c r="A133">
        <f t="shared" si="59"/>
        <v>132</v>
      </c>
      <c r="B133" s="13">
        <f t="shared" si="54"/>
        <v>2037</v>
      </c>
      <c r="C133">
        <f t="shared" si="48"/>
        <v>12</v>
      </c>
      <c r="D133" t="b">
        <f t="shared" si="49"/>
        <v>1</v>
      </c>
      <c r="E133" s="7">
        <f t="shared" si="55"/>
        <v>185612.25890847179</v>
      </c>
      <c r="F133" cm="1">
        <f t="array" ref="F133">IF($A133="", "", MRate(E133))</f>
        <v>0.39</v>
      </c>
      <c r="G133" s="7">
        <f t="shared" si="50"/>
        <v>11475.409836065573</v>
      </c>
      <c r="H133" s="7">
        <f>IF($A133="", "", _xlfn.XLOOKUP($B133, YearlyParamsA!$A:$A, YearlyParamsA!$E:$E, 0))</f>
        <v>0</v>
      </c>
      <c r="I133" s="5">
        <f t="shared" si="51"/>
        <v>22273.471069016614</v>
      </c>
      <c r="J133" s="5">
        <f>IFERROR(IF($A133="", "", _xlfn.XLOOKUP($B133, YearlyParamsA!$A:$A, YearlyParamsA!$I:$I, 0)), 0)</f>
        <v>22726.528930983386</v>
      </c>
      <c r="K133" s="5">
        <f t="shared" si="53"/>
        <v>22726.528930983386</v>
      </c>
      <c r="L133" s="5">
        <f t="shared" si="58"/>
        <v>8863.3462830835197</v>
      </c>
      <c r="M133" s="5">
        <f t="shared" si="60"/>
        <v>11475.409836065573</v>
      </c>
      <c r="N133" s="5">
        <f t="shared" si="61"/>
        <v>0</v>
      </c>
      <c r="O133" s="7">
        <f t="shared" si="62"/>
        <v>0</v>
      </c>
      <c r="P133" s="7">
        <f t="shared" si="56"/>
        <v>0</v>
      </c>
      <c r="Q133" s="7">
        <f t="shared" si="57"/>
        <v>22726.528930983386</v>
      </c>
      <c r="R133" s="5">
        <f t="shared" si="52"/>
        <v>8863.3462830835197</v>
      </c>
      <c r="S133" s="5">
        <f t="shared" si="63"/>
        <v>112229.86410614416</v>
      </c>
    </row>
    <row r="134" spans="1:19" x14ac:dyDescent="0.35">
      <c r="A134">
        <f t="shared" si="59"/>
        <v>133</v>
      </c>
      <c r="B134" s="13">
        <f t="shared" si="54"/>
        <v>2038</v>
      </c>
      <c r="C134">
        <f t="shared" si="48"/>
        <v>1</v>
      </c>
      <c r="D134" t="b">
        <f t="shared" si="49"/>
        <v>0</v>
      </c>
      <c r="E134" s="7">
        <f t="shared" si="55"/>
        <v>190252.56538118358</v>
      </c>
      <c r="F134" cm="1">
        <f t="array" ref="F134">IF($A134="", "", MRate(E134))</f>
        <v>0.47000000000000003</v>
      </c>
      <c r="G134" s="7">
        <f t="shared" si="50"/>
        <v>13207.54716981132</v>
      </c>
      <c r="H134" s="7">
        <f>IF($A134="", "", _xlfn.XLOOKUP($B134, YearlyParamsA!$A:$A, YearlyParamsA!$E:$E, 0))</f>
        <v>0</v>
      </c>
      <c r="I134" s="5">
        <f t="shared" si="51"/>
        <v>22830.307845742027</v>
      </c>
      <c r="J134" s="5">
        <f>IFERROR(IF($A134="", "", _xlfn.XLOOKUP($B134, YearlyParamsA!$A:$A, YearlyParamsA!$I:$I, 0)), 0)</f>
        <v>22169.692154257973</v>
      </c>
      <c r="K134" s="5">
        <f t="shared" si="53"/>
        <v>0</v>
      </c>
      <c r="L134" s="5">
        <f t="shared" si="58"/>
        <v>0</v>
      </c>
      <c r="M134" s="5">
        <f t="shared" si="60"/>
        <v>13207.54716981132</v>
      </c>
      <c r="N134" s="5">
        <f t="shared" si="61"/>
        <v>22169.692154257973</v>
      </c>
      <c r="O134" s="7">
        <f t="shared" si="62"/>
        <v>13207.54716981132</v>
      </c>
      <c r="P134" s="7">
        <f t="shared" si="56"/>
        <v>6207.5471698113206</v>
      </c>
      <c r="Q134" s="7">
        <f t="shared" si="57"/>
        <v>13207.54716981132</v>
      </c>
      <c r="R134" s="5">
        <f t="shared" si="52"/>
        <v>6207.5471698113206</v>
      </c>
      <c r="S134" s="5">
        <f t="shared" si="63"/>
        <v>118437.41127595548</v>
      </c>
    </row>
    <row r="135" spans="1:19" x14ac:dyDescent="0.35">
      <c r="A135">
        <f t="shared" si="59"/>
        <v>134</v>
      </c>
      <c r="B135" s="13">
        <f t="shared" si="54"/>
        <v>2038</v>
      </c>
      <c r="C135">
        <f t="shared" si="48"/>
        <v>2</v>
      </c>
      <c r="D135" t="b">
        <f t="shared" si="49"/>
        <v>0</v>
      </c>
      <c r="E135" s="7">
        <f t="shared" si="55"/>
        <v>190252.56538118358</v>
      </c>
      <c r="F135" cm="1">
        <f t="array" ref="F135">IF($A135="", "", MRate(E135))</f>
        <v>0.47000000000000003</v>
      </c>
      <c r="G135" s="7">
        <f t="shared" si="50"/>
        <v>13207.54716981132</v>
      </c>
      <c r="H135" s="7">
        <f>IF($A135="", "", _xlfn.XLOOKUP($B135, YearlyParamsA!$A:$A, YearlyParamsA!$E:$E, 0))</f>
        <v>0</v>
      </c>
      <c r="I135" s="5">
        <f t="shared" si="51"/>
        <v>22830.307845742027</v>
      </c>
      <c r="J135" s="5">
        <f>IFERROR(IF($A135="", "", _xlfn.XLOOKUP($B135, YearlyParamsA!$A:$A, YearlyParamsA!$I:$I, 0)), 0)</f>
        <v>22169.692154257973</v>
      </c>
      <c r="K135" s="5">
        <f t="shared" si="53"/>
        <v>13207.54716981132</v>
      </c>
      <c r="L135" s="5">
        <f t="shared" si="58"/>
        <v>6207.5471698113206</v>
      </c>
      <c r="M135" s="5">
        <f t="shared" si="60"/>
        <v>13207.54716981132</v>
      </c>
      <c r="N135" s="5">
        <f t="shared" si="61"/>
        <v>8962.1449844466533</v>
      </c>
      <c r="O135" s="7">
        <f t="shared" si="62"/>
        <v>8962.1449844466533</v>
      </c>
      <c r="P135" s="7">
        <f t="shared" si="56"/>
        <v>4212.2081426899276</v>
      </c>
      <c r="Q135" s="7">
        <f t="shared" si="57"/>
        <v>22169.692154257973</v>
      </c>
      <c r="R135" s="5">
        <f t="shared" si="52"/>
        <v>10419.755312501249</v>
      </c>
      <c r="S135" s="5">
        <f t="shared" si="63"/>
        <v>122649.61941864541</v>
      </c>
    </row>
    <row r="136" spans="1:19" x14ac:dyDescent="0.35">
      <c r="A136">
        <f t="shared" si="59"/>
        <v>135</v>
      </c>
      <c r="B136" s="13">
        <f t="shared" si="54"/>
        <v>2038</v>
      </c>
      <c r="C136">
        <f t="shared" si="48"/>
        <v>3</v>
      </c>
      <c r="D136" t="b">
        <f t="shared" si="49"/>
        <v>0</v>
      </c>
      <c r="E136" s="7">
        <f t="shared" si="55"/>
        <v>190252.56538118358</v>
      </c>
      <c r="F136" cm="1">
        <f t="array" ref="F136">IF($A136="", "", MRate(E136))</f>
        <v>0.47000000000000003</v>
      </c>
      <c r="G136" s="7">
        <f t="shared" si="50"/>
        <v>13207.54716981132</v>
      </c>
      <c r="H136" s="7">
        <f>IF($A136="", "", _xlfn.XLOOKUP($B136, YearlyParamsA!$A:$A, YearlyParamsA!$E:$E, 0))</f>
        <v>0</v>
      </c>
      <c r="I136" s="5">
        <f t="shared" si="51"/>
        <v>22830.307845742027</v>
      </c>
      <c r="J136" s="5">
        <f>IFERROR(IF($A136="", "", _xlfn.XLOOKUP($B136, YearlyParamsA!$A:$A, YearlyParamsA!$I:$I, 0)), 0)</f>
        <v>22169.692154257973</v>
      </c>
      <c r="K136" s="5">
        <f t="shared" si="53"/>
        <v>22169.692154257973</v>
      </c>
      <c r="L136" s="5">
        <f t="shared" si="58"/>
        <v>10419.755312501249</v>
      </c>
      <c r="M136" s="5">
        <f t="shared" si="60"/>
        <v>13207.54716981132</v>
      </c>
      <c r="N136" s="5">
        <f t="shared" si="61"/>
        <v>0</v>
      </c>
      <c r="O136" s="7">
        <f t="shared" si="62"/>
        <v>0</v>
      </c>
      <c r="P136" s="7">
        <f t="shared" si="56"/>
        <v>0</v>
      </c>
      <c r="Q136" s="7">
        <f t="shared" si="57"/>
        <v>22169.692154257973</v>
      </c>
      <c r="R136" s="5">
        <f t="shared" si="52"/>
        <v>10419.755312501249</v>
      </c>
      <c r="S136" s="5">
        <f t="shared" si="63"/>
        <v>122649.61941864541</v>
      </c>
    </row>
    <row r="137" spans="1:19" x14ac:dyDescent="0.35">
      <c r="A137">
        <f t="shared" si="59"/>
        <v>136</v>
      </c>
      <c r="B137" s="13">
        <f t="shared" si="54"/>
        <v>2038</v>
      </c>
      <c r="C137">
        <f t="shared" si="48"/>
        <v>4</v>
      </c>
      <c r="D137" t="b">
        <f t="shared" si="49"/>
        <v>0</v>
      </c>
      <c r="E137" s="7">
        <f t="shared" si="55"/>
        <v>190252.56538118358</v>
      </c>
      <c r="F137" cm="1">
        <f t="array" ref="F137">IF($A137="", "", MRate(E137))</f>
        <v>0.47000000000000003</v>
      </c>
      <c r="G137" s="7">
        <f t="shared" si="50"/>
        <v>13207.54716981132</v>
      </c>
      <c r="H137" s="7">
        <f>IF($A137="", "", _xlfn.XLOOKUP($B137, YearlyParamsA!$A:$A, YearlyParamsA!$E:$E, 0))</f>
        <v>0</v>
      </c>
      <c r="I137" s="5">
        <f t="shared" si="51"/>
        <v>22830.307845742027</v>
      </c>
      <c r="J137" s="5">
        <f>IFERROR(IF($A137="", "", _xlfn.XLOOKUP($B137, YearlyParamsA!$A:$A, YearlyParamsA!$I:$I, 0)), 0)</f>
        <v>22169.692154257973</v>
      </c>
      <c r="K137" s="5">
        <f t="shared" si="53"/>
        <v>22169.692154257973</v>
      </c>
      <c r="L137" s="5">
        <f t="shared" si="58"/>
        <v>10419.755312501249</v>
      </c>
      <c r="M137" s="5">
        <f t="shared" si="60"/>
        <v>13207.54716981132</v>
      </c>
      <c r="N137" s="5">
        <f t="shared" si="61"/>
        <v>0</v>
      </c>
      <c r="O137" s="7">
        <f t="shared" si="62"/>
        <v>0</v>
      </c>
      <c r="P137" s="7">
        <f t="shared" si="56"/>
        <v>0</v>
      </c>
      <c r="Q137" s="7">
        <f t="shared" si="57"/>
        <v>22169.692154257973</v>
      </c>
      <c r="R137" s="5">
        <f t="shared" si="52"/>
        <v>10419.755312501249</v>
      </c>
      <c r="S137" s="5">
        <f t="shared" si="63"/>
        <v>122649.61941864541</v>
      </c>
    </row>
    <row r="138" spans="1:19" x14ac:dyDescent="0.35">
      <c r="A138">
        <f t="shared" si="59"/>
        <v>137</v>
      </c>
      <c r="B138" s="13">
        <f t="shared" si="54"/>
        <v>2038</v>
      </c>
      <c r="C138">
        <f t="shared" si="48"/>
        <v>5</v>
      </c>
      <c r="D138" t="b">
        <f t="shared" si="49"/>
        <v>0</v>
      </c>
      <c r="E138" s="7">
        <f t="shared" si="55"/>
        <v>190252.56538118358</v>
      </c>
      <c r="F138" cm="1">
        <f t="array" ref="F138">IF($A138="", "", MRate(E138))</f>
        <v>0.47000000000000003</v>
      </c>
      <c r="G138" s="7">
        <f t="shared" si="50"/>
        <v>13207.54716981132</v>
      </c>
      <c r="H138" s="7">
        <f>IF($A138="", "", _xlfn.XLOOKUP($B138, YearlyParamsA!$A:$A, YearlyParamsA!$E:$E, 0))</f>
        <v>0</v>
      </c>
      <c r="I138" s="5">
        <f t="shared" si="51"/>
        <v>22830.307845742027</v>
      </c>
      <c r="J138" s="5">
        <f>IFERROR(IF($A138="", "", _xlfn.XLOOKUP($B138, YearlyParamsA!$A:$A, YearlyParamsA!$I:$I, 0)), 0)</f>
        <v>22169.692154257973</v>
      </c>
      <c r="K138" s="5">
        <f t="shared" si="53"/>
        <v>22169.692154257973</v>
      </c>
      <c r="L138" s="5">
        <f t="shared" si="58"/>
        <v>10419.755312501249</v>
      </c>
      <c r="M138" s="5">
        <f t="shared" si="60"/>
        <v>13207.54716981132</v>
      </c>
      <c r="N138" s="5">
        <f t="shared" si="61"/>
        <v>0</v>
      </c>
      <c r="O138" s="7">
        <f t="shared" si="62"/>
        <v>0</v>
      </c>
      <c r="P138" s="7">
        <f t="shared" si="56"/>
        <v>0</v>
      </c>
      <c r="Q138" s="7">
        <f t="shared" si="57"/>
        <v>22169.692154257973</v>
      </c>
      <c r="R138" s="5">
        <f t="shared" si="52"/>
        <v>10419.755312501249</v>
      </c>
      <c r="S138" s="5">
        <f t="shared" si="63"/>
        <v>122649.61941864541</v>
      </c>
    </row>
    <row r="139" spans="1:19" x14ac:dyDescent="0.35">
      <c r="A139">
        <f t="shared" si="59"/>
        <v>138</v>
      </c>
      <c r="B139" s="13">
        <f t="shared" si="54"/>
        <v>2038</v>
      </c>
      <c r="C139">
        <f t="shared" si="48"/>
        <v>6</v>
      </c>
      <c r="D139" t="b">
        <f t="shared" si="49"/>
        <v>0</v>
      </c>
      <c r="E139" s="7">
        <f t="shared" si="55"/>
        <v>190252.56538118358</v>
      </c>
      <c r="F139" cm="1">
        <f t="array" ref="F139">IF($A139="", "", MRate(E139))</f>
        <v>0.47000000000000003</v>
      </c>
      <c r="G139" s="7">
        <f t="shared" si="50"/>
        <v>13207.54716981132</v>
      </c>
      <c r="H139" s="7">
        <f>IF($A139="", "", _xlfn.XLOOKUP($B139, YearlyParamsA!$A:$A, YearlyParamsA!$E:$E, 0))</f>
        <v>0</v>
      </c>
      <c r="I139" s="5">
        <f t="shared" si="51"/>
        <v>22830.307845742027</v>
      </c>
      <c r="J139" s="5">
        <f>IFERROR(IF($A139="", "", _xlfn.XLOOKUP($B139, YearlyParamsA!$A:$A, YearlyParamsA!$I:$I, 0)), 0)</f>
        <v>22169.692154257973</v>
      </c>
      <c r="K139" s="5">
        <f t="shared" si="53"/>
        <v>22169.692154257973</v>
      </c>
      <c r="L139" s="5">
        <f t="shared" si="58"/>
        <v>10419.755312501249</v>
      </c>
      <c r="M139" s="5">
        <f t="shared" si="60"/>
        <v>13207.54716981132</v>
      </c>
      <c r="N139" s="5">
        <f t="shared" si="61"/>
        <v>0</v>
      </c>
      <c r="O139" s="7">
        <f t="shared" si="62"/>
        <v>0</v>
      </c>
      <c r="P139" s="7">
        <f t="shared" si="56"/>
        <v>0</v>
      </c>
      <c r="Q139" s="7">
        <f t="shared" si="57"/>
        <v>22169.692154257973</v>
      </c>
      <c r="R139" s="5">
        <f t="shared" si="52"/>
        <v>10419.755312501249</v>
      </c>
      <c r="S139" s="5">
        <f t="shared" si="63"/>
        <v>122649.61941864541</v>
      </c>
    </row>
    <row r="140" spans="1:19" x14ac:dyDescent="0.35">
      <c r="A140">
        <f t="shared" si="59"/>
        <v>139</v>
      </c>
      <c r="B140" s="13">
        <f t="shared" si="54"/>
        <v>2038</v>
      </c>
      <c r="C140">
        <f t="shared" si="48"/>
        <v>7</v>
      </c>
      <c r="D140" t="b">
        <f t="shared" si="49"/>
        <v>0</v>
      </c>
      <c r="E140" s="7">
        <f t="shared" si="55"/>
        <v>190252.56538118358</v>
      </c>
      <c r="F140" cm="1">
        <f t="array" ref="F140">IF($A140="", "", MRate(E140))</f>
        <v>0.47000000000000003</v>
      </c>
      <c r="G140" s="7">
        <f t="shared" si="50"/>
        <v>13207.54716981132</v>
      </c>
      <c r="H140" s="7">
        <f>IF($A140="", "", _xlfn.XLOOKUP($B140, YearlyParamsA!$A:$A, YearlyParamsA!$E:$E, 0))</f>
        <v>0</v>
      </c>
      <c r="I140" s="5">
        <f t="shared" si="51"/>
        <v>22830.307845742027</v>
      </c>
      <c r="J140" s="5">
        <f>IFERROR(IF($A140="", "", _xlfn.XLOOKUP($B140, YearlyParamsA!$A:$A, YearlyParamsA!$I:$I, 0)), 0)</f>
        <v>22169.692154257973</v>
      </c>
      <c r="K140" s="5">
        <f t="shared" si="53"/>
        <v>22169.692154257973</v>
      </c>
      <c r="L140" s="5">
        <f t="shared" si="58"/>
        <v>10419.755312501249</v>
      </c>
      <c r="M140" s="5">
        <f t="shared" si="60"/>
        <v>13207.54716981132</v>
      </c>
      <c r="N140" s="5">
        <f t="shared" si="61"/>
        <v>0</v>
      </c>
      <c r="O140" s="7">
        <f t="shared" si="62"/>
        <v>0</v>
      </c>
      <c r="P140" s="7">
        <f t="shared" si="56"/>
        <v>0</v>
      </c>
      <c r="Q140" s="7">
        <f t="shared" si="57"/>
        <v>22169.692154257973</v>
      </c>
      <c r="R140" s="5">
        <f t="shared" si="52"/>
        <v>10419.755312501249</v>
      </c>
      <c r="S140" s="5">
        <f t="shared" si="63"/>
        <v>122649.61941864541</v>
      </c>
    </row>
    <row r="141" spans="1:19" x14ac:dyDescent="0.35">
      <c r="A141">
        <f t="shared" si="59"/>
        <v>140</v>
      </c>
      <c r="B141" s="13">
        <f t="shared" si="54"/>
        <v>2038</v>
      </c>
      <c r="C141">
        <f t="shared" si="48"/>
        <v>8</v>
      </c>
      <c r="D141" t="b">
        <f t="shared" si="49"/>
        <v>0</v>
      </c>
      <c r="E141" s="7">
        <f t="shared" si="55"/>
        <v>190252.56538118358</v>
      </c>
      <c r="F141" cm="1">
        <f t="array" ref="F141">IF($A141="", "", MRate(E141))</f>
        <v>0.47000000000000003</v>
      </c>
      <c r="G141" s="7">
        <f t="shared" si="50"/>
        <v>13207.54716981132</v>
      </c>
      <c r="H141" s="7">
        <f>IF($A141="", "", _xlfn.XLOOKUP($B141, YearlyParamsA!$A:$A, YearlyParamsA!$E:$E, 0))</f>
        <v>0</v>
      </c>
      <c r="I141" s="5">
        <f t="shared" si="51"/>
        <v>22830.307845742027</v>
      </c>
      <c r="J141" s="5">
        <f>IFERROR(IF($A141="", "", _xlfn.XLOOKUP($B141, YearlyParamsA!$A:$A, YearlyParamsA!$I:$I, 0)), 0)</f>
        <v>22169.692154257973</v>
      </c>
      <c r="K141" s="5">
        <f t="shared" si="53"/>
        <v>22169.692154257973</v>
      </c>
      <c r="L141" s="5">
        <f t="shared" si="58"/>
        <v>10419.755312501249</v>
      </c>
      <c r="M141" s="5">
        <f t="shared" si="60"/>
        <v>13207.54716981132</v>
      </c>
      <c r="N141" s="5">
        <f t="shared" si="61"/>
        <v>0</v>
      </c>
      <c r="O141" s="7">
        <f t="shared" si="62"/>
        <v>0</v>
      </c>
      <c r="P141" s="7">
        <f t="shared" si="56"/>
        <v>0</v>
      </c>
      <c r="Q141" s="7">
        <f t="shared" si="57"/>
        <v>22169.692154257973</v>
      </c>
      <c r="R141" s="5">
        <f t="shared" si="52"/>
        <v>10419.755312501249</v>
      </c>
      <c r="S141" s="5">
        <f t="shared" si="63"/>
        <v>122649.61941864541</v>
      </c>
    </row>
    <row r="142" spans="1:19" x14ac:dyDescent="0.35">
      <c r="A142">
        <f t="shared" si="59"/>
        <v>141</v>
      </c>
      <c r="B142" s="13">
        <f t="shared" si="54"/>
        <v>2038</v>
      </c>
      <c r="C142">
        <f t="shared" si="48"/>
        <v>9</v>
      </c>
      <c r="D142" t="b">
        <f t="shared" si="49"/>
        <v>0</v>
      </c>
      <c r="E142" s="7">
        <f t="shared" si="55"/>
        <v>190252.56538118358</v>
      </c>
      <c r="F142" cm="1">
        <f t="array" ref="F142">IF($A142="", "", MRate(E142))</f>
        <v>0.47000000000000003</v>
      </c>
      <c r="G142" s="7">
        <f t="shared" si="50"/>
        <v>13207.54716981132</v>
      </c>
      <c r="H142" s="7">
        <f>IF($A142="", "", _xlfn.XLOOKUP($B142, YearlyParamsA!$A:$A, YearlyParamsA!$E:$E, 0))</f>
        <v>0</v>
      </c>
      <c r="I142" s="5">
        <f t="shared" si="51"/>
        <v>22830.307845742027</v>
      </c>
      <c r="J142" s="5">
        <f>IFERROR(IF($A142="", "", _xlfn.XLOOKUP($B142, YearlyParamsA!$A:$A, YearlyParamsA!$I:$I, 0)), 0)</f>
        <v>22169.692154257973</v>
      </c>
      <c r="K142" s="5">
        <f t="shared" si="53"/>
        <v>22169.692154257973</v>
      </c>
      <c r="L142" s="5">
        <f t="shared" si="58"/>
        <v>10419.755312501249</v>
      </c>
      <c r="M142" s="5">
        <f t="shared" si="60"/>
        <v>13207.54716981132</v>
      </c>
      <c r="N142" s="5">
        <f t="shared" si="61"/>
        <v>0</v>
      </c>
      <c r="O142" s="7">
        <f t="shared" si="62"/>
        <v>0</v>
      </c>
      <c r="P142" s="7">
        <f t="shared" si="56"/>
        <v>0</v>
      </c>
      <c r="Q142" s="7">
        <f t="shared" si="57"/>
        <v>22169.692154257973</v>
      </c>
      <c r="R142" s="5">
        <f t="shared" si="52"/>
        <v>10419.755312501249</v>
      </c>
      <c r="S142" s="5">
        <f t="shared" si="63"/>
        <v>122649.61941864541</v>
      </c>
    </row>
    <row r="143" spans="1:19" x14ac:dyDescent="0.35">
      <c r="A143">
        <f t="shared" si="59"/>
        <v>142</v>
      </c>
      <c r="B143" s="13">
        <f t="shared" si="54"/>
        <v>2038</v>
      </c>
      <c r="C143">
        <f t="shared" si="48"/>
        <v>10</v>
      </c>
      <c r="D143" t="b">
        <f t="shared" si="49"/>
        <v>0</v>
      </c>
      <c r="E143" s="7">
        <f t="shared" si="55"/>
        <v>190252.56538118358</v>
      </c>
      <c r="F143" cm="1">
        <f t="array" ref="F143">IF($A143="", "", MRate(E143))</f>
        <v>0.47000000000000003</v>
      </c>
      <c r="G143" s="7">
        <f t="shared" si="50"/>
        <v>13207.54716981132</v>
      </c>
      <c r="H143" s="7">
        <f>IF($A143="", "", _xlfn.XLOOKUP($B143, YearlyParamsA!$A:$A, YearlyParamsA!$E:$E, 0))</f>
        <v>0</v>
      </c>
      <c r="I143" s="5">
        <f t="shared" si="51"/>
        <v>22830.307845742027</v>
      </c>
      <c r="J143" s="5">
        <f>IFERROR(IF($A143="", "", _xlfn.XLOOKUP($B143, YearlyParamsA!$A:$A, YearlyParamsA!$I:$I, 0)), 0)</f>
        <v>22169.692154257973</v>
      </c>
      <c r="K143" s="5">
        <f t="shared" si="53"/>
        <v>22169.692154257973</v>
      </c>
      <c r="L143" s="5">
        <f t="shared" si="58"/>
        <v>10419.755312501249</v>
      </c>
      <c r="M143" s="5">
        <f t="shared" si="60"/>
        <v>13207.54716981132</v>
      </c>
      <c r="N143" s="5">
        <f t="shared" si="61"/>
        <v>0</v>
      </c>
      <c r="O143" s="7">
        <f t="shared" si="62"/>
        <v>0</v>
      </c>
      <c r="P143" s="7">
        <f t="shared" si="56"/>
        <v>0</v>
      </c>
      <c r="Q143" s="7">
        <f t="shared" si="57"/>
        <v>22169.692154257973</v>
      </c>
      <c r="R143" s="5">
        <f t="shared" si="52"/>
        <v>10419.755312501249</v>
      </c>
      <c r="S143" s="5">
        <f t="shared" si="63"/>
        <v>122649.61941864541</v>
      </c>
    </row>
    <row r="144" spans="1:19" x14ac:dyDescent="0.35">
      <c r="A144">
        <f t="shared" si="59"/>
        <v>143</v>
      </c>
      <c r="B144" s="13">
        <f t="shared" si="54"/>
        <v>2038</v>
      </c>
      <c r="C144">
        <f t="shared" si="48"/>
        <v>11</v>
      </c>
      <c r="D144" t="b">
        <f t="shared" si="49"/>
        <v>0</v>
      </c>
      <c r="E144" s="7">
        <f t="shared" si="55"/>
        <v>190252.56538118358</v>
      </c>
      <c r="F144" cm="1">
        <f t="array" ref="F144">IF($A144="", "", MRate(E144))</f>
        <v>0.47000000000000003</v>
      </c>
      <c r="G144" s="7">
        <f t="shared" si="50"/>
        <v>13207.54716981132</v>
      </c>
      <c r="H144" s="7">
        <f>IF($A144="", "", _xlfn.XLOOKUP($B144, YearlyParamsA!$A:$A, YearlyParamsA!$E:$E, 0))</f>
        <v>0</v>
      </c>
      <c r="I144" s="5">
        <f t="shared" si="51"/>
        <v>22830.307845742027</v>
      </c>
      <c r="J144" s="5">
        <f>IFERROR(IF($A144="", "", _xlfn.XLOOKUP($B144, YearlyParamsA!$A:$A, YearlyParamsA!$I:$I, 0)), 0)</f>
        <v>22169.692154257973</v>
      </c>
      <c r="K144" s="5">
        <f t="shared" si="53"/>
        <v>22169.692154257973</v>
      </c>
      <c r="L144" s="5">
        <f t="shared" si="58"/>
        <v>10419.755312501249</v>
      </c>
      <c r="M144" s="5">
        <f t="shared" si="60"/>
        <v>13207.54716981132</v>
      </c>
      <c r="N144" s="5">
        <f t="shared" si="61"/>
        <v>0</v>
      </c>
      <c r="O144" s="7">
        <f t="shared" si="62"/>
        <v>0</v>
      </c>
      <c r="P144" s="7">
        <f t="shared" si="56"/>
        <v>0</v>
      </c>
      <c r="Q144" s="7">
        <f t="shared" si="57"/>
        <v>22169.692154257973</v>
      </c>
      <c r="R144" s="5">
        <f t="shared" si="52"/>
        <v>10419.755312501249</v>
      </c>
      <c r="S144" s="5">
        <f t="shared" si="63"/>
        <v>122649.61941864541</v>
      </c>
    </row>
    <row r="145" spans="1:19" x14ac:dyDescent="0.35">
      <c r="A145">
        <f t="shared" si="59"/>
        <v>144</v>
      </c>
      <c r="B145" s="13">
        <f t="shared" si="54"/>
        <v>2038</v>
      </c>
      <c r="C145">
        <f t="shared" si="48"/>
        <v>12</v>
      </c>
      <c r="D145" t="b">
        <f t="shared" si="49"/>
        <v>1</v>
      </c>
      <c r="E145" s="7">
        <f t="shared" si="55"/>
        <v>190252.56538118358</v>
      </c>
      <c r="F145" cm="1">
        <f t="array" ref="F145">IF($A145="", "", MRate(E145))</f>
        <v>0.47000000000000003</v>
      </c>
      <c r="G145" s="7">
        <f t="shared" si="50"/>
        <v>13207.54716981132</v>
      </c>
      <c r="H145" s="7">
        <f>IF($A145="", "", _xlfn.XLOOKUP($B145, YearlyParamsA!$A:$A, YearlyParamsA!$E:$E, 0))</f>
        <v>0</v>
      </c>
      <c r="I145" s="5">
        <f t="shared" si="51"/>
        <v>22830.307845742027</v>
      </c>
      <c r="J145" s="5">
        <f>IFERROR(IF($A145="", "", _xlfn.XLOOKUP($B145, YearlyParamsA!$A:$A, YearlyParamsA!$I:$I, 0)), 0)</f>
        <v>22169.692154257973</v>
      </c>
      <c r="K145" s="5">
        <f t="shared" si="53"/>
        <v>22169.692154257973</v>
      </c>
      <c r="L145" s="5">
        <f t="shared" si="58"/>
        <v>10419.755312501249</v>
      </c>
      <c r="M145" s="5">
        <f t="shared" si="60"/>
        <v>13207.54716981132</v>
      </c>
      <c r="N145" s="5">
        <f t="shared" si="61"/>
        <v>0</v>
      </c>
      <c r="O145" s="7">
        <f t="shared" si="62"/>
        <v>0</v>
      </c>
      <c r="P145" s="7">
        <f t="shared" si="56"/>
        <v>0</v>
      </c>
      <c r="Q145" s="7">
        <f t="shared" si="57"/>
        <v>22169.692154257973</v>
      </c>
      <c r="R145" s="5">
        <f t="shared" si="52"/>
        <v>10419.755312501249</v>
      </c>
      <c r="S145" s="5">
        <f t="shared" si="63"/>
        <v>122649.61941864541</v>
      </c>
    </row>
    <row r="146" spans="1:19" x14ac:dyDescent="0.35">
      <c r="E146"/>
      <c r="G146"/>
      <c r="H146"/>
      <c r="I146"/>
      <c r="J146"/>
      <c r="K146"/>
      <c r="L146"/>
      <c r="M146"/>
      <c r="N146"/>
      <c r="O146"/>
      <c r="P146"/>
      <c r="Q146"/>
      <c r="R146"/>
    </row>
    <row r="147" spans="1:19" x14ac:dyDescent="0.35">
      <c r="E147"/>
      <c r="G147"/>
      <c r="H147"/>
      <c r="I147"/>
      <c r="J147"/>
      <c r="K147"/>
      <c r="L147"/>
      <c r="M147"/>
      <c r="N147"/>
      <c r="O147"/>
      <c r="P147"/>
      <c r="Q147"/>
      <c r="R147"/>
    </row>
    <row r="148" spans="1:19" x14ac:dyDescent="0.35">
      <c r="E148"/>
      <c r="G148"/>
      <c r="H148"/>
      <c r="I148"/>
      <c r="J148"/>
      <c r="K148"/>
      <c r="L148"/>
      <c r="M148"/>
      <c r="N148"/>
      <c r="O148"/>
      <c r="P148"/>
      <c r="Q148"/>
      <c r="R148"/>
    </row>
    <row r="149" spans="1:19" x14ac:dyDescent="0.35">
      <c r="E149"/>
      <c r="G149"/>
      <c r="H149"/>
      <c r="I149"/>
      <c r="J149"/>
      <c r="K149"/>
      <c r="L149"/>
      <c r="M149"/>
      <c r="N149"/>
      <c r="O149"/>
      <c r="P149"/>
      <c r="Q149"/>
      <c r="R149"/>
    </row>
    <row r="150" spans="1:19" x14ac:dyDescent="0.35">
      <c r="E150"/>
      <c r="G150"/>
      <c r="H150"/>
      <c r="I150"/>
      <c r="J150"/>
      <c r="K150"/>
      <c r="L150"/>
      <c r="M150"/>
      <c r="N150"/>
      <c r="O150"/>
      <c r="P150"/>
      <c r="Q150"/>
      <c r="R150"/>
    </row>
    <row r="151" spans="1:19" x14ac:dyDescent="0.35">
      <c r="E151"/>
      <c r="G151"/>
      <c r="H151"/>
      <c r="I151"/>
      <c r="J151"/>
      <c r="K151"/>
      <c r="L151"/>
      <c r="M151"/>
      <c r="N151"/>
      <c r="O151"/>
      <c r="P151"/>
      <c r="Q151"/>
      <c r="R151"/>
    </row>
    <row r="152" spans="1:19" x14ac:dyDescent="0.35">
      <c r="E152"/>
      <c r="G152"/>
      <c r="H152"/>
      <c r="I152"/>
      <c r="J152"/>
      <c r="K152"/>
      <c r="L152"/>
      <c r="M152"/>
      <c r="N152"/>
      <c r="O152"/>
      <c r="P152"/>
      <c r="Q152"/>
      <c r="R152"/>
    </row>
    <row r="153" spans="1:19" x14ac:dyDescent="0.35">
      <c r="E153"/>
      <c r="G153"/>
      <c r="H153"/>
      <c r="I153"/>
      <c r="J153"/>
      <c r="K153"/>
      <c r="L153"/>
      <c r="M153"/>
      <c r="N153"/>
      <c r="O153"/>
      <c r="P153"/>
      <c r="Q153"/>
      <c r="R153"/>
    </row>
    <row r="154" spans="1:19" x14ac:dyDescent="0.35">
      <c r="E154"/>
      <c r="G154"/>
      <c r="H154"/>
      <c r="I154"/>
      <c r="J154"/>
      <c r="K154"/>
      <c r="L154"/>
      <c r="M154"/>
      <c r="N154"/>
      <c r="O154"/>
      <c r="P154"/>
      <c r="Q154"/>
      <c r="R154"/>
    </row>
    <row r="155" spans="1:19" x14ac:dyDescent="0.35">
      <c r="E155"/>
      <c r="G155"/>
      <c r="H155"/>
      <c r="I155"/>
      <c r="J155"/>
      <c r="K155"/>
      <c r="L155"/>
      <c r="M155"/>
      <c r="N155"/>
      <c r="O155"/>
      <c r="P155"/>
      <c r="Q155"/>
      <c r="R155"/>
    </row>
    <row r="156" spans="1:19" x14ac:dyDescent="0.35">
      <c r="E156"/>
      <c r="G156"/>
      <c r="H156"/>
      <c r="I156"/>
      <c r="J156"/>
      <c r="K156"/>
      <c r="L156"/>
      <c r="M156"/>
      <c r="N156"/>
      <c r="O156"/>
      <c r="P156"/>
      <c r="Q156"/>
      <c r="R156"/>
    </row>
    <row r="157" spans="1:19" x14ac:dyDescent="0.35">
      <c r="E157"/>
      <c r="G157"/>
      <c r="H157"/>
      <c r="I157"/>
      <c r="J157"/>
      <c r="K157"/>
      <c r="L157"/>
      <c r="M157"/>
      <c r="N157"/>
      <c r="O157"/>
      <c r="P157"/>
      <c r="Q157"/>
      <c r="R157"/>
    </row>
    <row r="158" spans="1:19" x14ac:dyDescent="0.35">
      <c r="E158"/>
      <c r="G158"/>
      <c r="H158"/>
      <c r="I158"/>
      <c r="J158"/>
      <c r="K158"/>
      <c r="L158"/>
      <c r="M158"/>
      <c r="N158"/>
      <c r="O158"/>
      <c r="P158"/>
      <c r="Q158"/>
      <c r="R158"/>
    </row>
    <row r="159" spans="1:19" x14ac:dyDescent="0.35">
      <c r="E159"/>
      <c r="G159"/>
      <c r="H159"/>
      <c r="I159"/>
      <c r="J159"/>
      <c r="K159"/>
      <c r="L159"/>
      <c r="M159"/>
      <c r="N159"/>
      <c r="O159"/>
      <c r="P159"/>
      <c r="Q159"/>
      <c r="R159"/>
    </row>
    <row r="160" spans="1:19" x14ac:dyDescent="0.35">
      <c r="E160"/>
      <c r="G160"/>
      <c r="H160"/>
      <c r="I160"/>
      <c r="J160"/>
      <c r="K160"/>
      <c r="L160"/>
      <c r="M160"/>
      <c r="N160"/>
      <c r="O160"/>
      <c r="P160"/>
      <c r="Q160"/>
      <c r="R160"/>
    </row>
    <row r="161" spans="5:18" x14ac:dyDescent="0.35">
      <c r="E161"/>
      <c r="G161"/>
      <c r="H161"/>
      <c r="I161"/>
      <c r="J161"/>
      <c r="K161"/>
      <c r="L161"/>
      <c r="M161"/>
      <c r="N161"/>
      <c r="O161"/>
      <c r="P161"/>
      <c r="Q161"/>
      <c r="R161"/>
    </row>
    <row r="162" spans="5:18" x14ac:dyDescent="0.35">
      <c r="E162"/>
      <c r="G162"/>
      <c r="H162"/>
      <c r="I162"/>
      <c r="J162"/>
      <c r="K162"/>
      <c r="L162"/>
      <c r="M162"/>
      <c r="N162"/>
      <c r="O162"/>
      <c r="P162"/>
      <c r="Q162"/>
      <c r="R162"/>
    </row>
    <row r="163" spans="5:18" x14ac:dyDescent="0.35">
      <c r="E163"/>
      <c r="G163"/>
      <c r="H163"/>
      <c r="I163"/>
      <c r="J163"/>
      <c r="K163"/>
      <c r="L163"/>
      <c r="M163"/>
      <c r="N163"/>
      <c r="O163"/>
      <c r="P163"/>
      <c r="Q163"/>
      <c r="R163"/>
    </row>
    <row r="164" spans="5:18" x14ac:dyDescent="0.35">
      <c r="E164"/>
      <c r="G164"/>
      <c r="H164"/>
      <c r="I164"/>
      <c r="J164"/>
      <c r="K164"/>
      <c r="L164"/>
      <c r="M164"/>
      <c r="N164"/>
      <c r="O164"/>
      <c r="P164"/>
      <c r="Q164"/>
      <c r="R164"/>
    </row>
    <row r="165" spans="5:18" x14ac:dyDescent="0.35">
      <c r="E165"/>
      <c r="G165"/>
      <c r="H165"/>
      <c r="I165"/>
      <c r="J165"/>
      <c r="K165"/>
      <c r="L165"/>
      <c r="M165"/>
      <c r="N165"/>
      <c r="O165"/>
      <c r="P165"/>
      <c r="Q165"/>
      <c r="R165"/>
    </row>
    <row r="166" spans="5:18" x14ac:dyDescent="0.35">
      <c r="E166"/>
      <c r="G166"/>
      <c r="H166"/>
      <c r="I166"/>
      <c r="J166"/>
      <c r="K166"/>
      <c r="L166"/>
      <c r="M166"/>
      <c r="N166"/>
      <c r="O166"/>
      <c r="P166"/>
      <c r="Q166"/>
      <c r="R166"/>
    </row>
    <row r="167" spans="5:18" x14ac:dyDescent="0.35">
      <c r="E167"/>
      <c r="G167"/>
      <c r="H167"/>
      <c r="I167"/>
      <c r="J167"/>
      <c r="K167"/>
      <c r="L167"/>
      <c r="M167"/>
      <c r="N167"/>
      <c r="O167"/>
      <c r="P167"/>
      <c r="Q167"/>
      <c r="R167"/>
    </row>
    <row r="168" spans="5:18" x14ac:dyDescent="0.35">
      <c r="E168"/>
      <c r="G168"/>
      <c r="H168"/>
      <c r="I168"/>
      <c r="J168"/>
      <c r="K168"/>
      <c r="L168"/>
      <c r="M168"/>
      <c r="N168"/>
      <c r="O168"/>
      <c r="P168"/>
      <c r="Q168"/>
      <c r="R168"/>
    </row>
    <row r="169" spans="5:18" x14ac:dyDescent="0.35">
      <c r="E169"/>
      <c r="G169"/>
      <c r="H169"/>
      <c r="I169"/>
      <c r="J169"/>
      <c r="K169"/>
      <c r="L169"/>
      <c r="M169"/>
      <c r="N169"/>
      <c r="O169"/>
      <c r="P169"/>
      <c r="Q169"/>
      <c r="R169"/>
    </row>
    <row r="170" spans="5:18" x14ac:dyDescent="0.35">
      <c r="E170"/>
      <c r="G170"/>
      <c r="H170"/>
      <c r="I170"/>
      <c r="J170"/>
      <c r="K170"/>
      <c r="L170"/>
      <c r="M170"/>
      <c r="N170"/>
      <c r="O170"/>
      <c r="P170"/>
      <c r="Q170"/>
      <c r="R170"/>
    </row>
    <row r="171" spans="5:18" x14ac:dyDescent="0.35">
      <c r="E171"/>
      <c r="G171"/>
      <c r="H171"/>
      <c r="I171"/>
      <c r="J171"/>
      <c r="K171"/>
      <c r="L171"/>
      <c r="M171"/>
      <c r="N171"/>
      <c r="O171"/>
      <c r="P171"/>
      <c r="Q171"/>
      <c r="R171"/>
    </row>
    <row r="172" spans="5:18" x14ac:dyDescent="0.35">
      <c r="E172"/>
      <c r="G172"/>
      <c r="H172"/>
      <c r="I172"/>
      <c r="J172"/>
      <c r="K172"/>
      <c r="L172"/>
      <c r="M172"/>
      <c r="N172"/>
      <c r="O172"/>
      <c r="P172"/>
      <c r="Q172"/>
      <c r="R172"/>
    </row>
    <row r="173" spans="5:18" x14ac:dyDescent="0.35">
      <c r="E173"/>
      <c r="G173"/>
      <c r="H173"/>
      <c r="I173"/>
      <c r="J173"/>
      <c r="K173"/>
      <c r="L173"/>
      <c r="M173"/>
      <c r="N173"/>
      <c r="O173"/>
      <c r="P173"/>
      <c r="Q173"/>
      <c r="R173"/>
    </row>
    <row r="174" spans="5:18" x14ac:dyDescent="0.35">
      <c r="E174"/>
      <c r="G174"/>
      <c r="H174"/>
      <c r="I174"/>
      <c r="J174"/>
      <c r="K174"/>
      <c r="L174"/>
      <c r="M174"/>
      <c r="N174"/>
      <c r="O174"/>
      <c r="P174"/>
      <c r="Q174"/>
      <c r="R174"/>
    </row>
    <row r="175" spans="5:18" x14ac:dyDescent="0.35">
      <c r="E175"/>
      <c r="G175"/>
      <c r="H175"/>
      <c r="I175"/>
      <c r="J175"/>
      <c r="K175"/>
      <c r="L175"/>
      <c r="M175"/>
      <c r="N175"/>
      <c r="O175"/>
      <c r="P175"/>
      <c r="Q175"/>
      <c r="R175"/>
    </row>
    <row r="176" spans="5:18" x14ac:dyDescent="0.35">
      <c r="E176"/>
      <c r="G176"/>
      <c r="H176"/>
      <c r="I176"/>
      <c r="J176"/>
      <c r="K176"/>
      <c r="L176"/>
      <c r="M176"/>
      <c r="N176"/>
      <c r="O176"/>
      <c r="P176"/>
      <c r="Q176"/>
      <c r="R176"/>
    </row>
    <row r="177" spans="5:18" x14ac:dyDescent="0.35">
      <c r="E177"/>
      <c r="G177"/>
      <c r="H177"/>
      <c r="I177"/>
      <c r="J177"/>
      <c r="K177"/>
      <c r="L177"/>
      <c r="M177"/>
      <c r="N177"/>
      <c r="O177"/>
      <c r="P177"/>
      <c r="Q177"/>
      <c r="R177"/>
    </row>
    <row r="178" spans="5:18" x14ac:dyDescent="0.35">
      <c r="E178"/>
      <c r="G178"/>
      <c r="H178"/>
      <c r="I178"/>
      <c r="J178"/>
      <c r="K178"/>
      <c r="L178"/>
      <c r="M178"/>
      <c r="N178"/>
      <c r="O178"/>
      <c r="P178"/>
      <c r="Q178"/>
      <c r="R178"/>
    </row>
    <row r="179" spans="5:18" x14ac:dyDescent="0.35">
      <c r="E179"/>
      <c r="G179"/>
      <c r="H179"/>
      <c r="I179"/>
      <c r="J179"/>
      <c r="K179"/>
      <c r="L179"/>
      <c r="M179"/>
      <c r="N179"/>
      <c r="O179"/>
      <c r="P179"/>
      <c r="Q179"/>
      <c r="R179"/>
    </row>
    <row r="180" spans="5:18" x14ac:dyDescent="0.35">
      <c r="E180"/>
      <c r="G180"/>
      <c r="H180"/>
      <c r="I180"/>
      <c r="J180"/>
      <c r="K180"/>
      <c r="L180"/>
      <c r="M180"/>
      <c r="N180"/>
      <c r="O180"/>
      <c r="P180"/>
      <c r="Q180"/>
      <c r="R180"/>
    </row>
    <row r="181" spans="5:18" x14ac:dyDescent="0.35">
      <c r="E181"/>
      <c r="G181"/>
      <c r="H181"/>
      <c r="I181"/>
      <c r="J181"/>
      <c r="K181"/>
      <c r="L181"/>
      <c r="M181"/>
      <c r="N181"/>
      <c r="O181"/>
      <c r="P181"/>
      <c r="Q181"/>
      <c r="R181"/>
    </row>
    <row r="182" spans="5:18" x14ac:dyDescent="0.35">
      <c r="E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5:18" x14ac:dyDescent="0.35">
      <c r="E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5:18" x14ac:dyDescent="0.35">
      <c r="E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5:18" x14ac:dyDescent="0.35">
      <c r="E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5:18" x14ac:dyDescent="0.35">
      <c r="E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5:18" x14ac:dyDescent="0.35">
      <c r="E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5:18" x14ac:dyDescent="0.35">
      <c r="E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5:18" x14ac:dyDescent="0.35">
      <c r="E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5:18" x14ac:dyDescent="0.35">
      <c r="E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5:18" x14ac:dyDescent="0.35">
      <c r="E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5:18" x14ac:dyDescent="0.35">
      <c r="E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5:18" x14ac:dyDescent="0.35">
      <c r="E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5:18" x14ac:dyDescent="0.35">
      <c r="E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5:18" x14ac:dyDescent="0.35">
      <c r="E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5:18" x14ac:dyDescent="0.35">
      <c r="E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5:18" x14ac:dyDescent="0.35">
      <c r="E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5:18" x14ac:dyDescent="0.35">
      <c r="E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5:18" x14ac:dyDescent="0.35">
      <c r="E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5:18" x14ac:dyDescent="0.35">
      <c r="E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5:18" x14ac:dyDescent="0.35">
      <c r="E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5:18" x14ac:dyDescent="0.35">
      <c r="E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5:18" x14ac:dyDescent="0.35">
      <c r="E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5:18" x14ac:dyDescent="0.35">
      <c r="E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5:18" x14ac:dyDescent="0.35">
      <c r="E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5:18" x14ac:dyDescent="0.35">
      <c r="E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5:18" x14ac:dyDescent="0.35">
      <c r="E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5:18" x14ac:dyDescent="0.35">
      <c r="E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5:18" x14ac:dyDescent="0.35">
      <c r="E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5:18" x14ac:dyDescent="0.35">
      <c r="E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5:18" x14ac:dyDescent="0.35">
      <c r="E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5:18" x14ac:dyDescent="0.35">
      <c r="E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5:18" x14ac:dyDescent="0.35">
      <c r="E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5:18" x14ac:dyDescent="0.35">
      <c r="E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5:18" x14ac:dyDescent="0.35">
      <c r="E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5:18" x14ac:dyDescent="0.35">
      <c r="E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5:18" x14ac:dyDescent="0.35">
      <c r="E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5:18" x14ac:dyDescent="0.35">
      <c r="E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5:18" x14ac:dyDescent="0.35">
      <c r="E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5:18" x14ac:dyDescent="0.35">
      <c r="E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5:18" x14ac:dyDescent="0.35">
      <c r="E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5:18" x14ac:dyDescent="0.35">
      <c r="E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5:18" x14ac:dyDescent="0.35">
      <c r="E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5:18" x14ac:dyDescent="0.35">
      <c r="E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5:18" x14ac:dyDescent="0.35">
      <c r="E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5:18" x14ac:dyDescent="0.35">
      <c r="E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5:18" x14ac:dyDescent="0.35">
      <c r="E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5:18" x14ac:dyDescent="0.35">
      <c r="E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5:18" x14ac:dyDescent="0.35">
      <c r="E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5:18" x14ac:dyDescent="0.35">
      <c r="E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5:18" x14ac:dyDescent="0.35">
      <c r="E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5:18" x14ac:dyDescent="0.35">
      <c r="E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5:18" x14ac:dyDescent="0.35">
      <c r="E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5:18" x14ac:dyDescent="0.35">
      <c r="E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5:18" x14ac:dyDescent="0.35">
      <c r="E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5:18" x14ac:dyDescent="0.35">
      <c r="E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5:18" x14ac:dyDescent="0.35">
      <c r="E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5:18" x14ac:dyDescent="0.35">
      <c r="E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5:18" x14ac:dyDescent="0.35">
      <c r="E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5:18" x14ac:dyDescent="0.35">
      <c r="E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5:18" x14ac:dyDescent="0.35">
      <c r="E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5:18" x14ac:dyDescent="0.35">
      <c r="E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5:18" x14ac:dyDescent="0.35">
      <c r="E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5:18" x14ac:dyDescent="0.35">
      <c r="E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5:18" x14ac:dyDescent="0.35">
      <c r="E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5:18" x14ac:dyDescent="0.35">
      <c r="E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5:18" x14ac:dyDescent="0.35">
      <c r="E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5:18" x14ac:dyDescent="0.35">
      <c r="E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5:18" x14ac:dyDescent="0.35">
      <c r="E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5:18" x14ac:dyDescent="0.35">
      <c r="E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5:18" x14ac:dyDescent="0.35">
      <c r="E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5:18" x14ac:dyDescent="0.35">
      <c r="E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5:18" x14ac:dyDescent="0.35">
      <c r="E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5:18" x14ac:dyDescent="0.35">
      <c r="E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5:18" x14ac:dyDescent="0.35">
      <c r="E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5:18" x14ac:dyDescent="0.35">
      <c r="E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5:18" x14ac:dyDescent="0.35">
      <c r="E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5:18" x14ac:dyDescent="0.35">
      <c r="E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5:18" x14ac:dyDescent="0.35">
      <c r="E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5:18" x14ac:dyDescent="0.35">
      <c r="E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5:18" x14ac:dyDescent="0.35">
      <c r="E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5:18" x14ac:dyDescent="0.35">
      <c r="E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5:18" x14ac:dyDescent="0.35">
      <c r="E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5:18" x14ac:dyDescent="0.35">
      <c r="E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5:18" x14ac:dyDescent="0.35">
      <c r="E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5:18" x14ac:dyDescent="0.35">
      <c r="E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5:18" x14ac:dyDescent="0.35">
      <c r="E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5:18" x14ac:dyDescent="0.35">
      <c r="E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5:18" x14ac:dyDescent="0.35">
      <c r="E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5:18" x14ac:dyDescent="0.35">
      <c r="E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5:18" x14ac:dyDescent="0.35">
      <c r="E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5:18" x14ac:dyDescent="0.35">
      <c r="E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5:18" x14ac:dyDescent="0.35">
      <c r="E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5:18" x14ac:dyDescent="0.35">
      <c r="E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5:18" x14ac:dyDescent="0.35">
      <c r="E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5:18" x14ac:dyDescent="0.35">
      <c r="E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5:18" x14ac:dyDescent="0.35">
      <c r="E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5:18" x14ac:dyDescent="0.35">
      <c r="E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5:18" x14ac:dyDescent="0.35">
      <c r="E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5:18" x14ac:dyDescent="0.35">
      <c r="E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5:18" x14ac:dyDescent="0.35">
      <c r="E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5:18" x14ac:dyDescent="0.35">
      <c r="E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5:18" x14ac:dyDescent="0.35">
      <c r="E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5:18" x14ac:dyDescent="0.35">
      <c r="E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5:18" x14ac:dyDescent="0.35">
      <c r="E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5:18" x14ac:dyDescent="0.35">
      <c r="E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5:18" x14ac:dyDescent="0.35">
      <c r="E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5:18" x14ac:dyDescent="0.35">
      <c r="E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5:18" x14ac:dyDescent="0.35">
      <c r="E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5:18" x14ac:dyDescent="0.35">
      <c r="E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5:18" x14ac:dyDescent="0.35">
      <c r="E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5:18" x14ac:dyDescent="0.35">
      <c r="E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5:18" x14ac:dyDescent="0.35">
      <c r="E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5:18" x14ac:dyDescent="0.35">
      <c r="E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5:18" x14ac:dyDescent="0.35">
      <c r="E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5:18" x14ac:dyDescent="0.35">
      <c r="E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5:18" x14ac:dyDescent="0.35">
      <c r="E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5:18" x14ac:dyDescent="0.35">
      <c r="E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5:18" x14ac:dyDescent="0.35">
      <c r="E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5:18" x14ac:dyDescent="0.35">
      <c r="E300"/>
      <c r="G300"/>
      <c r="H300"/>
      <c r="I300"/>
      <c r="J300"/>
      <c r="K300"/>
      <c r="L300"/>
      <c r="M300"/>
      <c r="N300"/>
      <c r="O300"/>
      <c r="P300"/>
      <c r="Q300"/>
      <c r="R300"/>
    </row>
    <row r="301" spans="5:18" x14ac:dyDescent="0.35">
      <c r="E301"/>
      <c r="G301"/>
      <c r="H301"/>
      <c r="I301"/>
      <c r="J301"/>
      <c r="K301"/>
      <c r="L301"/>
      <c r="M301"/>
      <c r="N301"/>
      <c r="O301"/>
      <c r="P301"/>
      <c r="Q301"/>
      <c r="R301"/>
    </row>
    <row r="302" spans="5:18" x14ac:dyDescent="0.35">
      <c r="E302"/>
      <c r="G302"/>
      <c r="H302"/>
      <c r="I302"/>
      <c r="J302"/>
      <c r="K302"/>
      <c r="L302"/>
      <c r="M302"/>
      <c r="N302"/>
      <c r="O302"/>
      <c r="P302"/>
      <c r="Q302"/>
      <c r="R302"/>
    </row>
    <row r="303" spans="5:18" x14ac:dyDescent="0.35">
      <c r="E303"/>
      <c r="G303"/>
      <c r="H303"/>
      <c r="I303"/>
      <c r="J303"/>
      <c r="K303"/>
      <c r="L303"/>
      <c r="M303"/>
      <c r="N303"/>
      <c r="O303"/>
      <c r="P303"/>
      <c r="Q303"/>
      <c r="R303"/>
    </row>
    <row r="304" spans="5:18" x14ac:dyDescent="0.35">
      <c r="E304"/>
      <c r="G304"/>
      <c r="H304"/>
      <c r="I304"/>
      <c r="J304"/>
      <c r="K304"/>
      <c r="L304"/>
      <c r="M304"/>
      <c r="N304"/>
      <c r="O304"/>
      <c r="P304"/>
      <c r="Q304"/>
      <c r="R304"/>
    </row>
    <row r="305" spans="5:18" x14ac:dyDescent="0.35">
      <c r="E305"/>
      <c r="G305"/>
      <c r="H305"/>
      <c r="I305"/>
      <c r="J305"/>
      <c r="K305"/>
      <c r="L305"/>
      <c r="M305"/>
      <c r="N305"/>
      <c r="O305"/>
      <c r="P305"/>
      <c r="Q305"/>
      <c r="R305"/>
    </row>
    <row r="306" spans="5:18" x14ac:dyDescent="0.35">
      <c r="E306"/>
      <c r="G306"/>
      <c r="H306"/>
      <c r="I306"/>
      <c r="J306"/>
      <c r="K306"/>
      <c r="L306"/>
      <c r="M306"/>
      <c r="N306"/>
      <c r="O306"/>
      <c r="P306"/>
      <c r="Q306"/>
      <c r="R306"/>
    </row>
    <row r="307" spans="5:18" x14ac:dyDescent="0.35">
      <c r="E307"/>
      <c r="G307"/>
      <c r="H307"/>
      <c r="I307"/>
      <c r="J307"/>
      <c r="K307"/>
      <c r="L307"/>
      <c r="M307"/>
      <c r="N307"/>
      <c r="O307"/>
      <c r="P307"/>
      <c r="Q307"/>
      <c r="R307"/>
    </row>
    <row r="308" spans="5:18" x14ac:dyDescent="0.35">
      <c r="E308"/>
      <c r="G308"/>
      <c r="H308"/>
      <c r="I308"/>
      <c r="J308"/>
      <c r="K308"/>
      <c r="L308"/>
      <c r="M308"/>
      <c r="N308"/>
      <c r="O308"/>
      <c r="P308"/>
      <c r="Q308"/>
      <c r="R308"/>
    </row>
    <row r="309" spans="5:18" x14ac:dyDescent="0.35">
      <c r="E309"/>
      <c r="G309"/>
      <c r="H309"/>
      <c r="I309"/>
      <c r="J309"/>
      <c r="K309"/>
      <c r="L309"/>
      <c r="M309"/>
      <c r="N309"/>
      <c r="O309"/>
      <c r="P309"/>
      <c r="Q309"/>
      <c r="R309"/>
    </row>
    <row r="310" spans="5:18" x14ac:dyDescent="0.35">
      <c r="E310"/>
      <c r="G310"/>
      <c r="H310"/>
      <c r="I310"/>
      <c r="J310"/>
      <c r="K310"/>
      <c r="L310"/>
      <c r="M310"/>
      <c r="N310"/>
      <c r="O310"/>
      <c r="P310"/>
      <c r="Q310"/>
      <c r="R310"/>
    </row>
    <row r="311" spans="5:18" x14ac:dyDescent="0.35">
      <c r="E311"/>
      <c r="G311"/>
      <c r="H311"/>
      <c r="I311"/>
      <c r="J311"/>
      <c r="K311"/>
      <c r="L311"/>
      <c r="M311"/>
      <c r="N311"/>
      <c r="O311"/>
      <c r="P311"/>
      <c r="Q311"/>
      <c r="R311"/>
    </row>
    <row r="312" spans="5:18" x14ac:dyDescent="0.35">
      <c r="E312"/>
      <c r="G312"/>
      <c r="H312"/>
      <c r="I312"/>
      <c r="J312"/>
      <c r="K312"/>
      <c r="L312"/>
      <c r="M312"/>
      <c r="N312"/>
      <c r="O312"/>
      <c r="P312"/>
      <c r="Q312"/>
      <c r="R312"/>
    </row>
    <row r="313" spans="5:18" x14ac:dyDescent="0.35">
      <c r="E313"/>
      <c r="G313"/>
      <c r="H313"/>
      <c r="I313"/>
      <c r="J313"/>
      <c r="K313"/>
      <c r="L313"/>
      <c r="M313"/>
      <c r="N313"/>
      <c r="O313"/>
      <c r="P313"/>
      <c r="Q313"/>
      <c r="R313"/>
    </row>
    <row r="314" spans="5:18" x14ac:dyDescent="0.35">
      <c r="E314"/>
      <c r="G314"/>
      <c r="H314"/>
      <c r="I314"/>
      <c r="J314"/>
      <c r="K314"/>
      <c r="L314"/>
      <c r="M314"/>
      <c r="N314"/>
      <c r="O314"/>
      <c r="P314"/>
      <c r="Q314"/>
      <c r="R314"/>
    </row>
    <row r="315" spans="5:18" x14ac:dyDescent="0.35">
      <c r="E315"/>
      <c r="G315"/>
      <c r="H315"/>
      <c r="I315"/>
      <c r="J315"/>
      <c r="K315"/>
      <c r="L315"/>
      <c r="M315"/>
      <c r="N315"/>
      <c r="O315"/>
      <c r="P315"/>
      <c r="Q315"/>
      <c r="R315"/>
    </row>
    <row r="316" spans="5:18" x14ac:dyDescent="0.35">
      <c r="E316"/>
      <c r="G316"/>
      <c r="H316"/>
      <c r="I316"/>
      <c r="J316"/>
      <c r="K316"/>
      <c r="L316"/>
      <c r="M316"/>
      <c r="N316"/>
      <c r="O316"/>
      <c r="P316"/>
      <c r="Q316"/>
      <c r="R316"/>
    </row>
    <row r="317" spans="5:18" x14ac:dyDescent="0.35">
      <c r="E317"/>
      <c r="G317"/>
      <c r="H317"/>
      <c r="I317"/>
      <c r="J317"/>
      <c r="K317"/>
      <c r="L317"/>
      <c r="M317"/>
      <c r="N317"/>
      <c r="O317"/>
      <c r="P317"/>
      <c r="Q317"/>
      <c r="R317"/>
    </row>
    <row r="318" spans="5:18" x14ac:dyDescent="0.35">
      <c r="E318"/>
      <c r="G318"/>
      <c r="H318"/>
      <c r="I318"/>
      <c r="J318"/>
      <c r="K318"/>
      <c r="L318"/>
      <c r="M318"/>
      <c r="N318"/>
      <c r="O318"/>
      <c r="P318"/>
      <c r="Q318"/>
      <c r="R318"/>
    </row>
    <row r="319" spans="5:18" x14ac:dyDescent="0.35">
      <c r="E319"/>
      <c r="G319"/>
      <c r="H319"/>
      <c r="I319"/>
      <c r="J319"/>
      <c r="K319"/>
      <c r="L319"/>
      <c r="M319"/>
      <c r="N319"/>
      <c r="O319"/>
      <c r="P319"/>
      <c r="Q319"/>
      <c r="R319"/>
    </row>
    <row r="320" spans="5:18" x14ac:dyDescent="0.35">
      <c r="E320"/>
      <c r="G320"/>
      <c r="H320"/>
      <c r="I320"/>
      <c r="J320"/>
      <c r="K320"/>
      <c r="L320"/>
      <c r="M320"/>
      <c r="N320"/>
      <c r="O320"/>
      <c r="P320"/>
      <c r="Q320"/>
      <c r="R320"/>
    </row>
    <row r="321" spans="5:18" x14ac:dyDescent="0.35">
      <c r="E321"/>
      <c r="G321"/>
      <c r="H321"/>
      <c r="I321"/>
      <c r="J321"/>
      <c r="K321"/>
      <c r="L321"/>
      <c r="M321"/>
      <c r="N321"/>
      <c r="O321"/>
      <c r="P321"/>
      <c r="Q321"/>
      <c r="R321"/>
    </row>
    <row r="322" spans="5:18" x14ac:dyDescent="0.35">
      <c r="E322"/>
      <c r="G322"/>
      <c r="H322"/>
      <c r="I322"/>
      <c r="J322"/>
      <c r="K322"/>
      <c r="L322"/>
      <c r="M322"/>
      <c r="N322"/>
      <c r="O322"/>
      <c r="P322"/>
      <c r="Q322"/>
      <c r="R322"/>
    </row>
    <row r="323" spans="5:18" x14ac:dyDescent="0.35">
      <c r="E323"/>
      <c r="G323"/>
      <c r="H323"/>
      <c r="I323"/>
      <c r="J323"/>
      <c r="K323"/>
      <c r="L323"/>
      <c r="M323"/>
      <c r="N323"/>
      <c r="O323"/>
      <c r="P323"/>
      <c r="Q323"/>
      <c r="R323"/>
    </row>
    <row r="324" spans="5:18" x14ac:dyDescent="0.35">
      <c r="E324"/>
      <c r="G324"/>
      <c r="H324"/>
      <c r="I324"/>
      <c r="J324"/>
      <c r="K324"/>
      <c r="L324"/>
      <c r="M324"/>
      <c r="N324"/>
      <c r="O324"/>
      <c r="P324"/>
      <c r="Q324"/>
      <c r="R324"/>
    </row>
    <row r="325" spans="5:18" x14ac:dyDescent="0.35">
      <c r="E325"/>
      <c r="G325"/>
      <c r="H325"/>
      <c r="I325"/>
      <c r="J325"/>
      <c r="K325"/>
      <c r="L325"/>
      <c r="M325"/>
      <c r="N325"/>
      <c r="O325"/>
      <c r="P325"/>
      <c r="Q325"/>
      <c r="R325"/>
    </row>
    <row r="326" spans="5:18" x14ac:dyDescent="0.35">
      <c r="E326"/>
      <c r="G326"/>
      <c r="H326"/>
      <c r="I326"/>
      <c r="J326"/>
      <c r="K326"/>
      <c r="L326"/>
      <c r="M326"/>
      <c r="N326"/>
      <c r="O326"/>
      <c r="P326"/>
      <c r="Q326"/>
      <c r="R326"/>
    </row>
    <row r="327" spans="5:18" x14ac:dyDescent="0.35">
      <c r="E327"/>
      <c r="G327"/>
      <c r="H327"/>
      <c r="I327"/>
      <c r="J327"/>
      <c r="K327"/>
      <c r="L327"/>
      <c r="M327"/>
      <c r="N327"/>
      <c r="O327"/>
      <c r="P327"/>
      <c r="Q327"/>
      <c r="R327"/>
    </row>
    <row r="328" spans="5:18" x14ac:dyDescent="0.35">
      <c r="E328"/>
      <c r="G328"/>
      <c r="H328"/>
      <c r="I328"/>
      <c r="J328"/>
      <c r="K328"/>
      <c r="L328"/>
      <c r="M328"/>
      <c r="N328"/>
      <c r="O328"/>
      <c r="P328"/>
      <c r="Q328"/>
      <c r="R328"/>
    </row>
    <row r="329" spans="5:18" x14ac:dyDescent="0.35">
      <c r="E329"/>
      <c r="G329"/>
      <c r="H329"/>
      <c r="I329"/>
      <c r="J329"/>
      <c r="K329"/>
      <c r="L329"/>
      <c r="M329"/>
      <c r="N329"/>
      <c r="O329"/>
      <c r="P329"/>
      <c r="Q329"/>
      <c r="R329"/>
    </row>
    <row r="330" spans="5:18" x14ac:dyDescent="0.35">
      <c r="E330"/>
      <c r="G330"/>
      <c r="H330"/>
      <c r="I330"/>
      <c r="J330"/>
      <c r="K330"/>
      <c r="L330"/>
      <c r="M330"/>
      <c r="N330"/>
      <c r="O330"/>
      <c r="P330"/>
      <c r="Q330"/>
      <c r="R330"/>
    </row>
    <row r="331" spans="5:18" x14ac:dyDescent="0.35">
      <c r="E331"/>
      <c r="G331"/>
      <c r="H331"/>
      <c r="I331"/>
      <c r="J331"/>
      <c r="K331"/>
      <c r="L331"/>
      <c r="M331"/>
      <c r="N331"/>
      <c r="O331"/>
      <c r="P331"/>
      <c r="Q331"/>
      <c r="R331"/>
    </row>
    <row r="332" spans="5:18" x14ac:dyDescent="0.35">
      <c r="E332"/>
      <c r="G332"/>
      <c r="H332"/>
      <c r="I332"/>
      <c r="J332"/>
      <c r="K332"/>
      <c r="L332"/>
      <c r="M332"/>
      <c r="N332"/>
      <c r="O332"/>
      <c r="P332"/>
      <c r="Q332"/>
      <c r="R332"/>
    </row>
    <row r="333" spans="5:18" x14ac:dyDescent="0.35">
      <c r="E333"/>
      <c r="G333"/>
      <c r="H333"/>
      <c r="I333"/>
      <c r="J333"/>
      <c r="K333"/>
      <c r="L333"/>
      <c r="M333"/>
      <c r="N333"/>
      <c r="O333"/>
      <c r="P333"/>
      <c r="Q333"/>
      <c r="R333"/>
    </row>
    <row r="334" spans="5:18" x14ac:dyDescent="0.35">
      <c r="E334"/>
      <c r="G334"/>
      <c r="H334"/>
      <c r="I334"/>
      <c r="J334"/>
      <c r="K334"/>
      <c r="L334"/>
      <c r="M334"/>
      <c r="N334"/>
      <c r="O334"/>
      <c r="P334"/>
      <c r="Q334"/>
      <c r="R334"/>
    </row>
    <row r="335" spans="5:18" x14ac:dyDescent="0.35">
      <c r="E335"/>
      <c r="G335"/>
      <c r="H335"/>
      <c r="I335"/>
      <c r="J335"/>
      <c r="K335"/>
      <c r="L335"/>
      <c r="M335"/>
      <c r="N335"/>
      <c r="O335"/>
      <c r="P335"/>
      <c r="Q335"/>
      <c r="R335"/>
    </row>
    <row r="336" spans="5:18" x14ac:dyDescent="0.35">
      <c r="E336"/>
      <c r="G336"/>
      <c r="H336"/>
      <c r="I336"/>
      <c r="J336"/>
      <c r="K336"/>
      <c r="L336"/>
      <c r="M336"/>
      <c r="N336"/>
      <c r="O336"/>
      <c r="P336"/>
      <c r="Q336"/>
      <c r="R336"/>
    </row>
    <row r="337" spans="5:18" x14ac:dyDescent="0.35">
      <c r="E337"/>
      <c r="G337"/>
      <c r="H337"/>
      <c r="I337"/>
      <c r="J337"/>
      <c r="K337"/>
      <c r="L337"/>
      <c r="M337"/>
      <c r="N337"/>
      <c r="O337"/>
      <c r="P337"/>
      <c r="Q337"/>
      <c r="R337"/>
    </row>
    <row r="338" spans="5:18" x14ac:dyDescent="0.35">
      <c r="E338"/>
      <c r="G338"/>
      <c r="H338"/>
      <c r="I338"/>
      <c r="J338"/>
      <c r="K338"/>
      <c r="L338"/>
      <c r="M338"/>
      <c r="N338"/>
      <c r="O338"/>
      <c r="P338"/>
      <c r="Q338"/>
      <c r="R338"/>
    </row>
    <row r="339" spans="5:18" x14ac:dyDescent="0.35">
      <c r="E339"/>
      <c r="G339"/>
      <c r="H339"/>
      <c r="I339"/>
      <c r="J339"/>
      <c r="K339"/>
      <c r="L339"/>
      <c r="M339"/>
      <c r="N339"/>
      <c r="O339"/>
      <c r="P339"/>
      <c r="Q339"/>
      <c r="R339"/>
    </row>
    <row r="340" spans="5:18" x14ac:dyDescent="0.35">
      <c r="E340"/>
      <c r="G340"/>
      <c r="H340"/>
      <c r="I340"/>
      <c r="J340"/>
      <c r="K340"/>
      <c r="L340"/>
      <c r="M340"/>
      <c r="N340"/>
      <c r="O340"/>
      <c r="P340"/>
      <c r="Q340"/>
      <c r="R340"/>
    </row>
    <row r="341" spans="5:18" x14ac:dyDescent="0.35">
      <c r="E341"/>
      <c r="G341"/>
      <c r="H341"/>
      <c r="I341"/>
      <c r="J341"/>
      <c r="K341"/>
      <c r="L341"/>
      <c r="M341"/>
      <c r="N341"/>
      <c r="O341"/>
      <c r="P341"/>
      <c r="Q341"/>
      <c r="R341"/>
    </row>
    <row r="342" spans="5:18" x14ac:dyDescent="0.35">
      <c r="E342"/>
      <c r="G342"/>
      <c r="H342"/>
      <c r="I342"/>
      <c r="J342"/>
      <c r="K342"/>
      <c r="L342"/>
      <c r="M342"/>
      <c r="N342"/>
      <c r="O342"/>
      <c r="P342"/>
      <c r="Q342"/>
      <c r="R342"/>
    </row>
    <row r="343" spans="5:18" x14ac:dyDescent="0.35">
      <c r="E343"/>
      <c r="G343"/>
      <c r="H343"/>
      <c r="I343"/>
      <c r="J343"/>
      <c r="K343"/>
      <c r="L343"/>
      <c r="M343"/>
      <c r="N343"/>
      <c r="O343"/>
      <c r="P343"/>
      <c r="Q343"/>
      <c r="R343"/>
    </row>
    <row r="344" spans="5:18" x14ac:dyDescent="0.35">
      <c r="E344"/>
      <c r="G344"/>
      <c r="H344"/>
      <c r="I344"/>
      <c r="J344"/>
      <c r="K344"/>
      <c r="L344"/>
      <c r="M344"/>
      <c r="N344"/>
      <c r="O344"/>
      <c r="P344"/>
      <c r="Q344"/>
      <c r="R344"/>
    </row>
    <row r="345" spans="5:18" x14ac:dyDescent="0.35">
      <c r="E345"/>
      <c r="G345"/>
      <c r="H345"/>
      <c r="I345"/>
      <c r="J345"/>
      <c r="K345"/>
      <c r="L345"/>
      <c r="M345"/>
      <c r="N345"/>
      <c r="O345"/>
      <c r="P345"/>
      <c r="Q345"/>
      <c r="R345"/>
    </row>
    <row r="346" spans="5:18" x14ac:dyDescent="0.35">
      <c r="E346"/>
      <c r="G346"/>
      <c r="H346"/>
      <c r="I346"/>
      <c r="J346"/>
      <c r="K346"/>
      <c r="L346"/>
      <c r="M346"/>
      <c r="N346"/>
      <c r="O346"/>
      <c r="P346"/>
      <c r="Q346"/>
      <c r="R346"/>
    </row>
    <row r="347" spans="5:18" x14ac:dyDescent="0.35">
      <c r="E347"/>
      <c r="G347"/>
      <c r="H347"/>
      <c r="I347"/>
      <c r="J347"/>
      <c r="K347"/>
      <c r="L347"/>
      <c r="M347"/>
      <c r="N347"/>
      <c r="O347"/>
      <c r="P347"/>
      <c r="Q347"/>
      <c r="R347"/>
    </row>
    <row r="348" spans="5:18" x14ac:dyDescent="0.35">
      <c r="E348"/>
      <c r="G348"/>
      <c r="H348"/>
      <c r="I348"/>
      <c r="J348"/>
      <c r="K348"/>
      <c r="L348"/>
      <c r="M348"/>
      <c r="N348"/>
      <c r="O348"/>
      <c r="P348"/>
      <c r="Q348"/>
      <c r="R348"/>
    </row>
    <row r="349" spans="5:18" x14ac:dyDescent="0.35">
      <c r="E349"/>
      <c r="G349"/>
      <c r="H349"/>
      <c r="I349"/>
      <c r="J349"/>
      <c r="K349"/>
      <c r="L349"/>
      <c r="M349"/>
      <c r="N349"/>
      <c r="O349"/>
      <c r="P349"/>
      <c r="Q349"/>
      <c r="R349"/>
    </row>
    <row r="350" spans="5:18" x14ac:dyDescent="0.35">
      <c r="E350"/>
      <c r="G350"/>
      <c r="H350"/>
      <c r="I350"/>
      <c r="J350"/>
      <c r="K350"/>
      <c r="L350"/>
      <c r="M350"/>
      <c r="N350"/>
      <c r="O350"/>
      <c r="P350"/>
      <c r="Q350"/>
      <c r="R350"/>
    </row>
    <row r="351" spans="5:18" x14ac:dyDescent="0.35">
      <c r="E351"/>
      <c r="G351"/>
      <c r="H351"/>
      <c r="I351"/>
      <c r="J351"/>
      <c r="K351"/>
      <c r="L351"/>
      <c r="M351"/>
      <c r="N351"/>
      <c r="O351"/>
      <c r="P351"/>
      <c r="Q351"/>
      <c r="R351"/>
    </row>
    <row r="352" spans="5:18" x14ac:dyDescent="0.35">
      <c r="E352"/>
      <c r="G352"/>
      <c r="H352"/>
      <c r="I352"/>
      <c r="J352"/>
      <c r="K352"/>
      <c r="L352"/>
      <c r="M352"/>
      <c r="N352"/>
      <c r="O352"/>
      <c r="P352"/>
      <c r="Q352"/>
      <c r="R352"/>
    </row>
    <row r="353" spans="5:18" x14ac:dyDescent="0.35">
      <c r="E353"/>
      <c r="G353"/>
      <c r="H353"/>
      <c r="I353"/>
      <c r="J353"/>
      <c r="K353"/>
      <c r="L353"/>
      <c r="M353"/>
      <c r="N353"/>
      <c r="O353"/>
      <c r="P353"/>
      <c r="Q353"/>
      <c r="R353"/>
    </row>
    <row r="354" spans="5:18" x14ac:dyDescent="0.35">
      <c r="E354"/>
      <c r="G354"/>
      <c r="H354"/>
      <c r="I354"/>
      <c r="J354"/>
      <c r="K354"/>
      <c r="L354"/>
      <c r="M354"/>
      <c r="N354"/>
      <c r="O354"/>
      <c r="P354"/>
      <c r="Q354"/>
      <c r="R354"/>
    </row>
    <row r="355" spans="5:18" x14ac:dyDescent="0.35">
      <c r="E355"/>
      <c r="G355"/>
      <c r="H355"/>
      <c r="I355"/>
      <c r="J355"/>
      <c r="K355"/>
      <c r="L355"/>
      <c r="M355"/>
      <c r="N355"/>
      <c r="O355"/>
      <c r="P355"/>
      <c r="Q355"/>
      <c r="R355"/>
    </row>
    <row r="356" spans="5:18" x14ac:dyDescent="0.35">
      <c r="E356"/>
      <c r="G356"/>
      <c r="H356"/>
      <c r="I356"/>
      <c r="J356"/>
      <c r="K356"/>
      <c r="L356"/>
      <c r="M356"/>
      <c r="N356"/>
      <c r="O356"/>
      <c r="P356"/>
      <c r="Q356"/>
      <c r="R356"/>
    </row>
    <row r="357" spans="5:18" x14ac:dyDescent="0.35">
      <c r="E357"/>
      <c r="G357"/>
      <c r="H357"/>
      <c r="I357"/>
      <c r="J357"/>
      <c r="K357"/>
      <c r="L357"/>
      <c r="M357"/>
      <c r="N357"/>
      <c r="O357"/>
      <c r="P357"/>
      <c r="Q357"/>
      <c r="R357"/>
    </row>
  </sheetData>
  <pageMargins left="0.7" right="0.7" top="0.75" bottom="0.75" header="0.3" footer="0.3"/>
  <pageSetup orientation="portrait" r:id="rId1"/>
  <ignoredErrors>
    <ignoredError sqref="E2" calculatedColumn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33CF-9D8C-4E6B-9CE6-8515A801D047}">
  <sheetPr>
    <tabColor rgb="FF7C3AED"/>
  </sheetPr>
  <dimension ref="A1:W345"/>
  <sheetViews>
    <sheetView workbookViewId="0">
      <pane ySplit="1" topLeftCell="A74" activePane="bottomLeft" state="frozen"/>
      <selection activeCell="F54" sqref="F54"/>
      <selection pane="bottomLeft" activeCell="C190" sqref="C190"/>
    </sheetView>
  </sheetViews>
  <sheetFormatPr defaultRowHeight="14.5" x14ac:dyDescent="0.35"/>
  <cols>
    <col min="1" max="1" width="8.1796875" customWidth="1"/>
    <col min="2" max="2" width="6.54296875" style="12" customWidth="1"/>
    <col min="3" max="3" width="13.54296875" customWidth="1"/>
    <col min="4" max="4" width="15.1796875" customWidth="1"/>
    <col min="5" max="5" width="15.54296875" style="7" customWidth="1"/>
    <col min="6" max="6" width="13.81640625" customWidth="1"/>
    <col min="7" max="7" width="12.36328125" style="7" customWidth="1"/>
    <col min="8" max="8" width="17.90625" style="7" customWidth="1"/>
    <col min="9" max="9" width="18.90625" style="5" customWidth="1"/>
    <col min="10" max="10" width="24.1796875" style="5" customWidth="1"/>
    <col min="11" max="11" width="16.1796875" style="5" customWidth="1"/>
    <col min="12" max="12" width="14.36328125" style="5" customWidth="1"/>
    <col min="13" max="13" width="19.90625" style="5" customWidth="1"/>
    <col min="14" max="14" width="15.36328125" style="5" customWidth="1"/>
    <col min="15" max="15" width="18.81640625" style="5" customWidth="1"/>
    <col min="16" max="16" width="12.36328125" style="5" bestFit="1" customWidth="1"/>
    <col min="17" max="17" width="26.453125" style="5" customWidth="1"/>
    <col min="18" max="18" width="23.7265625" style="5" customWidth="1"/>
    <col min="19" max="19" width="25.08984375" bestFit="1" customWidth="1"/>
    <col min="22" max="22" width="13.36328125" bestFit="1" customWidth="1"/>
    <col min="23" max="23" width="3.81640625" bestFit="1" customWidth="1"/>
    <col min="24" max="24" width="15.54296875" customWidth="1"/>
    <col min="27" max="27" width="4.453125" bestFit="1" customWidth="1"/>
    <col min="28" max="28" width="12.36328125" bestFit="1" customWidth="1"/>
    <col min="29" max="29" width="10.54296875" bestFit="1" customWidth="1"/>
    <col min="30" max="30" width="18.26953125" bestFit="1" customWidth="1"/>
    <col min="31" max="31" width="12.36328125" bestFit="1" customWidth="1"/>
    <col min="32" max="32" width="18.26953125" bestFit="1" customWidth="1"/>
    <col min="33" max="33" width="17.08984375" bestFit="1" customWidth="1"/>
    <col min="34" max="34" width="14.453125" bestFit="1" customWidth="1"/>
    <col min="35" max="35" width="21.453125" bestFit="1" customWidth="1"/>
    <col min="36" max="36" width="15.7265625" customWidth="1"/>
    <col min="37" max="37" width="15.08984375" bestFit="1" customWidth="1"/>
  </cols>
  <sheetData>
    <row r="1" spans="1:23" s="80" customFormat="1" ht="24" customHeight="1" x14ac:dyDescent="0.3">
      <c r="A1" s="109" t="s">
        <v>22</v>
      </c>
      <c r="B1" s="110" t="s">
        <v>23</v>
      </c>
      <c r="C1" s="109" t="s">
        <v>24</v>
      </c>
      <c r="D1" s="109" t="s">
        <v>34</v>
      </c>
      <c r="E1" s="111" t="s">
        <v>37</v>
      </c>
      <c r="F1" s="89" t="s">
        <v>25</v>
      </c>
      <c r="G1" s="112" t="s">
        <v>26</v>
      </c>
      <c r="H1" s="112" t="s">
        <v>27</v>
      </c>
      <c r="I1" s="113" t="s">
        <v>28</v>
      </c>
      <c r="J1" s="113" t="s">
        <v>29</v>
      </c>
      <c r="K1" s="113" t="s">
        <v>30</v>
      </c>
      <c r="L1" s="113" t="s">
        <v>31</v>
      </c>
      <c r="M1" s="113" t="s">
        <v>310</v>
      </c>
      <c r="N1" s="113" t="s">
        <v>32</v>
      </c>
      <c r="O1" s="114" t="s">
        <v>311</v>
      </c>
      <c r="P1" s="114" t="s">
        <v>312</v>
      </c>
      <c r="Q1" s="115" t="s">
        <v>313</v>
      </c>
      <c r="R1" s="115" t="s">
        <v>33</v>
      </c>
      <c r="S1" s="115" t="s">
        <v>80</v>
      </c>
      <c r="T1" s="81" t="s">
        <v>216</v>
      </c>
    </row>
    <row r="2" spans="1:23" x14ac:dyDescent="0.35">
      <c r="A2">
        <f t="shared" ref="A2:A33" si="0">IF(ROW()-1 &lt;= TotalPeriodsB, ROW()-1, "")</f>
        <v>1</v>
      </c>
      <c r="B2" s="13">
        <f t="shared" ref="B2:B33" si="1">IF(ROW()-1 &lt;= TotalPeriodsB, YEAR(StartYear) + INT((ROW()-2)/PPYB), "")</f>
        <v>2027</v>
      </c>
      <c r="C2">
        <f t="shared" ref="C2:C33" si="2">IF($A2="", "", MOD($A2-1, PPYB)+1)</f>
        <v>1</v>
      </c>
      <c r="D2" t="b">
        <f t="shared" ref="D2:D33" si="3">IF($A2="", "", C2=PPYB)</f>
        <v>0</v>
      </c>
      <c r="E2" s="7">
        <f t="shared" ref="E2:E33" si="4">IF($A2="","",IncB*(1+Inflation)^((B2 - YEAR(StartYear))))</f>
        <v>230000</v>
      </c>
      <c r="F2" cm="1">
        <f t="array" ref="F2">IF($A2="", "", MRate(E2))</f>
        <v>0.47000000000000003</v>
      </c>
      <c r="G2" s="7">
        <f t="shared" ref="G2:G33" si="5">IF($A2="", "", AfterTaxB/(1-F2))</f>
        <v>9433.9622641509432</v>
      </c>
      <c r="H2" s="7">
        <f>IF($A2="", "", _xlfn.XLOOKUP($B2, YearlyParamsB!$A:$A, YearlyParamsB!$E:$E, 0))</f>
        <v>120000</v>
      </c>
      <c r="I2" s="5">
        <f t="shared" ref="I2:I65" si="6">IF($A2="", "", E2*SGRate)</f>
        <v>27600</v>
      </c>
      <c r="J2" s="5">
        <f>IFERROR(IF($A2="", "", _xlfn.XLOOKUP($B2, YearlyParamsB!$A:$A, YearlyParamsB!$I:$I, 0)), 0)</f>
        <v>124900</v>
      </c>
      <c r="K2" s="5">
        <f>IF($A2="", "", 0)</f>
        <v>0</v>
      </c>
      <c r="L2" s="5">
        <f>IF($A2="", "", 0)</f>
        <v>0</v>
      </c>
      <c r="M2" s="5">
        <f>IF($A2="", "", G2)</f>
        <v>9433.9622641509432</v>
      </c>
      <c r="N2" s="5">
        <f>IFERROR(IF($A2="", "", J2-K2), 0)</f>
        <v>124900</v>
      </c>
      <c r="O2" s="7">
        <f>IFERROR(IF($A2="", "", MIN(G2,N2)), 0)</f>
        <v>9433.9622641509432</v>
      </c>
      <c r="P2" s="7">
        <f t="shared" ref="P2:P33" si="7">IFERROR(IF($A2="", "", MIN(G2+L2/PPYB,N2)*F2 + MAX(0, MIN(G2+L2/PPYB,N2) - MIN(G2,N2))), 0)</f>
        <v>4433.9622641509432</v>
      </c>
      <c r="Q2" s="7">
        <f t="shared" ref="Q2:Q33" si="8">IFERROR(IF($A2="", "", K2+MIN(G2+L2/PPYB,N2)), 0)</f>
        <v>9433.9622641509432</v>
      </c>
      <c r="R2" s="7">
        <f>IFERROR(IF($A2="", "", L2+P2), 0)</f>
        <v>4433.9622641509432</v>
      </c>
      <c r="S2" s="5">
        <f>IFERROR(IF($A2="","",P2),0)</f>
        <v>4433.9622641509432</v>
      </c>
      <c r="T2" s="14">
        <f>IF($A2="", "", LoanTerm + INT(($A2-1)/PPYB))</f>
        <v>12</v>
      </c>
    </row>
    <row r="3" spans="1:23" x14ac:dyDescent="0.35">
      <c r="A3">
        <f t="shared" si="0"/>
        <v>2</v>
      </c>
      <c r="B3" s="13">
        <f t="shared" si="1"/>
        <v>2027</v>
      </c>
      <c r="C3">
        <f t="shared" si="2"/>
        <v>2</v>
      </c>
      <c r="D3" t="b">
        <f t="shared" si="3"/>
        <v>0</v>
      </c>
      <c r="E3" s="7">
        <f t="shared" si="4"/>
        <v>230000</v>
      </c>
      <c r="F3" cm="1">
        <f t="array" ref="F3">IF($A3="", "", MRate(E3))</f>
        <v>0.47000000000000003</v>
      </c>
      <c r="G3" s="7">
        <f t="shared" si="5"/>
        <v>9433.9622641509432</v>
      </c>
      <c r="H3" s="7">
        <f>IF($A3="", "", _xlfn.XLOOKUP($B3, YearlyParamsB!$A:$A, YearlyParamsB!$E:$E, 0))</f>
        <v>120000</v>
      </c>
      <c r="I3" s="5">
        <f t="shared" si="6"/>
        <v>27600</v>
      </c>
      <c r="J3" s="5">
        <f>IFERROR(IF($A3="", "", _xlfn.XLOOKUP($B3, YearlyParamsB!$A:$A, YearlyParamsB!$I:$I, 0)), 0)</f>
        <v>124900</v>
      </c>
      <c r="K3" s="5">
        <f>IFERROR(IF($A2="", "", IF(B3&lt;&gt;B2,0,Q2)), 0)</f>
        <v>9433.9622641509432</v>
      </c>
      <c r="L3" s="5">
        <f t="shared" ref="L3:L34" si="9">IFERROR(IF($A2="","",IF(B3&lt;&gt;B2, 0, L2 + MIN(G2+L2/PPYB, J2-K2)*F2)), 0)</f>
        <v>4433.9622641509432</v>
      </c>
      <c r="M3" s="5">
        <f>IF($A3="", "", G3)</f>
        <v>9433.9622641509432</v>
      </c>
      <c r="N3" s="5">
        <f>IFERROR(IF($A3="", "", J3-K3), 0)</f>
        <v>115466.03773584905</v>
      </c>
      <c r="O3" s="7">
        <f>IFERROR(IF($A3="", "", MIN(G3,N3)), 0)</f>
        <v>9433.9622641509432</v>
      </c>
      <c r="P3" s="7">
        <f t="shared" si="7"/>
        <v>4977.1226415094334</v>
      </c>
      <c r="Q3" s="7">
        <f t="shared" si="8"/>
        <v>19237.421383647797</v>
      </c>
      <c r="R3" s="5">
        <f>IFERROR(IF($A2="", "", IF(B3&lt;&gt;B2,P3,R2+P3)), 0)</f>
        <v>9411.0849056603765</v>
      </c>
      <c r="S3" s="5">
        <f>IFERROR(IF($A3="", "", S2+P3), 0)</f>
        <v>9411.0849056603765</v>
      </c>
      <c r="T3" s="5"/>
      <c r="V3" s="1" t="s">
        <v>35</v>
      </c>
      <c r="W3" s="1">
        <f>_xlfn.XLOOKUP(FreqB,FreqLookup[Frequency],FreqLookup[PeriodsPerYear])</f>
        <v>12</v>
      </c>
    </row>
    <row r="4" spans="1:23" x14ac:dyDescent="0.35">
      <c r="A4">
        <f t="shared" si="0"/>
        <v>3</v>
      </c>
      <c r="B4" s="13">
        <f t="shared" si="1"/>
        <v>2027</v>
      </c>
      <c r="C4">
        <f t="shared" si="2"/>
        <v>3</v>
      </c>
      <c r="D4" t="b">
        <f t="shared" si="3"/>
        <v>0</v>
      </c>
      <c r="E4" s="7">
        <f t="shared" si="4"/>
        <v>230000</v>
      </c>
      <c r="F4" cm="1">
        <f t="array" ref="F4">IF($A4="", "", MRate(E4))</f>
        <v>0.47000000000000003</v>
      </c>
      <c r="G4" s="7">
        <f t="shared" si="5"/>
        <v>9433.9622641509432</v>
      </c>
      <c r="H4" s="7">
        <f>IF($A4="", "", _xlfn.XLOOKUP($B4, YearlyParamsB!$A:$A, YearlyParamsB!$E:$E, 0))</f>
        <v>120000</v>
      </c>
      <c r="I4" s="5">
        <f t="shared" si="6"/>
        <v>27600</v>
      </c>
      <c r="J4" s="5">
        <f>IFERROR(IF($A4="", "", _xlfn.XLOOKUP($B4, YearlyParamsB!$A:$A, YearlyParamsB!$I:$I, 0)), 0)</f>
        <v>124900</v>
      </c>
      <c r="K4" s="5">
        <f t="shared" ref="K4:K61" si="10">IFERROR(IF($A3="", "", IF(B4&lt;&gt;B3,0,Q3)), 0)</f>
        <v>19237.421383647797</v>
      </c>
      <c r="L4" s="5">
        <f t="shared" si="9"/>
        <v>9041.5880503144654</v>
      </c>
      <c r="M4" s="5">
        <f t="shared" ref="M4:M67" si="11">IF($A4="", "", G4)</f>
        <v>9433.9622641509432</v>
      </c>
      <c r="N4" s="5">
        <f t="shared" ref="N4:N67" si="12">IFERROR(IF($A4="", "", J4-K4), 0)</f>
        <v>105662.5786163522</v>
      </c>
      <c r="O4" s="7">
        <f t="shared" ref="O4:O67" si="13">IFERROR(IF($A4="", "", MIN(G4,N4)), 0)</f>
        <v>9433.9622641509432</v>
      </c>
      <c r="P4" s="7">
        <f t="shared" si="7"/>
        <v>5541.5568003144663</v>
      </c>
      <c r="Q4" s="7">
        <f t="shared" si="8"/>
        <v>29424.849318658278</v>
      </c>
      <c r="R4" s="5">
        <f t="shared" ref="R4:R67" si="14">IFERROR(IF($A3="", "", IF(B4&lt;&gt;B3,P4,R3+P4)), 0)</f>
        <v>14952.641705974842</v>
      </c>
      <c r="S4" s="5">
        <f>IFERROR(IF($A4="", "", S3+P4), 0)</f>
        <v>14952.641705974842</v>
      </c>
      <c r="T4" s="5"/>
      <c r="V4" s="1" t="s">
        <v>36</v>
      </c>
      <c r="W4" s="1">
        <f>ProjYearsB*PPYB</f>
        <v>180</v>
      </c>
    </row>
    <row r="5" spans="1:23" x14ac:dyDescent="0.35">
      <c r="A5">
        <f t="shared" si="0"/>
        <v>4</v>
      </c>
      <c r="B5" s="13">
        <f t="shared" si="1"/>
        <v>2027</v>
      </c>
      <c r="C5">
        <f t="shared" si="2"/>
        <v>4</v>
      </c>
      <c r="D5" t="b">
        <f t="shared" si="3"/>
        <v>0</v>
      </c>
      <c r="E5" s="7">
        <f t="shared" si="4"/>
        <v>230000</v>
      </c>
      <c r="F5" cm="1">
        <f t="array" ref="F5">IF($A5="", "", MRate(E5))</f>
        <v>0.47000000000000003</v>
      </c>
      <c r="G5" s="7">
        <f t="shared" si="5"/>
        <v>9433.9622641509432</v>
      </c>
      <c r="H5" s="7">
        <f>IF($A5="", "", _xlfn.XLOOKUP($B5, YearlyParamsB!$A:$A, YearlyParamsB!$E:$E, 0))</f>
        <v>120000</v>
      </c>
      <c r="I5" s="5">
        <f t="shared" si="6"/>
        <v>27600</v>
      </c>
      <c r="J5" s="5">
        <f>IFERROR(IF($A5="", "", _xlfn.XLOOKUP($B5, YearlyParamsB!$A:$A, YearlyParamsB!$I:$I, 0)), 0)</f>
        <v>124900</v>
      </c>
      <c r="K5" s="5">
        <f t="shared" si="10"/>
        <v>29424.849318658278</v>
      </c>
      <c r="L5" s="5">
        <f t="shared" si="9"/>
        <v>13829.679179769391</v>
      </c>
      <c r="M5" s="5">
        <f t="shared" si="11"/>
        <v>9433.9622641509432</v>
      </c>
      <c r="N5" s="5">
        <f t="shared" si="12"/>
        <v>95475.150681341722</v>
      </c>
      <c r="O5" s="7">
        <f t="shared" si="13"/>
        <v>9433.9622641509432</v>
      </c>
      <c r="P5" s="7">
        <f t="shared" si="7"/>
        <v>6128.0979636726943</v>
      </c>
      <c r="Q5" s="7">
        <f t="shared" si="8"/>
        <v>40011.284847790004</v>
      </c>
      <c r="R5" s="5">
        <f t="shared" si="14"/>
        <v>21080.739669647537</v>
      </c>
      <c r="S5" s="5">
        <f t="shared" ref="S5:S68" si="15">IFERROR(IF($A5="", "", S4+P5), 0)</f>
        <v>21080.739669647537</v>
      </c>
      <c r="T5" s="5"/>
    </row>
    <row r="6" spans="1:23" x14ac:dyDescent="0.35">
      <c r="A6">
        <f t="shared" si="0"/>
        <v>5</v>
      </c>
      <c r="B6" s="13">
        <f t="shared" si="1"/>
        <v>2027</v>
      </c>
      <c r="C6">
        <f t="shared" si="2"/>
        <v>5</v>
      </c>
      <c r="D6" t="b">
        <f t="shared" si="3"/>
        <v>0</v>
      </c>
      <c r="E6" s="7">
        <f t="shared" si="4"/>
        <v>230000</v>
      </c>
      <c r="F6" cm="1">
        <f t="array" ref="F6">IF($A6="", "", MRate(E6))</f>
        <v>0.47000000000000003</v>
      </c>
      <c r="G6" s="7">
        <f t="shared" si="5"/>
        <v>9433.9622641509432</v>
      </c>
      <c r="H6" s="7">
        <f>IF($A6="", "", _xlfn.XLOOKUP($B6, YearlyParamsB!$A:$A, YearlyParamsB!$E:$E, 0))</f>
        <v>120000</v>
      </c>
      <c r="I6" s="5">
        <f t="shared" si="6"/>
        <v>27600</v>
      </c>
      <c r="J6" s="5">
        <f>IFERROR(IF($A6="", "", _xlfn.XLOOKUP($B6, YearlyParamsB!$A:$A, YearlyParamsB!$I:$I, 0)), 0)</f>
        <v>124900</v>
      </c>
      <c r="K6" s="5">
        <f t="shared" si="10"/>
        <v>40011.284847790004</v>
      </c>
      <c r="L6" s="5">
        <f t="shared" si="9"/>
        <v>18805.303878461302</v>
      </c>
      <c r="M6" s="5">
        <f t="shared" si="11"/>
        <v>9433.9622641509432</v>
      </c>
      <c r="N6" s="5">
        <f t="shared" si="12"/>
        <v>84888.715152210003</v>
      </c>
      <c r="O6" s="7">
        <f t="shared" si="13"/>
        <v>9433.9622641509432</v>
      </c>
      <c r="P6" s="7">
        <f t="shared" si="7"/>
        <v>6737.611989262452</v>
      </c>
      <c r="Q6" s="7">
        <f t="shared" si="8"/>
        <v>51012.355768479392</v>
      </c>
      <c r="R6" s="5">
        <f t="shared" si="14"/>
        <v>27818.351658909989</v>
      </c>
      <c r="S6" s="5">
        <f t="shared" si="15"/>
        <v>27818.351658909989</v>
      </c>
      <c r="T6" s="5"/>
    </row>
    <row r="7" spans="1:23" x14ac:dyDescent="0.35">
      <c r="A7">
        <f t="shared" si="0"/>
        <v>6</v>
      </c>
      <c r="B7" s="13">
        <f t="shared" si="1"/>
        <v>2027</v>
      </c>
      <c r="C7">
        <f t="shared" si="2"/>
        <v>6</v>
      </c>
      <c r="D7" t="b">
        <f t="shared" si="3"/>
        <v>0</v>
      </c>
      <c r="E7" s="7">
        <f t="shared" si="4"/>
        <v>230000</v>
      </c>
      <c r="F7" cm="1">
        <f t="array" ref="F7">IF($A7="", "", MRate(E7))</f>
        <v>0.47000000000000003</v>
      </c>
      <c r="G7" s="7">
        <f t="shared" si="5"/>
        <v>9433.9622641509432</v>
      </c>
      <c r="H7" s="7">
        <f>IF($A7="", "", _xlfn.XLOOKUP($B7, YearlyParamsB!$A:$A, YearlyParamsB!$E:$E, 0))</f>
        <v>120000</v>
      </c>
      <c r="I7" s="5">
        <f t="shared" si="6"/>
        <v>27600</v>
      </c>
      <c r="J7" s="5">
        <f>IFERROR(IF($A7="", "", _xlfn.XLOOKUP($B7, YearlyParamsB!$A:$A, YearlyParamsB!$I:$I, 0)), 0)</f>
        <v>124900</v>
      </c>
      <c r="K7" s="5">
        <f t="shared" si="10"/>
        <v>51012.355768479392</v>
      </c>
      <c r="L7" s="5">
        <f t="shared" si="9"/>
        <v>23975.807211185311</v>
      </c>
      <c r="M7" s="5">
        <f t="shared" si="11"/>
        <v>9433.9622641509432</v>
      </c>
      <c r="N7" s="5">
        <f t="shared" si="12"/>
        <v>73887.644231520608</v>
      </c>
      <c r="O7" s="7">
        <f t="shared" si="13"/>
        <v>9433.9622641509432</v>
      </c>
      <c r="P7" s="7">
        <f t="shared" si="7"/>
        <v>7370.9986475211454</v>
      </c>
      <c r="Q7" s="7">
        <f t="shared" si="8"/>
        <v>62444.301966895779</v>
      </c>
      <c r="R7" s="5">
        <f t="shared" si="14"/>
        <v>35189.350306431137</v>
      </c>
      <c r="S7" s="5">
        <f t="shared" si="15"/>
        <v>35189.350306431137</v>
      </c>
      <c r="T7" s="5"/>
    </row>
    <row r="8" spans="1:23" x14ac:dyDescent="0.35">
      <c r="A8">
        <f t="shared" si="0"/>
        <v>7</v>
      </c>
      <c r="B8" s="13">
        <f t="shared" si="1"/>
        <v>2027</v>
      </c>
      <c r="C8">
        <f t="shared" si="2"/>
        <v>7</v>
      </c>
      <c r="D8" t="b">
        <f t="shared" si="3"/>
        <v>0</v>
      </c>
      <c r="E8" s="7">
        <f t="shared" si="4"/>
        <v>230000</v>
      </c>
      <c r="F8" cm="1">
        <f t="array" ref="F8">IF($A8="", "", MRate(E8))</f>
        <v>0.47000000000000003</v>
      </c>
      <c r="G8" s="7">
        <f t="shared" si="5"/>
        <v>9433.9622641509432</v>
      </c>
      <c r="H8" s="7">
        <f>IF($A8="", "", _xlfn.XLOOKUP($B8, YearlyParamsB!$A:$A, YearlyParamsB!$E:$E, 0))</f>
        <v>120000</v>
      </c>
      <c r="I8" s="5">
        <f t="shared" si="6"/>
        <v>27600</v>
      </c>
      <c r="J8" s="5">
        <f>IFERROR(IF($A8="", "", _xlfn.XLOOKUP($B8, YearlyParamsB!$A:$A, YearlyParamsB!$I:$I, 0)), 0)</f>
        <v>124900</v>
      </c>
      <c r="K8" s="5">
        <f t="shared" si="10"/>
        <v>62444.301966895779</v>
      </c>
      <c r="L8" s="5">
        <f t="shared" si="9"/>
        <v>29348.821924441014</v>
      </c>
      <c r="M8" s="5">
        <f t="shared" si="11"/>
        <v>9433.9622641509432</v>
      </c>
      <c r="N8" s="5">
        <f t="shared" si="12"/>
        <v>62455.698033104221</v>
      </c>
      <c r="O8" s="7">
        <f t="shared" si="13"/>
        <v>9433.9622641509432</v>
      </c>
      <c r="P8" s="7">
        <f t="shared" si="7"/>
        <v>8029.1929498949676</v>
      </c>
      <c r="Q8" s="7">
        <f t="shared" si="8"/>
        <v>74323.999391416801</v>
      </c>
      <c r="R8" s="5">
        <f t="shared" si="14"/>
        <v>43218.543256326106</v>
      </c>
      <c r="S8" s="5">
        <f t="shared" si="15"/>
        <v>43218.543256326106</v>
      </c>
      <c r="T8" s="5"/>
    </row>
    <row r="9" spans="1:23" x14ac:dyDescent="0.35">
      <c r="A9">
        <f t="shared" si="0"/>
        <v>8</v>
      </c>
      <c r="B9" s="13">
        <f t="shared" si="1"/>
        <v>2027</v>
      </c>
      <c r="C9">
        <f t="shared" si="2"/>
        <v>8</v>
      </c>
      <c r="D9" t="b">
        <f t="shared" si="3"/>
        <v>0</v>
      </c>
      <c r="E9" s="7">
        <f t="shared" si="4"/>
        <v>230000</v>
      </c>
      <c r="F9" cm="1">
        <f t="array" ref="F9">IF($A9="", "", MRate(E9))</f>
        <v>0.47000000000000003</v>
      </c>
      <c r="G9" s="7">
        <f t="shared" si="5"/>
        <v>9433.9622641509432</v>
      </c>
      <c r="H9" s="7">
        <f>IF($A9="", "", _xlfn.XLOOKUP($B9, YearlyParamsB!$A:$A, YearlyParamsB!$E:$E, 0))</f>
        <v>120000</v>
      </c>
      <c r="I9" s="5">
        <f t="shared" si="6"/>
        <v>27600</v>
      </c>
      <c r="J9" s="5">
        <f>IFERROR(IF($A9="", "", _xlfn.XLOOKUP($B9, YearlyParamsB!$A:$A, YearlyParamsB!$I:$I, 0)), 0)</f>
        <v>124900</v>
      </c>
      <c r="K9" s="5">
        <f t="shared" si="10"/>
        <v>74323.999391416801</v>
      </c>
      <c r="L9" s="5">
        <f t="shared" si="9"/>
        <v>34932.279713965894</v>
      </c>
      <c r="M9" s="5">
        <f t="shared" si="11"/>
        <v>9433.9622641509432</v>
      </c>
      <c r="N9" s="5">
        <f t="shared" si="12"/>
        <v>50576.000608583199</v>
      </c>
      <c r="O9" s="7">
        <f t="shared" si="13"/>
        <v>9433.9622641509432</v>
      </c>
      <c r="P9" s="7">
        <f t="shared" si="7"/>
        <v>8713.1665291117642</v>
      </c>
      <c r="Q9" s="7">
        <f t="shared" si="8"/>
        <v>86668.984965064898</v>
      </c>
      <c r="R9" s="5">
        <f t="shared" si="14"/>
        <v>51931.709785437866</v>
      </c>
      <c r="S9" s="5">
        <f t="shared" si="15"/>
        <v>51931.709785437866</v>
      </c>
      <c r="T9" s="5"/>
    </row>
    <row r="10" spans="1:23" x14ac:dyDescent="0.35">
      <c r="A10">
        <f t="shared" si="0"/>
        <v>9</v>
      </c>
      <c r="B10" s="13">
        <f t="shared" si="1"/>
        <v>2027</v>
      </c>
      <c r="C10">
        <f t="shared" si="2"/>
        <v>9</v>
      </c>
      <c r="D10" t="b">
        <f t="shared" si="3"/>
        <v>0</v>
      </c>
      <c r="E10" s="7">
        <f t="shared" si="4"/>
        <v>230000</v>
      </c>
      <c r="F10" cm="1">
        <f t="array" ref="F10">IF($A10="", "", MRate(E10))</f>
        <v>0.47000000000000003</v>
      </c>
      <c r="G10" s="7">
        <f t="shared" si="5"/>
        <v>9433.9622641509432</v>
      </c>
      <c r="H10" s="7">
        <f>IF($A10="", "", _xlfn.XLOOKUP($B10, YearlyParamsB!$A:$A, YearlyParamsB!$E:$E, 0))</f>
        <v>120000</v>
      </c>
      <c r="I10" s="5">
        <f t="shared" si="6"/>
        <v>27600</v>
      </c>
      <c r="J10" s="5">
        <f>IFERROR(IF($A10="", "", _xlfn.XLOOKUP($B10, YearlyParamsB!$A:$A, YearlyParamsB!$I:$I, 0)), 0)</f>
        <v>124900</v>
      </c>
      <c r="K10" s="5">
        <f t="shared" si="10"/>
        <v>86668.984965064898</v>
      </c>
      <c r="L10" s="5">
        <f t="shared" si="9"/>
        <v>40734.422933580499</v>
      </c>
      <c r="M10" s="5">
        <f t="shared" si="11"/>
        <v>9433.9622641509432</v>
      </c>
      <c r="N10" s="5">
        <f t="shared" si="12"/>
        <v>38231.015034935102</v>
      </c>
      <c r="O10" s="7">
        <f t="shared" si="13"/>
        <v>9433.9622641509432</v>
      </c>
      <c r="P10" s="7">
        <f t="shared" si="7"/>
        <v>9423.9290735145551</v>
      </c>
      <c r="Q10" s="7">
        <f t="shared" si="8"/>
        <v>99497.482473680881</v>
      </c>
      <c r="R10" s="5">
        <f t="shared" si="14"/>
        <v>61355.638858952421</v>
      </c>
      <c r="S10" s="5">
        <f t="shared" si="15"/>
        <v>61355.638858952421</v>
      </c>
      <c r="T10" s="5"/>
    </row>
    <row r="11" spans="1:23" x14ac:dyDescent="0.35">
      <c r="A11">
        <f t="shared" si="0"/>
        <v>10</v>
      </c>
      <c r="B11" s="13">
        <f t="shared" si="1"/>
        <v>2027</v>
      </c>
      <c r="C11">
        <f t="shared" si="2"/>
        <v>10</v>
      </c>
      <c r="D11" t="b">
        <f t="shared" si="3"/>
        <v>0</v>
      </c>
      <c r="E11" s="7">
        <f t="shared" si="4"/>
        <v>230000</v>
      </c>
      <c r="F11" cm="1">
        <f t="array" ref="F11">IF($A11="", "", MRate(E11))</f>
        <v>0.47000000000000003</v>
      </c>
      <c r="G11" s="7">
        <f t="shared" si="5"/>
        <v>9433.9622641509432</v>
      </c>
      <c r="H11" s="7">
        <f>IF($A11="", "", _xlfn.XLOOKUP($B11, YearlyParamsB!$A:$A, YearlyParamsB!$E:$E, 0))</f>
        <v>120000</v>
      </c>
      <c r="I11" s="5">
        <f t="shared" si="6"/>
        <v>27600</v>
      </c>
      <c r="J11" s="5">
        <f>IFERROR(IF($A11="", "", _xlfn.XLOOKUP($B11, YearlyParamsB!$A:$A, YearlyParamsB!$I:$I, 0)), 0)</f>
        <v>124900</v>
      </c>
      <c r="K11" s="5">
        <f t="shared" si="10"/>
        <v>99497.482473680881</v>
      </c>
      <c r="L11" s="5">
        <f t="shared" si="9"/>
        <v>46763.816762630013</v>
      </c>
      <c r="M11" s="5">
        <f t="shared" si="11"/>
        <v>9433.9622641509432</v>
      </c>
      <c r="N11" s="5">
        <f t="shared" si="12"/>
        <v>25402.517526319119</v>
      </c>
      <c r="O11" s="7">
        <f t="shared" si="13"/>
        <v>9433.9622641509432</v>
      </c>
      <c r="P11" s="7">
        <f t="shared" si="7"/>
        <v>10162.529817573122</v>
      </c>
      <c r="Q11" s="7">
        <f t="shared" si="8"/>
        <v>112828.42946805099</v>
      </c>
      <c r="R11" s="5">
        <f t="shared" si="14"/>
        <v>71518.168676525544</v>
      </c>
      <c r="S11" s="5">
        <f t="shared" si="15"/>
        <v>71518.168676525544</v>
      </c>
      <c r="T11" s="5"/>
    </row>
    <row r="12" spans="1:23" x14ac:dyDescent="0.35">
      <c r="A12">
        <f t="shared" si="0"/>
        <v>11</v>
      </c>
      <c r="B12" s="13">
        <f t="shared" si="1"/>
        <v>2027</v>
      </c>
      <c r="C12">
        <f t="shared" si="2"/>
        <v>11</v>
      </c>
      <c r="D12" t="b">
        <f t="shared" si="3"/>
        <v>0</v>
      </c>
      <c r="E12" s="7">
        <f t="shared" si="4"/>
        <v>230000</v>
      </c>
      <c r="F12" cm="1">
        <f t="array" ref="F12">IF($A12="", "", MRate(E12))</f>
        <v>0.47000000000000003</v>
      </c>
      <c r="G12" s="7">
        <f t="shared" si="5"/>
        <v>9433.9622641509432</v>
      </c>
      <c r="H12" s="7">
        <f>IF($A12="", "", _xlfn.XLOOKUP($B12, YearlyParamsB!$A:$A, YearlyParamsB!$E:$E, 0))</f>
        <v>120000</v>
      </c>
      <c r="I12" s="5">
        <f t="shared" si="6"/>
        <v>27600</v>
      </c>
      <c r="J12" s="5">
        <f>IFERROR(IF($A12="", "", _xlfn.XLOOKUP($B12, YearlyParamsB!$A:$A, YearlyParamsB!$I:$I, 0)), 0)</f>
        <v>124900</v>
      </c>
      <c r="K12" s="5">
        <f t="shared" si="10"/>
        <v>112828.42946805099</v>
      </c>
      <c r="L12" s="5">
        <f t="shared" si="9"/>
        <v>53029.361849983965</v>
      </c>
      <c r="M12" s="5">
        <f t="shared" si="11"/>
        <v>9433.9622641509432</v>
      </c>
      <c r="N12" s="5">
        <f t="shared" si="12"/>
        <v>12071.570531949008</v>
      </c>
      <c r="O12" s="7">
        <f t="shared" si="13"/>
        <v>9433.9622641509432</v>
      </c>
      <c r="P12" s="7">
        <f t="shared" si="7"/>
        <v>8311.2464178140981</v>
      </c>
      <c r="Q12" s="7">
        <f t="shared" si="8"/>
        <v>124900</v>
      </c>
      <c r="R12" s="5">
        <f t="shared" si="14"/>
        <v>79829.415094339638</v>
      </c>
      <c r="S12" s="5">
        <f t="shared" si="15"/>
        <v>79829.415094339638</v>
      </c>
      <c r="T12" s="5"/>
    </row>
    <row r="13" spans="1:23" x14ac:dyDescent="0.35">
      <c r="A13">
        <f t="shared" si="0"/>
        <v>12</v>
      </c>
      <c r="B13" s="13">
        <f t="shared" si="1"/>
        <v>2027</v>
      </c>
      <c r="C13">
        <f t="shared" si="2"/>
        <v>12</v>
      </c>
      <c r="D13" t="b">
        <f t="shared" si="3"/>
        <v>1</v>
      </c>
      <c r="E13" s="7">
        <f t="shared" si="4"/>
        <v>230000</v>
      </c>
      <c r="F13" cm="1">
        <f t="array" ref="F13">IF($A13="", "", MRate(E13))</f>
        <v>0.47000000000000003</v>
      </c>
      <c r="G13" s="7">
        <f t="shared" si="5"/>
        <v>9433.9622641509432</v>
      </c>
      <c r="H13" s="7">
        <f>IF($A13="", "", _xlfn.XLOOKUP($B13, YearlyParamsB!$A:$A, YearlyParamsB!$E:$E, 0))</f>
        <v>120000</v>
      </c>
      <c r="I13" s="5">
        <f t="shared" si="6"/>
        <v>27600</v>
      </c>
      <c r="J13" s="5">
        <f>IFERROR(IF($A13="", "", _xlfn.XLOOKUP($B13, YearlyParamsB!$A:$A, YearlyParamsB!$I:$I, 0)), 0)</f>
        <v>124900</v>
      </c>
      <c r="K13" s="5">
        <f t="shared" si="10"/>
        <v>124900</v>
      </c>
      <c r="L13" s="5">
        <f t="shared" si="9"/>
        <v>58703</v>
      </c>
      <c r="M13" s="5">
        <f t="shared" si="11"/>
        <v>9433.9622641509432</v>
      </c>
      <c r="N13" s="5">
        <f t="shared" si="12"/>
        <v>0</v>
      </c>
      <c r="O13" s="7">
        <f t="shared" si="13"/>
        <v>0</v>
      </c>
      <c r="P13" s="7">
        <f t="shared" si="7"/>
        <v>0</v>
      </c>
      <c r="Q13" s="7">
        <f t="shared" si="8"/>
        <v>124900</v>
      </c>
      <c r="R13" s="5">
        <f t="shared" si="14"/>
        <v>79829.415094339638</v>
      </c>
      <c r="S13" s="5">
        <f t="shared" si="15"/>
        <v>79829.415094339638</v>
      </c>
      <c r="T13" s="5"/>
    </row>
    <row r="14" spans="1:23" x14ac:dyDescent="0.35">
      <c r="A14">
        <f t="shared" si="0"/>
        <v>13</v>
      </c>
      <c r="B14" s="13">
        <f t="shared" si="1"/>
        <v>2028</v>
      </c>
      <c r="C14">
        <f t="shared" si="2"/>
        <v>1</v>
      </c>
      <c r="D14" t="b">
        <f t="shared" si="3"/>
        <v>0</v>
      </c>
      <c r="E14" s="7">
        <f t="shared" si="4"/>
        <v>235749.99999999997</v>
      </c>
      <c r="F14" cm="1">
        <f t="array" ref="F14">IF($A14="", "", MRate(E14))</f>
        <v>0.47000000000000003</v>
      </c>
      <c r="G14" s="7">
        <f t="shared" si="5"/>
        <v>9433.9622641509432</v>
      </c>
      <c r="H14" s="7">
        <f>IF($A14="", "", _xlfn.XLOOKUP($B14, YearlyParamsB!$A:$A, YearlyParamsB!$E:$E, 0))</f>
        <v>0</v>
      </c>
      <c r="I14" s="5">
        <f t="shared" si="6"/>
        <v>28289.999999999996</v>
      </c>
      <c r="J14" s="5">
        <f>IFERROR(IF($A14="", "", _xlfn.XLOOKUP($B14, YearlyParamsB!$A:$A, YearlyParamsB!$I:$I, 0)), 0)</f>
        <v>4210.0000000000036</v>
      </c>
      <c r="K14" s="5">
        <f t="shared" si="10"/>
        <v>0</v>
      </c>
      <c r="L14" s="5">
        <f t="shared" si="9"/>
        <v>0</v>
      </c>
      <c r="M14" s="5">
        <f t="shared" si="11"/>
        <v>9433.9622641509432</v>
      </c>
      <c r="N14" s="5">
        <f t="shared" si="12"/>
        <v>4210.0000000000036</v>
      </c>
      <c r="O14" s="7">
        <f t="shared" si="13"/>
        <v>4210.0000000000036</v>
      </c>
      <c r="P14" s="7">
        <f t="shared" si="7"/>
        <v>1978.7000000000019</v>
      </c>
      <c r="Q14" s="7">
        <f t="shared" si="8"/>
        <v>4210.0000000000036</v>
      </c>
      <c r="R14" s="5">
        <f t="shared" si="14"/>
        <v>1978.7000000000019</v>
      </c>
      <c r="S14" s="5">
        <f t="shared" si="15"/>
        <v>81808.115094339635</v>
      </c>
      <c r="T14" s="5"/>
    </row>
    <row r="15" spans="1:23" x14ac:dyDescent="0.35">
      <c r="A15">
        <f t="shared" si="0"/>
        <v>14</v>
      </c>
      <c r="B15" s="13">
        <f t="shared" si="1"/>
        <v>2028</v>
      </c>
      <c r="C15">
        <f t="shared" si="2"/>
        <v>2</v>
      </c>
      <c r="D15" t="b">
        <f t="shared" si="3"/>
        <v>0</v>
      </c>
      <c r="E15" s="7">
        <f t="shared" si="4"/>
        <v>235749.99999999997</v>
      </c>
      <c r="F15" cm="1">
        <f t="array" ref="F15">IF($A15="", "", MRate(E15))</f>
        <v>0.47000000000000003</v>
      </c>
      <c r="G15" s="7">
        <f t="shared" si="5"/>
        <v>9433.9622641509432</v>
      </c>
      <c r="H15" s="7">
        <f>IF($A15="", "", _xlfn.XLOOKUP($B15, YearlyParamsB!$A:$A, YearlyParamsB!$E:$E, 0))</f>
        <v>0</v>
      </c>
      <c r="I15" s="5">
        <f t="shared" si="6"/>
        <v>28289.999999999996</v>
      </c>
      <c r="J15" s="5">
        <f>IFERROR(IF($A15="", "", _xlfn.XLOOKUP($B15, YearlyParamsB!$A:$A, YearlyParamsB!$I:$I, 0)), 0)</f>
        <v>4210.0000000000036</v>
      </c>
      <c r="K15" s="5">
        <f t="shared" si="10"/>
        <v>4210.0000000000036</v>
      </c>
      <c r="L15" s="5">
        <f t="shared" si="9"/>
        <v>1978.7000000000019</v>
      </c>
      <c r="M15" s="5">
        <f t="shared" si="11"/>
        <v>9433.9622641509432</v>
      </c>
      <c r="N15" s="5">
        <f t="shared" si="12"/>
        <v>0</v>
      </c>
      <c r="O15" s="7">
        <f t="shared" si="13"/>
        <v>0</v>
      </c>
      <c r="P15" s="7">
        <f t="shared" si="7"/>
        <v>0</v>
      </c>
      <c r="Q15" s="7">
        <f t="shared" si="8"/>
        <v>4210.0000000000036</v>
      </c>
      <c r="R15" s="5">
        <f t="shared" si="14"/>
        <v>1978.7000000000019</v>
      </c>
      <c r="S15" s="5">
        <f t="shared" si="15"/>
        <v>81808.115094339635</v>
      </c>
      <c r="T15" s="5"/>
    </row>
    <row r="16" spans="1:23" x14ac:dyDescent="0.35">
      <c r="A16">
        <f t="shared" si="0"/>
        <v>15</v>
      </c>
      <c r="B16" s="13">
        <f t="shared" si="1"/>
        <v>2028</v>
      </c>
      <c r="C16">
        <f t="shared" si="2"/>
        <v>3</v>
      </c>
      <c r="D16" t="b">
        <f t="shared" si="3"/>
        <v>0</v>
      </c>
      <c r="E16" s="7">
        <f t="shared" si="4"/>
        <v>235749.99999999997</v>
      </c>
      <c r="F16" cm="1">
        <f t="array" ref="F16">IF($A16="", "", MRate(E16))</f>
        <v>0.47000000000000003</v>
      </c>
      <c r="G16" s="7">
        <f t="shared" si="5"/>
        <v>9433.9622641509432</v>
      </c>
      <c r="H16" s="7">
        <f>IF($A16="", "", _xlfn.XLOOKUP($B16, YearlyParamsB!$A:$A, YearlyParamsB!$E:$E, 0))</f>
        <v>0</v>
      </c>
      <c r="I16" s="5">
        <f t="shared" si="6"/>
        <v>28289.999999999996</v>
      </c>
      <c r="J16" s="5">
        <f>IFERROR(IF($A16="", "", _xlfn.XLOOKUP($B16, YearlyParamsB!$A:$A, YearlyParamsB!$I:$I, 0)), 0)</f>
        <v>4210.0000000000036</v>
      </c>
      <c r="K16" s="5">
        <f t="shared" si="10"/>
        <v>4210.0000000000036</v>
      </c>
      <c r="L16" s="5">
        <f t="shared" si="9"/>
        <v>1978.7000000000019</v>
      </c>
      <c r="M16" s="5">
        <f t="shared" si="11"/>
        <v>9433.9622641509432</v>
      </c>
      <c r="N16" s="5">
        <f t="shared" si="12"/>
        <v>0</v>
      </c>
      <c r="O16" s="7">
        <f t="shared" si="13"/>
        <v>0</v>
      </c>
      <c r="P16" s="7">
        <f t="shared" si="7"/>
        <v>0</v>
      </c>
      <c r="Q16" s="7">
        <f t="shared" si="8"/>
        <v>4210.0000000000036</v>
      </c>
      <c r="R16" s="5">
        <f t="shared" si="14"/>
        <v>1978.7000000000019</v>
      </c>
      <c r="S16" s="5">
        <f t="shared" si="15"/>
        <v>81808.115094339635</v>
      </c>
      <c r="T16" s="5"/>
    </row>
    <row r="17" spans="1:20" x14ac:dyDescent="0.35">
      <c r="A17">
        <f t="shared" si="0"/>
        <v>16</v>
      </c>
      <c r="B17" s="13">
        <f t="shared" si="1"/>
        <v>2028</v>
      </c>
      <c r="C17">
        <f t="shared" si="2"/>
        <v>4</v>
      </c>
      <c r="D17" t="b">
        <f t="shared" si="3"/>
        <v>0</v>
      </c>
      <c r="E17" s="7">
        <f t="shared" si="4"/>
        <v>235749.99999999997</v>
      </c>
      <c r="F17" cm="1">
        <f t="array" ref="F17">IF($A17="", "", MRate(E17))</f>
        <v>0.47000000000000003</v>
      </c>
      <c r="G17" s="7">
        <f t="shared" si="5"/>
        <v>9433.9622641509432</v>
      </c>
      <c r="H17" s="7">
        <f>IF($A17="", "", _xlfn.XLOOKUP($B17, YearlyParamsB!$A:$A, YearlyParamsB!$E:$E, 0))</f>
        <v>0</v>
      </c>
      <c r="I17" s="5">
        <f t="shared" si="6"/>
        <v>28289.999999999996</v>
      </c>
      <c r="J17" s="5">
        <f>IFERROR(IF($A17="", "", _xlfn.XLOOKUP($B17, YearlyParamsB!$A:$A, YearlyParamsB!$I:$I, 0)), 0)</f>
        <v>4210.0000000000036</v>
      </c>
      <c r="K17" s="5">
        <f t="shared" si="10"/>
        <v>4210.0000000000036</v>
      </c>
      <c r="L17" s="5">
        <f t="shared" si="9"/>
        <v>1978.7000000000019</v>
      </c>
      <c r="M17" s="5">
        <f t="shared" si="11"/>
        <v>9433.9622641509432</v>
      </c>
      <c r="N17" s="5">
        <f t="shared" si="12"/>
        <v>0</v>
      </c>
      <c r="O17" s="7">
        <f t="shared" si="13"/>
        <v>0</v>
      </c>
      <c r="P17" s="7">
        <f t="shared" si="7"/>
        <v>0</v>
      </c>
      <c r="Q17" s="7">
        <f t="shared" si="8"/>
        <v>4210.0000000000036</v>
      </c>
      <c r="R17" s="5">
        <f t="shared" si="14"/>
        <v>1978.7000000000019</v>
      </c>
      <c r="S17" s="5">
        <f t="shared" si="15"/>
        <v>81808.115094339635</v>
      </c>
      <c r="T17" s="5"/>
    </row>
    <row r="18" spans="1:20" x14ac:dyDescent="0.35">
      <c r="A18">
        <f t="shared" si="0"/>
        <v>17</v>
      </c>
      <c r="B18" s="13">
        <f t="shared" si="1"/>
        <v>2028</v>
      </c>
      <c r="C18">
        <f t="shared" si="2"/>
        <v>5</v>
      </c>
      <c r="D18" t="b">
        <f t="shared" si="3"/>
        <v>0</v>
      </c>
      <c r="E18" s="7">
        <f t="shared" si="4"/>
        <v>235749.99999999997</v>
      </c>
      <c r="F18" cm="1">
        <f t="array" ref="F18">IF($A18="", "", MRate(E18))</f>
        <v>0.47000000000000003</v>
      </c>
      <c r="G18" s="7">
        <f t="shared" si="5"/>
        <v>9433.9622641509432</v>
      </c>
      <c r="H18" s="7">
        <f>IF($A18="", "", _xlfn.XLOOKUP($B18, YearlyParamsB!$A:$A, YearlyParamsB!$E:$E, 0))</f>
        <v>0</v>
      </c>
      <c r="I18" s="5">
        <f t="shared" si="6"/>
        <v>28289.999999999996</v>
      </c>
      <c r="J18" s="5">
        <f>IFERROR(IF($A18="", "", _xlfn.XLOOKUP($B18, YearlyParamsB!$A:$A, YearlyParamsB!$I:$I, 0)), 0)</f>
        <v>4210.0000000000036</v>
      </c>
      <c r="K18" s="5">
        <f t="shared" si="10"/>
        <v>4210.0000000000036</v>
      </c>
      <c r="L18" s="5">
        <f t="shared" si="9"/>
        <v>1978.7000000000019</v>
      </c>
      <c r="M18" s="5">
        <f t="shared" si="11"/>
        <v>9433.9622641509432</v>
      </c>
      <c r="N18" s="5">
        <f t="shared" si="12"/>
        <v>0</v>
      </c>
      <c r="O18" s="7">
        <f t="shared" si="13"/>
        <v>0</v>
      </c>
      <c r="P18" s="7">
        <f t="shared" si="7"/>
        <v>0</v>
      </c>
      <c r="Q18" s="7">
        <f t="shared" si="8"/>
        <v>4210.0000000000036</v>
      </c>
      <c r="R18" s="5">
        <f t="shared" si="14"/>
        <v>1978.7000000000019</v>
      </c>
      <c r="S18" s="5">
        <f t="shared" si="15"/>
        <v>81808.115094339635</v>
      </c>
      <c r="T18" s="5"/>
    </row>
    <row r="19" spans="1:20" x14ac:dyDescent="0.35">
      <c r="A19">
        <f t="shared" si="0"/>
        <v>18</v>
      </c>
      <c r="B19" s="13">
        <f t="shared" si="1"/>
        <v>2028</v>
      </c>
      <c r="C19">
        <f t="shared" si="2"/>
        <v>6</v>
      </c>
      <c r="D19" t="b">
        <f t="shared" si="3"/>
        <v>0</v>
      </c>
      <c r="E19" s="7">
        <f t="shared" si="4"/>
        <v>235749.99999999997</v>
      </c>
      <c r="F19" cm="1">
        <f t="array" ref="F19">IF($A19="", "", MRate(E19))</f>
        <v>0.47000000000000003</v>
      </c>
      <c r="G19" s="7">
        <f t="shared" si="5"/>
        <v>9433.9622641509432</v>
      </c>
      <c r="H19" s="7">
        <f>IF($A19="", "", _xlfn.XLOOKUP($B19, YearlyParamsB!$A:$A, YearlyParamsB!$E:$E, 0))</f>
        <v>0</v>
      </c>
      <c r="I19" s="5">
        <f t="shared" si="6"/>
        <v>28289.999999999996</v>
      </c>
      <c r="J19" s="5">
        <f>IFERROR(IF($A19="", "", _xlfn.XLOOKUP($B19, YearlyParamsB!$A:$A, YearlyParamsB!$I:$I, 0)), 0)</f>
        <v>4210.0000000000036</v>
      </c>
      <c r="K19" s="5">
        <f t="shared" si="10"/>
        <v>4210.0000000000036</v>
      </c>
      <c r="L19" s="5">
        <f t="shared" si="9"/>
        <v>1978.7000000000019</v>
      </c>
      <c r="M19" s="5">
        <f t="shared" si="11"/>
        <v>9433.9622641509432</v>
      </c>
      <c r="N19" s="5">
        <f t="shared" si="12"/>
        <v>0</v>
      </c>
      <c r="O19" s="7">
        <f t="shared" si="13"/>
        <v>0</v>
      </c>
      <c r="P19" s="7">
        <f t="shared" si="7"/>
        <v>0</v>
      </c>
      <c r="Q19" s="7">
        <f t="shared" si="8"/>
        <v>4210.0000000000036</v>
      </c>
      <c r="R19" s="5">
        <f t="shared" si="14"/>
        <v>1978.7000000000019</v>
      </c>
      <c r="S19" s="5">
        <f t="shared" si="15"/>
        <v>81808.115094339635</v>
      </c>
      <c r="T19" s="5"/>
    </row>
    <row r="20" spans="1:20" x14ac:dyDescent="0.35">
      <c r="A20">
        <f t="shared" si="0"/>
        <v>19</v>
      </c>
      <c r="B20" s="13">
        <f t="shared" si="1"/>
        <v>2028</v>
      </c>
      <c r="C20">
        <f t="shared" si="2"/>
        <v>7</v>
      </c>
      <c r="D20" t="b">
        <f t="shared" si="3"/>
        <v>0</v>
      </c>
      <c r="E20" s="7">
        <f t="shared" si="4"/>
        <v>235749.99999999997</v>
      </c>
      <c r="F20" cm="1">
        <f t="array" ref="F20">IF($A20="", "", MRate(E20))</f>
        <v>0.47000000000000003</v>
      </c>
      <c r="G20" s="7">
        <f t="shared" si="5"/>
        <v>9433.9622641509432</v>
      </c>
      <c r="H20" s="7">
        <f>IF($A20="", "", _xlfn.XLOOKUP($B20, YearlyParamsB!$A:$A, YearlyParamsB!$E:$E, 0))</f>
        <v>0</v>
      </c>
      <c r="I20" s="5">
        <f t="shared" si="6"/>
        <v>28289.999999999996</v>
      </c>
      <c r="J20" s="5">
        <f>IFERROR(IF($A20="", "", _xlfn.XLOOKUP($B20, YearlyParamsB!$A:$A, YearlyParamsB!$I:$I, 0)), 0)</f>
        <v>4210.0000000000036</v>
      </c>
      <c r="K20" s="5">
        <f t="shared" si="10"/>
        <v>4210.0000000000036</v>
      </c>
      <c r="L20" s="5">
        <f t="shared" si="9"/>
        <v>1978.7000000000019</v>
      </c>
      <c r="M20" s="5">
        <f t="shared" si="11"/>
        <v>9433.9622641509432</v>
      </c>
      <c r="N20" s="5">
        <f t="shared" si="12"/>
        <v>0</v>
      </c>
      <c r="O20" s="7">
        <f t="shared" si="13"/>
        <v>0</v>
      </c>
      <c r="P20" s="7">
        <f t="shared" si="7"/>
        <v>0</v>
      </c>
      <c r="Q20" s="7">
        <f t="shared" si="8"/>
        <v>4210.0000000000036</v>
      </c>
      <c r="R20" s="5">
        <f t="shared" si="14"/>
        <v>1978.7000000000019</v>
      </c>
      <c r="S20" s="5">
        <f t="shared" si="15"/>
        <v>81808.115094339635</v>
      </c>
      <c r="T20" s="5"/>
    </row>
    <row r="21" spans="1:20" x14ac:dyDescent="0.35">
      <c r="A21">
        <f t="shared" si="0"/>
        <v>20</v>
      </c>
      <c r="B21" s="13">
        <f t="shared" si="1"/>
        <v>2028</v>
      </c>
      <c r="C21">
        <f t="shared" si="2"/>
        <v>8</v>
      </c>
      <c r="D21" t="b">
        <f t="shared" si="3"/>
        <v>0</v>
      </c>
      <c r="E21" s="7">
        <f t="shared" si="4"/>
        <v>235749.99999999997</v>
      </c>
      <c r="F21" cm="1">
        <f t="array" ref="F21">IF($A21="", "", MRate(E21))</f>
        <v>0.47000000000000003</v>
      </c>
      <c r="G21" s="7">
        <f t="shared" si="5"/>
        <v>9433.9622641509432</v>
      </c>
      <c r="H21" s="7">
        <f>IF($A21="", "", _xlfn.XLOOKUP($B21, YearlyParamsB!$A:$A, YearlyParamsB!$E:$E, 0))</f>
        <v>0</v>
      </c>
      <c r="I21" s="5">
        <f t="shared" si="6"/>
        <v>28289.999999999996</v>
      </c>
      <c r="J21" s="5">
        <f>IFERROR(IF($A21="", "", _xlfn.XLOOKUP($B21, YearlyParamsB!$A:$A, YearlyParamsB!$I:$I, 0)), 0)</f>
        <v>4210.0000000000036</v>
      </c>
      <c r="K21" s="5">
        <f t="shared" si="10"/>
        <v>4210.0000000000036</v>
      </c>
      <c r="L21" s="5">
        <f t="shared" si="9"/>
        <v>1978.7000000000019</v>
      </c>
      <c r="M21" s="5">
        <f t="shared" si="11"/>
        <v>9433.9622641509432</v>
      </c>
      <c r="N21" s="5">
        <f t="shared" si="12"/>
        <v>0</v>
      </c>
      <c r="O21" s="7">
        <f t="shared" si="13"/>
        <v>0</v>
      </c>
      <c r="P21" s="7">
        <f t="shared" si="7"/>
        <v>0</v>
      </c>
      <c r="Q21" s="7">
        <f t="shared" si="8"/>
        <v>4210.0000000000036</v>
      </c>
      <c r="R21" s="5">
        <f t="shared" si="14"/>
        <v>1978.7000000000019</v>
      </c>
      <c r="S21" s="5">
        <f t="shared" si="15"/>
        <v>81808.115094339635</v>
      </c>
      <c r="T21" s="5"/>
    </row>
    <row r="22" spans="1:20" x14ac:dyDescent="0.35">
      <c r="A22">
        <f t="shared" si="0"/>
        <v>21</v>
      </c>
      <c r="B22" s="13">
        <f t="shared" si="1"/>
        <v>2028</v>
      </c>
      <c r="C22">
        <f t="shared" si="2"/>
        <v>9</v>
      </c>
      <c r="D22" t="b">
        <f t="shared" si="3"/>
        <v>0</v>
      </c>
      <c r="E22" s="7">
        <f t="shared" si="4"/>
        <v>235749.99999999997</v>
      </c>
      <c r="F22" cm="1">
        <f t="array" ref="F22">IF($A22="", "", MRate(E22))</f>
        <v>0.47000000000000003</v>
      </c>
      <c r="G22" s="7">
        <f t="shared" si="5"/>
        <v>9433.9622641509432</v>
      </c>
      <c r="H22" s="7">
        <f>IF($A22="", "", _xlfn.XLOOKUP($B22, YearlyParamsB!$A:$A, YearlyParamsB!$E:$E, 0))</f>
        <v>0</v>
      </c>
      <c r="I22" s="5">
        <f t="shared" si="6"/>
        <v>28289.999999999996</v>
      </c>
      <c r="J22" s="5">
        <f>IFERROR(IF($A22="", "", _xlfn.XLOOKUP($B22, YearlyParamsB!$A:$A, YearlyParamsB!$I:$I, 0)), 0)</f>
        <v>4210.0000000000036</v>
      </c>
      <c r="K22" s="5">
        <f t="shared" si="10"/>
        <v>4210.0000000000036</v>
      </c>
      <c r="L22" s="5">
        <f t="shared" si="9"/>
        <v>1978.7000000000019</v>
      </c>
      <c r="M22" s="5">
        <f t="shared" si="11"/>
        <v>9433.9622641509432</v>
      </c>
      <c r="N22" s="5">
        <f t="shared" si="12"/>
        <v>0</v>
      </c>
      <c r="O22" s="7">
        <f t="shared" si="13"/>
        <v>0</v>
      </c>
      <c r="P22" s="7">
        <f t="shared" si="7"/>
        <v>0</v>
      </c>
      <c r="Q22" s="7">
        <f t="shared" si="8"/>
        <v>4210.0000000000036</v>
      </c>
      <c r="R22" s="5">
        <f t="shared" si="14"/>
        <v>1978.7000000000019</v>
      </c>
      <c r="S22" s="5">
        <f t="shared" si="15"/>
        <v>81808.115094339635</v>
      </c>
      <c r="T22" s="5"/>
    </row>
    <row r="23" spans="1:20" x14ac:dyDescent="0.35">
      <c r="A23">
        <f t="shared" si="0"/>
        <v>22</v>
      </c>
      <c r="B23" s="13">
        <f t="shared" si="1"/>
        <v>2028</v>
      </c>
      <c r="C23">
        <f t="shared" si="2"/>
        <v>10</v>
      </c>
      <c r="D23" t="b">
        <f t="shared" si="3"/>
        <v>0</v>
      </c>
      <c r="E23" s="7">
        <f t="shared" si="4"/>
        <v>235749.99999999997</v>
      </c>
      <c r="F23" cm="1">
        <f t="array" ref="F23">IF($A23="", "", MRate(E23))</f>
        <v>0.47000000000000003</v>
      </c>
      <c r="G23" s="7">
        <f t="shared" si="5"/>
        <v>9433.9622641509432</v>
      </c>
      <c r="H23" s="7">
        <f>IF($A23="", "", _xlfn.XLOOKUP($B23, YearlyParamsB!$A:$A, YearlyParamsB!$E:$E, 0))</f>
        <v>0</v>
      </c>
      <c r="I23" s="5">
        <f t="shared" si="6"/>
        <v>28289.999999999996</v>
      </c>
      <c r="J23" s="5">
        <f>IFERROR(IF($A23="", "", _xlfn.XLOOKUP($B23, YearlyParamsB!$A:$A, YearlyParamsB!$I:$I, 0)), 0)</f>
        <v>4210.0000000000036</v>
      </c>
      <c r="K23" s="5">
        <f t="shared" si="10"/>
        <v>4210.0000000000036</v>
      </c>
      <c r="L23" s="5">
        <f t="shared" si="9"/>
        <v>1978.7000000000019</v>
      </c>
      <c r="M23" s="5">
        <f t="shared" si="11"/>
        <v>9433.9622641509432</v>
      </c>
      <c r="N23" s="5">
        <f t="shared" si="12"/>
        <v>0</v>
      </c>
      <c r="O23" s="7">
        <f t="shared" si="13"/>
        <v>0</v>
      </c>
      <c r="P23" s="7">
        <f t="shared" si="7"/>
        <v>0</v>
      </c>
      <c r="Q23" s="7">
        <f t="shared" si="8"/>
        <v>4210.0000000000036</v>
      </c>
      <c r="R23" s="5">
        <f t="shared" si="14"/>
        <v>1978.7000000000019</v>
      </c>
      <c r="S23" s="5">
        <f t="shared" si="15"/>
        <v>81808.115094339635</v>
      </c>
      <c r="T23" s="5"/>
    </row>
    <row r="24" spans="1:20" x14ac:dyDescent="0.35">
      <c r="A24">
        <f t="shared" si="0"/>
        <v>23</v>
      </c>
      <c r="B24" s="13">
        <f t="shared" si="1"/>
        <v>2028</v>
      </c>
      <c r="C24">
        <f t="shared" si="2"/>
        <v>11</v>
      </c>
      <c r="D24" t="b">
        <f t="shared" si="3"/>
        <v>0</v>
      </c>
      <c r="E24" s="7">
        <f t="shared" si="4"/>
        <v>235749.99999999997</v>
      </c>
      <c r="F24" cm="1">
        <f t="array" ref="F24">IF($A24="", "", MRate(E24))</f>
        <v>0.47000000000000003</v>
      </c>
      <c r="G24" s="7">
        <f t="shared" si="5"/>
        <v>9433.9622641509432</v>
      </c>
      <c r="H24" s="7">
        <f>IF($A24="", "", _xlfn.XLOOKUP($B24, YearlyParamsB!$A:$A, YearlyParamsB!$E:$E, 0))</f>
        <v>0</v>
      </c>
      <c r="I24" s="5">
        <f t="shared" si="6"/>
        <v>28289.999999999996</v>
      </c>
      <c r="J24" s="5">
        <f>IFERROR(IF($A24="", "", _xlfn.XLOOKUP($B24, YearlyParamsB!$A:$A, YearlyParamsB!$I:$I, 0)), 0)</f>
        <v>4210.0000000000036</v>
      </c>
      <c r="K24" s="5">
        <f t="shared" si="10"/>
        <v>4210.0000000000036</v>
      </c>
      <c r="L24" s="5">
        <f t="shared" si="9"/>
        <v>1978.7000000000019</v>
      </c>
      <c r="M24" s="5">
        <f t="shared" si="11"/>
        <v>9433.9622641509432</v>
      </c>
      <c r="N24" s="5">
        <f t="shared" si="12"/>
        <v>0</v>
      </c>
      <c r="O24" s="7">
        <f t="shared" si="13"/>
        <v>0</v>
      </c>
      <c r="P24" s="7">
        <f t="shared" si="7"/>
        <v>0</v>
      </c>
      <c r="Q24" s="7">
        <f t="shared" si="8"/>
        <v>4210.0000000000036</v>
      </c>
      <c r="R24" s="5">
        <f t="shared" si="14"/>
        <v>1978.7000000000019</v>
      </c>
      <c r="S24" s="5">
        <f t="shared" si="15"/>
        <v>81808.115094339635</v>
      </c>
      <c r="T24" s="5"/>
    </row>
    <row r="25" spans="1:20" x14ac:dyDescent="0.35">
      <c r="A25">
        <f t="shared" si="0"/>
        <v>24</v>
      </c>
      <c r="B25" s="13">
        <f t="shared" si="1"/>
        <v>2028</v>
      </c>
      <c r="C25">
        <f t="shared" si="2"/>
        <v>12</v>
      </c>
      <c r="D25" t="b">
        <f t="shared" si="3"/>
        <v>1</v>
      </c>
      <c r="E25" s="7">
        <f t="shared" si="4"/>
        <v>235749.99999999997</v>
      </c>
      <c r="F25" cm="1">
        <f t="array" ref="F25">IF($A25="", "", MRate(E25))</f>
        <v>0.47000000000000003</v>
      </c>
      <c r="G25" s="7">
        <f t="shared" si="5"/>
        <v>9433.9622641509432</v>
      </c>
      <c r="H25" s="7">
        <f>IF($A25="", "", _xlfn.XLOOKUP($B25, YearlyParamsB!$A:$A, YearlyParamsB!$E:$E, 0))</f>
        <v>0</v>
      </c>
      <c r="I25" s="5">
        <f t="shared" si="6"/>
        <v>28289.999999999996</v>
      </c>
      <c r="J25" s="5">
        <f>IFERROR(IF($A25="", "", _xlfn.XLOOKUP($B25, YearlyParamsB!$A:$A, YearlyParamsB!$I:$I, 0)), 0)</f>
        <v>4210.0000000000036</v>
      </c>
      <c r="K25" s="5">
        <f t="shared" si="10"/>
        <v>4210.0000000000036</v>
      </c>
      <c r="L25" s="5">
        <f t="shared" si="9"/>
        <v>1978.7000000000019</v>
      </c>
      <c r="M25" s="5">
        <f t="shared" si="11"/>
        <v>9433.9622641509432</v>
      </c>
      <c r="N25" s="5">
        <f t="shared" si="12"/>
        <v>0</v>
      </c>
      <c r="O25" s="7">
        <f t="shared" si="13"/>
        <v>0</v>
      </c>
      <c r="P25" s="7">
        <f t="shared" si="7"/>
        <v>0</v>
      </c>
      <c r="Q25" s="7">
        <f t="shared" si="8"/>
        <v>4210.0000000000036</v>
      </c>
      <c r="R25" s="5">
        <f t="shared" si="14"/>
        <v>1978.7000000000019</v>
      </c>
      <c r="S25" s="5">
        <f t="shared" si="15"/>
        <v>81808.115094339635</v>
      </c>
      <c r="T25" s="5"/>
    </row>
    <row r="26" spans="1:20" x14ac:dyDescent="0.35">
      <c r="A26">
        <f t="shared" si="0"/>
        <v>25</v>
      </c>
      <c r="B26" s="13">
        <f t="shared" si="1"/>
        <v>2029</v>
      </c>
      <c r="C26">
        <f t="shared" si="2"/>
        <v>1</v>
      </c>
      <c r="D26" t="b">
        <f t="shared" si="3"/>
        <v>0</v>
      </c>
      <c r="E26" s="7">
        <f t="shared" si="4"/>
        <v>241643.74999999997</v>
      </c>
      <c r="F26" cm="1">
        <f t="array" ref="F26">IF($A26="", "", MRate(E26))</f>
        <v>0.47000000000000003</v>
      </c>
      <c r="G26" s="7">
        <f t="shared" si="5"/>
        <v>9433.9622641509432</v>
      </c>
      <c r="H26" s="7">
        <f>IF($A26="", "", _xlfn.XLOOKUP($B26, YearlyParamsB!$A:$A, YearlyParamsB!$E:$E, 0))</f>
        <v>0</v>
      </c>
      <c r="I26" s="5">
        <f t="shared" si="6"/>
        <v>28997.249999999996</v>
      </c>
      <c r="J26" s="5">
        <f>IFERROR(IF($A26="", "", _xlfn.XLOOKUP($B26, YearlyParamsB!$A:$A, YearlyParamsB!$I:$I, 0)), 0)</f>
        <v>6002.7500000000073</v>
      </c>
      <c r="K26" s="5">
        <f t="shared" si="10"/>
        <v>0</v>
      </c>
      <c r="L26" s="5">
        <f t="shared" si="9"/>
        <v>0</v>
      </c>
      <c r="M26" s="5">
        <f t="shared" si="11"/>
        <v>9433.9622641509432</v>
      </c>
      <c r="N26" s="5">
        <f t="shared" si="12"/>
        <v>6002.7500000000073</v>
      </c>
      <c r="O26" s="7">
        <f t="shared" si="13"/>
        <v>6002.7500000000073</v>
      </c>
      <c r="P26" s="7">
        <f t="shared" si="7"/>
        <v>2821.2925000000037</v>
      </c>
      <c r="Q26" s="7">
        <f t="shared" si="8"/>
        <v>6002.7500000000073</v>
      </c>
      <c r="R26" s="5">
        <f t="shared" si="14"/>
        <v>2821.2925000000037</v>
      </c>
      <c r="S26" s="5">
        <f t="shared" si="15"/>
        <v>84629.407594339646</v>
      </c>
      <c r="T26" s="5"/>
    </row>
    <row r="27" spans="1:20" x14ac:dyDescent="0.35">
      <c r="A27">
        <f t="shared" si="0"/>
        <v>26</v>
      </c>
      <c r="B27" s="13">
        <f t="shared" si="1"/>
        <v>2029</v>
      </c>
      <c r="C27">
        <f t="shared" si="2"/>
        <v>2</v>
      </c>
      <c r="D27" t="b">
        <f t="shared" si="3"/>
        <v>0</v>
      </c>
      <c r="E27" s="7">
        <f t="shared" si="4"/>
        <v>241643.74999999997</v>
      </c>
      <c r="F27" cm="1">
        <f t="array" ref="F27">IF($A27="", "", MRate(E27))</f>
        <v>0.47000000000000003</v>
      </c>
      <c r="G27" s="7">
        <f t="shared" si="5"/>
        <v>9433.9622641509432</v>
      </c>
      <c r="H27" s="7">
        <f>IF($A27="", "", _xlfn.XLOOKUP($B27, YearlyParamsB!$A:$A, YearlyParamsB!$E:$E, 0))</f>
        <v>0</v>
      </c>
      <c r="I27" s="5">
        <f t="shared" si="6"/>
        <v>28997.249999999996</v>
      </c>
      <c r="J27" s="5">
        <f>IFERROR(IF($A27="", "", _xlfn.XLOOKUP($B27, YearlyParamsB!$A:$A, YearlyParamsB!$I:$I, 0)), 0)</f>
        <v>6002.7500000000073</v>
      </c>
      <c r="K27" s="5">
        <f t="shared" si="10"/>
        <v>6002.7500000000073</v>
      </c>
      <c r="L27" s="5">
        <f t="shared" si="9"/>
        <v>2821.2925000000037</v>
      </c>
      <c r="M27" s="5">
        <f t="shared" si="11"/>
        <v>9433.9622641509432</v>
      </c>
      <c r="N27" s="5">
        <f t="shared" si="12"/>
        <v>0</v>
      </c>
      <c r="O27" s="7">
        <f t="shared" si="13"/>
        <v>0</v>
      </c>
      <c r="P27" s="7">
        <f t="shared" si="7"/>
        <v>0</v>
      </c>
      <c r="Q27" s="7">
        <f t="shared" si="8"/>
        <v>6002.7500000000073</v>
      </c>
      <c r="R27" s="5">
        <f t="shared" si="14"/>
        <v>2821.2925000000037</v>
      </c>
      <c r="S27" s="5">
        <f t="shared" si="15"/>
        <v>84629.407594339646</v>
      </c>
      <c r="T27" s="5"/>
    </row>
    <row r="28" spans="1:20" x14ac:dyDescent="0.35">
      <c r="A28">
        <f t="shared" si="0"/>
        <v>27</v>
      </c>
      <c r="B28" s="13">
        <f t="shared" si="1"/>
        <v>2029</v>
      </c>
      <c r="C28">
        <f t="shared" si="2"/>
        <v>3</v>
      </c>
      <c r="D28" t="b">
        <f t="shared" si="3"/>
        <v>0</v>
      </c>
      <c r="E28" s="7">
        <f t="shared" si="4"/>
        <v>241643.74999999997</v>
      </c>
      <c r="F28" cm="1">
        <f t="array" ref="F28">IF($A28="", "", MRate(E28))</f>
        <v>0.47000000000000003</v>
      </c>
      <c r="G28" s="7">
        <f t="shared" si="5"/>
        <v>9433.9622641509432</v>
      </c>
      <c r="H28" s="7">
        <f>IF($A28="", "", _xlfn.XLOOKUP($B28, YearlyParamsB!$A:$A, YearlyParamsB!$E:$E, 0))</f>
        <v>0</v>
      </c>
      <c r="I28" s="5">
        <f t="shared" si="6"/>
        <v>28997.249999999996</v>
      </c>
      <c r="J28" s="5">
        <f>IFERROR(IF($A28="", "", _xlfn.XLOOKUP($B28, YearlyParamsB!$A:$A, YearlyParamsB!$I:$I, 0)), 0)</f>
        <v>6002.7500000000073</v>
      </c>
      <c r="K28" s="5">
        <f t="shared" si="10"/>
        <v>6002.7500000000073</v>
      </c>
      <c r="L28" s="5">
        <f t="shared" si="9"/>
        <v>2821.2925000000037</v>
      </c>
      <c r="M28" s="5">
        <f t="shared" si="11"/>
        <v>9433.9622641509432</v>
      </c>
      <c r="N28" s="5">
        <f t="shared" si="12"/>
        <v>0</v>
      </c>
      <c r="O28" s="7">
        <f t="shared" si="13"/>
        <v>0</v>
      </c>
      <c r="P28" s="7">
        <f t="shared" si="7"/>
        <v>0</v>
      </c>
      <c r="Q28" s="7">
        <f t="shared" si="8"/>
        <v>6002.7500000000073</v>
      </c>
      <c r="R28" s="5">
        <f t="shared" si="14"/>
        <v>2821.2925000000037</v>
      </c>
      <c r="S28" s="5">
        <f t="shared" si="15"/>
        <v>84629.407594339646</v>
      </c>
      <c r="T28" s="5"/>
    </row>
    <row r="29" spans="1:20" x14ac:dyDescent="0.35">
      <c r="A29">
        <f t="shared" si="0"/>
        <v>28</v>
      </c>
      <c r="B29" s="13">
        <f t="shared" si="1"/>
        <v>2029</v>
      </c>
      <c r="C29">
        <f t="shared" si="2"/>
        <v>4</v>
      </c>
      <c r="D29" t="b">
        <f t="shared" si="3"/>
        <v>0</v>
      </c>
      <c r="E29" s="7">
        <f t="shared" si="4"/>
        <v>241643.74999999997</v>
      </c>
      <c r="F29" cm="1">
        <f t="array" ref="F29">IF($A29="", "", MRate(E29))</f>
        <v>0.47000000000000003</v>
      </c>
      <c r="G29" s="7">
        <f t="shared" si="5"/>
        <v>9433.9622641509432</v>
      </c>
      <c r="H29" s="7">
        <f>IF($A29="", "", _xlfn.XLOOKUP($B29, YearlyParamsB!$A:$A, YearlyParamsB!$E:$E, 0))</f>
        <v>0</v>
      </c>
      <c r="I29" s="5">
        <f t="shared" si="6"/>
        <v>28997.249999999996</v>
      </c>
      <c r="J29" s="5">
        <f>IFERROR(IF($A29="", "", _xlfn.XLOOKUP($B29, YearlyParamsB!$A:$A, YearlyParamsB!$I:$I, 0)), 0)</f>
        <v>6002.7500000000073</v>
      </c>
      <c r="K29" s="5">
        <f t="shared" si="10"/>
        <v>6002.7500000000073</v>
      </c>
      <c r="L29" s="5">
        <f t="shared" si="9"/>
        <v>2821.2925000000037</v>
      </c>
      <c r="M29" s="5">
        <f t="shared" si="11"/>
        <v>9433.9622641509432</v>
      </c>
      <c r="N29" s="5">
        <f t="shared" si="12"/>
        <v>0</v>
      </c>
      <c r="O29" s="7">
        <f t="shared" si="13"/>
        <v>0</v>
      </c>
      <c r="P29" s="7">
        <f t="shared" si="7"/>
        <v>0</v>
      </c>
      <c r="Q29" s="7">
        <f t="shared" si="8"/>
        <v>6002.7500000000073</v>
      </c>
      <c r="R29" s="5">
        <f t="shared" si="14"/>
        <v>2821.2925000000037</v>
      </c>
      <c r="S29" s="5">
        <f t="shared" si="15"/>
        <v>84629.407594339646</v>
      </c>
      <c r="T29" s="5"/>
    </row>
    <row r="30" spans="1:20" x14ac:dyDescent="0.35">
      <c r="A30">
        <f t="shared" si="0"/>
        <v>29</v>
      </c>
      <c r="B30" s="13">
        <f t="shared" si="1"/>
        <v>2029</v>
      </c>
      <c r="C30">
        <f t="shared" si="2"/>
        <v>5</v>
      </c>
      <c r="D30" t="b">
        <f t="shared" si="3"/>
        <v>0</v>
      </c>
      <c r="E30" s="7">
        <f t="shared" si="4"/>
        <v>241643.74999999997</v>
      </c>
      <c r="F30" cm="1">
        <f t="array" ref="F30">IF($A30="", "", MRate(E30))</f>
        <v>0.47000000000000003</v>
      </c>
      <c r="G30" s="7">
        <f t="shared" si="5"/>
        <v>9433.9622641509432</v>
      </c>
      <c r="H30" s="7">
        <f>IF($A30="", "", _xlfn.XLOOKUP($B30, YearlyParamsB!$A:$A, YearlyParamsB!$E:$E, 0))</f>
        <v>0</v>
      </c>
      <c r="I30" s="5">
        <f t="shared" si="6"/>
        <v>28997.249999999996</v>
      </c>
      <c r="J30" s="5">
        <f>IFERROR(IF($A30="", "", _xlfn.XLOOKUP($B30, YearlyParamsB!$A:$A, YearlyParamsB!$I:$I, 0)), 0)</f>
        <v>6002.7500000000073</v>
      </c>
      <c r="K30" s="5">
        <f t="shared" si="10"/>
        <v>6002.7500000000073</v>
      </c>
      <c r="L30" s="5">
        <f t="shared" si="9"/>
        <v>2821.2925000000037</v>
      </c>
      <c r="M30" s="5">
        <f t="shared" si="11"/>
        <v>9433.9622641509432</v>
      </c>
      <c r="N30" s="5">
        <f t="shared" si="12"/>
        <v>0</v>
      </c>
      <c r="O30" s="7">
        <f t="shared" si="13"/>
        <v>0</v>
      </c>
      <c r="P30" s="7">
        <f t="shared" si="7"/>
        <v>0</v>
      </c>
      <c r="Q30" s="7">
        <f t="shared" si="8"/>
        <v>6002.7500000000073</v>
      </c>
      <c r="R30" s="5">
        <f t="shared" si="14"/>
        <v>2821.2925000000037</v>
      </c>
      <c r="S30" s="5">
        <f t="shared" si="15"/>
        <v>84629.407594339646</v>
      </c>
      <c r="T30" s="5"/>
    </row>
    <row r="31" spans="1:20" x14ac:dyDescent="0.35">
      <c r="A31">
        <f t="shared" si="0"/>
        <v>30</v>
      </c>
      <c r="B31" s="13">
        <f t="shared" si="1"/>
        <v>2029</v>
      </c>
      <c r="C31">
        <f t="shared" si="2"/>
        <v>6</v>
      </c>
      <c r="D31" t="b">
        <f t="shared" si="3"/>
        <v>0</v>
      </c>
      <c r="E31" s="7">
        <f t="shared" si="4"/>
        <v>241643.74999999997</v>
      </c>
      <c r="F31" cm="1">
        <f t="array" ref="F31">IF($A31="", "", MRate(E31))</f>
        <v>0.47000000000000003</v>
      </c>
      <c r="G31" s="7">
        <f t="shared" si="5"/>
        <v>9433.9622641509432</v>
      </c>
      <c r="H31" s="7">
        <f>IF($A31="", "", _xlfn.XLOOKUP($B31, YearlyParamsB!$A:$A, YearlyParamsB!$E:$E, 0))</f>
        <v>0</v>
      </c>
      <c r="I31" s="5">
        <f t="shared" si="6"/>
        <v>28997.249999999996</v>
      </c>
      <c r="J31" s="5">
        <f>IFERROR(IF($A31="", "", _xlfn.XLOOKUP($B31, YearlyParamsB!$A:$A, YearlyParamsB!$I:$I, 0)), 0)</f>
        <v>6002.7500000000073</v>
      </c>
      <c r="K31" s="5">
        <f t="shared" si="10"/>
        <v>6002.7500000000073</v>
      </c>
      <c r="L31" s="5">
        <f t="shared" si="9"/>
        <v>2821.2925000000037</v>
      </c>
      <c r="M31" s="5">
        <f t="shared" si="11"/>
        <v>9433.9622641509432</v>
      </c>
      <c r="N31" s="5">
        <f t="shared" si="12"/>
        <v>0</v>
      </c>
      <c r="O31" s="7">
        <f t="shared" si="13"/>
        <v>0</v>
      </c>
      <c r="P31" s="7">
        <f t="shared" si="7"/>
        <v>0</v>
      </c>
      <c r="Q31" s="7">
        <f t="shared" si="8"/>
        <v>6002.7500000000073</v>
      </c>
      <c r="R31" s="5">
        <f t="shared" si="14"/>
        <v>2821.2925000000037</v>
      </c>
      <c r="S31" s="5">
        <f t="shared" si="15"/>
        <v>84629.407594339646</v>
      </c>
      <c r="T31" s="5"/>
    </row>
    <row r="32" spans="1:20" x14ac:dyDescent="0.35">
      <c r="A32">
        <f t="shared" si="0"/>
        <v>31</v>
      </c>
      <c r="B32" s="13">
        <f t="shared" si="1"/>
        <v>2029</v>
      </c>
      <c r="C32">
        <f t="shared" si="2"/>
        <v>7</v>
      </c>
      <c r="D32" t="b">
        <f t="shared" si="3"/>
        <v>0</v>
      </c>
      <c r="E32" s="7">
        <f t="shared" si="4"/>
        <v>241643.74999999997</v>
      </c>
      <c r="F32" cm="1">
        <f t="array" ref="F32">IF($A32="", "", MRate(E32))</f>
        <v>0.47000000000000003</v>
      </c>
      <c r="G32" s="7">
        <f t="shared" si="5"/>
        <v>9433.9622641509432</v>
      </c>
      <c r="H32" s="7">
        <f>IF($A32="", "", _xlfn.XLOOKUP($B32, YearlyParamsB!$A:$A, YearlyParamsB!$E:$E, 0))</f>
        <v>0</v>
      </c>
      <c r="I32" s="5">
        <f t="shared" si="6"/>
        <v>28997.249999999996</v>
      </c>
      <c r="J32" s="5">
        <f>IFERROR(IF($A32="", "", _xlfn.XLOOKUP($B32, YearlyParamsB!$A:$A, YearlyParamsB!$I:$I, 0)), 0)</f>
        <v>6002.7500000000073</v>
      </c>
      <c r="K32" s="5">
        <f t="shared" si="10"/>
        <v>6002.7500000000073</v>
      </c>
      <c r="L32" s="5">
        <f t="shared" si="9"/>
        <v>2821.2925000000037</v>
      </c>
      <c r="M32" s="5">
        <f t="shared" si="11"/>
        <v>9433.9622641509432</v>
      </c>
      <c r="N32" s="5">
        <f t="shared" si="12"/>
        <v>0</v>
      </c>
      <c r="O32" s="7">
        <f t="shared" si="13"/>
        <v>0</v>
      </c>
      <c r="P32" s="7">
        <f t="shared" si="7"/>
        <v>0</v>
      </c>
      <c r="Q32" s="7">
        <f t="shared" si="8"/>
        <v>6002.7500000000073</v>
      </c>
      <c r="R32" s="5">
        <f t="shared" si="14"/>
        <v>2821.2925000000037</v>
      </c>
      <c r="S32" s="5">
        <f t="shared" si="15"/>
        <v>84629.407594339646</v>
      </c>
      <c r="T32" s="5"/>
    </row>
    <row r="33" spans="1:20" x14ac:dyDescent="0.35">
      <c r="A33">
        <f t="shared" si="0"/>
        <v>32</v>
      </c>
      <c r="B33" s="13">
        <f t="shared" si="1"/>
        <v>2029</v>
      </c>
      <c r="C33">
        <f t="shared" si="2"/>
        <v>8</v>
      </c>
      <c r="D33" t="b">
        <f t="shared" si="3"/>
        <v>0</v>
      </c>
      <c r="E33" s="7">
        <f t="shared" si="4"/>
        <v>241643.74999999997</v>
      </c>
      <c r="F33" cm="1">
        <f t="array" ref="F33">IF($A33="", "", MRate(E33))</f>
        <v>0.47000000000000003</v>
      </c>
      <c r="G33" s="7">
        <f t="shared" si="5"/>
        <v>9433.9622641509432</v>
      </c>
      <c r="H33" s="7">
        <f>IF($A33="", "", _xlfn.XLOOKUP($B33, YearlyParamsB!$A:$A, YearlyParamsB!$E:$E, 0))</f>
        <v>0</v>
      </c>
      <c r="I33" s="5">
        <f t="shared" si="6"/>
        <v>28997.249999999996</v>
      </c>
      <c r="J33" s="5">
        <f>IFERROR(IF($A33="", "", _xlfn.XLOOKUP($B33, YearlyParamsB!$A:$A, YearlyParamsB!$I:$I, 0)), 0)</f>
        <v>6002.7500000000073</v>
      </c>
      <c r="K33" s="5">
        <f t="shared" si="10"/>
        <v>6002.7500000000073</v>
      </c>
      <c r="L33" s="5">
        <f t="shared" si="9"/>
        <v>2821.2925000000037</v>
      </c>
      <c r="M33" s="5">
        <f t="shared" si="11"/>
        <v>9433.9622641509432</v>
      </c>
      <c r="N33" s="5">
        <f t="shared" si="12"/>
        <v>0</v>
      </c>
      <c r="O33" s="7">
        <f t="shared" si="13"/>
        <v>0</v>
      </c>
      <c r="P33" s="7">
        <f t="shared" si="7"/>
        <v>0</v>
      </c>
      <c r="Q33" s="7">
        <f t="shared" si="8"/>
        <v>6002.7500000000073</v>
      </c>
      <c r="R33" s="5">
        <f t="shared" si="14"/>
        <v>2821.2925000000037</v>
      </c>
      <c r="S33" s="5">
        <f t="shared" si="15"/>
        <v>84629.407594339646</v>
      </c>
      <c r="T33" s="5"/>
    </row>
    <row r="34" spans="1:20" x14ac:dyDescent="0.35">
      <c r="A34">
        <f t="shared" ref="A34:A65" si="16">IF(ROW()-1 &lt;= TotalPeriodsB, ROW()-1, "")</f>
        <v>33</v>
      </c>
      <c r="B34" s="13">
        <f t="shared" ref="B34:B65" si="17">IF(ROW()-1 &lt;= TotalPeriodsB, YEAR(StartYear) + INT((ROW()-2)/PPYB), "")</f>
        <v>2029</v>
      </c>
      <c r="C34">
        <f t="shared" ref="C34:C65" si="18">IF($A34="", "", MOD($A34-1, PPYB)+1)</f>
        <v>9</v>
      </c>
      <c r="D34" t="b">
        <f t="shared" ref="D34:D65" si="19">IF($A34="", "", C34=PPYB)</f>
        <v>0</v>
      </c>
      <c r="E34" s="7">
        <f t="shared" ref="E34:E65" si="20">IF($A34="","",IncB*(1+Inflation)^((B34 - YEAR(StartYear))))</f>
        <v>241643.74999999997</v>
      </c>
      <c r="F34" cm="1">
        <f t="array" ref="F34">IF($A34="", "", MRate(E34))</f>
        <v>0.47000000000000003</v>
      </c>
      <c r="G34" s="7">
        <f t="shared" ref="G34:G65" si="21">IF($A34="", "", AfterTaxB/(1-F34))</f>
        <v>9433.9622641509432</v>
      </c>
      <c r="H34" s="7">
        <f>IF($A34="", "", _xlfn.XLOOKUP($B34, YearlyParamsB!$A:$A, YearlyParamsB!$E:$E, 0))</f>
        <v>0</v>
      </c>
      <c r="I34" s="5">
        <f t="shared" si="6"/>
        <v>28997.249999999996</v>
      </c>
      <c r="J34" s="5">
        <f>IFERROR(IF($A34="", "", _xlfn.XLOOKUP($B34, YearlyParamsB!$A:$A, YearlyParamsB!$I:$I, 0)), 0)</f>
        <v>6002.7500000000073</v>
      </c>
      <c r="K34" s="5">
        <f t="shared" si="10"/>
        <v>6002.7500000000073</v>
      </c>
      <c r="L34" s="5">
        <f t="shared" si="9"/>
        <v>2821.2925000000037</v>
      </c>
      <c r="M34" s="5">
        <f t="shared" si="11"/>
        <v>9433.9622641509432</v>
      </c>
      <c r="N34" s="5">
        <f t="shared" si="12"/>
        <v>0</v>
      </c>
      <c r="O34" s="7">
        <f t="shared" si="13"/>
        <v>0</v>
      </c>
      <c r="P34" s="7">
        <f t="shared" ref="P34:P65" si="22">IFERROR(IF($A34="", "", MIN(G34+L34/PPYB,N34)*F34 + MAX(0, MIN(G34+L34/PPYB,N34) - MIN(G34,N34))), 0)</f>
        <v>0</v>
      </c>
      <c r="Q34" s="7">
        <f t="shared" ref="Q34:Q65" si="23">IFERROR(IF($A34="", "", K34+MIN(G34+L34/PPYB,N34)), 0)</f>
        <v>6002.7500000000073</v>
      </c>
      <c r="R34" s="5">
        <f t="shared" si="14"/>
        <v>2821.2925000000037</v>
      </c>
      <c r="S34" s="5">
        <f t="shared" si="15"/>
        <v>84629.407594339646</v>
      </c>
      <c r="T34" s="5"/>
    </row>
    <row r="35" spans="1:20" x14ac:dyDescent="0.35">
      <c r="A35">
        <f t="shared" si="16"/>
        <v>34</v>
      </c>
      <c r="B35" s="13">
        <f t="shared" si="17"/>
        <v>2029</v>
      </c>
      <c r="C35">
        <f t="shared" si="18"/>
        <v>10</v>
      </c>
      <c r="D35" t="b">
        <f t="shared" si="19"/>
        <v>0</v>
      </c>
      <c r="E35" s="7">
        <f t="shared" si="20"/>
        <v>241643.74999999997</v>
      </c>
      <c r="F35" cm="1">
        <f t="array" ref="F35">IF($A35="", "", MRate(E35))</f>
        <v>0.47000000000000003</v>
      </c>
      <c r="G35" s="7">
        <f t="shared" si="21"/>
        <v>9433.9622641509432</v>
      </c>
      <c r="H35" s="7">
        <f>IF($A35="", "", _xlfn.XLOOKUP($B35, YearlyParamsB!$A:$A, YearlyParamsB!$E:$E, 0))</f>
        <v>0</v>
      </c>
      <c r="I35" s="5">
        <f t="shared" si="6"/>
        <v>28997.249999999996</v>
      </c>
      <c r="J35" s="5">
        <f>IFERROR(IF($A35="", "", _xlfn.XLOOKUP($B35, YearlyParamsB!$A:$A, YearlyParamsB!$I:$I, 0)), 0)</f>
        <v>6002.7500000000073</v>
      </c>
      <c r="K35" s="5">
        <f t="shared" si="10"/>
        <v>6002.7500000000073</v>
      </c>
      <c r="L35" s="5">
        <f t="shared" ref="L35:L66" si="24">IFERROR(IF($A34="","",IF(B35&lt;&gt;B34, 0, L34 + MIN(G34+L34/PPYB, J34-K34)*F34)), 0)</f>
        <v>2821.2925000000037</v>
      </c>
      <c r="M35" s="5">
        <f t="shared" si="11"/>
        <v>9433.9622641509432</v>
      </c>
      <c r="N35" s="5">
        <f t="shared" si="12"/>
        <v>0</v>
      </c>
      <c r="O35" s="7">
        <f t="shared" si="13"/>
        <v>0</v>
      </c>
      <c r="P35" s="7">
        <f t="shared" si="22"/>
        <v>0</v>
      </c>
      <c r="Q35" s="7">
        <f t="shared" si="23"/>
        <v>6002.7500000000073</v>
      </c>
      <c r="R35" s="5">
        <f t="shared" si="14"/>
        <v>2821.2925000000037</v>
      </c>
      <c r="S35" s="5">
        <f t="shared" si="15"/>
        <v>84629.407594339646</v>
      </c>
      <c r="T35" s="5"/>
    </row>
    <row r="36" spans="1:20" x14ac:dyDescent="0.35">
      <c r="A36">
        <f t="shared" si="16"/>
        <v>35</v>
      </c>
      <c r="B36" s="13">
        <f t="shared" si="17"/>
        <v>2029</v>
      </c>
      <c r="C36">
        <f t="shared" si="18"/>
        <v>11</v>
      </c>
      <c r="D36" t="b">
        <f t="shared" si="19"/>
        <v>0</v>
      </c>
      <c r="E36" s="7">
        <f t="shared" si="20"/>
        <v>241643.74999999997</v>
      </c>
      <c r="F36" cm="1">
        <f t="array" ref="F36">IF($A36="", "", MRate(E36))</f>
        <v>0.47000000000000003</v>
      </c>
      <c r="G36" s="7">
        <f t="shared" si="21"/>
        <v>9433.9622641509432</v>
      </c>
      <c r="H36" s="7">
        <f>IF($A36="", "", _xlfn.XLOOKUP($B36, YearlyParamsB!$A:$A, YearlyParamsB!$E:$E, 0))</f>
        <v>0</v>
      </c>
      <c r="I36" s="5">
        <f t="shared" si="6"/>
        <v>28997.249999999996</v>
      </c>
      <c r="J36" s="5">
        <f>IFERROR(IF($A36="", "", _xlfn.XLOOKUP($B36, YearlyParamsB!$A:$A, YearlyParamsB!$I:$I, 0)), 0)</f>
        <v>6002.7500000000073</v>
      </c>
      <c r="K36" s="5">
        <f t="shared" si="10"/>
        <v>6002.7500000000073</v>
      </c>
      <c r="L36" s="5">
        <f t="shared" si="24"/>
        <v>2821.2925000000037</v>
      </c>
      <c r="M36" s="5">
        <f t="shared" si="11"/>
        <v>9433.9622641509432</v>
      </c>
      <c r="N36" s="5">
        <f t="shared" si="12"/>
        <v>0</v>
      </c>
      <c r="O36" s="7">
        <f t="shared" si="13"/>
        <v>0</v>
      </c>
      <c r="P36" s="7">
        <f t="shared" si="22"/>
        <v>0</v>
      </c>
      <c r="Q36" s="7">
        <f t="shared" si="23"/>
        <v>6002.7500000000073</v>
      </c>
      <c r="R36" s="5">
        <f t="shared" si="14"/>
        <v>2821.2925000000037</v>
      </c>
      <c r="S36" s="5">
        <f t="shared" si="15"/>
        <v>84629.407594339646</v>
      </c>
      <c r="T36" s="5"/>
    </row>
    <row r="37" spans="1:20" x14ac:dyDescent="0.35">
      <c r="A37">
        <f t="shared" si="16"/>
        <v>36</v>
      </c>
      <c r="B37" s="13">
        <f t="shared" si="17"/>
        <v>2029</v>
      </c>
      <c r="C37">
        <f t="shared" si="18"/>
        <v>12</v>
      </c>
      <c r="D37" t="b">
        <f t="shared" si="19"/>
        <v>1</v>
      </c>
      <c r="E37" s="7">
        <f t="shared" si="20"/>
        <v>241643.74999999997</v>
      </c>
      <c r="F37" cm="1">
        <f t="array" ref="F37">IF($A37="", "", MRate(E37))</f>
        <v>0.47000000000000003</v>
      </c>
      <c r="G37" s="7">
        <f t="shared" si="21"/>
        <v>9433.9622641509432</v>
      </c>
      <c r="H37" s="7">
        <f>IF($A37="", "", _xlfn.XLOOKUP($B37, YearlyParamsB!$A:$A, YearlyParamsB!$E:$E, 0))</f>
        <v>0</v>
      </c>
      <c r="I37" s="5">
        <f t="shared" si="6"/>
        <v>28997.249999999996</v>
      </c>
      <c r="J37" s="5">
        <f>IFERROR(IF($A37="", "", _xlfn.XLOOKUP($B37, YearlyParamsB!$A:$A, YearlyParamsB!$I:$I, 0)), 0)</f>
        <v>6002.7500000000073</v>
      </c>
      <c r="K37" s="5">
        <f t="shared" si="10"/>
        <v>6002.7500000000073</v>
      </c>
      <c r="L37" s="5">
        <f t="shared" si="24"/>
        <v>2821.2925000000037</v>
      </c>
      <c r="M37" s="5">
        <f t="shared" si="11"/>
        <v>9433.9622641509432</v>
      </c>
      <c r="N37" s="5">
        <f t="shared" si="12"/>
        <v>0</v>
      </c>
      <c r="O37" s="7">
        <f t="shared" si="13"/>
        <v>0</v>
      </c>
      <c r="P37" s="7">
        <f t="shared" si="22"/>
        <v>0</v>
      </c>
      <c r="Q37" s="7">
        <f t="shared" si="23"/>
        <v>6002.7500000000073</v>
      </c>
      <c r="R37" s="5">
        <f t="shared" si="14"/>
        <v>2821.2925000000037</v>
      </c>
      <c r="S37" s="5">
        <f t="shared" si="15"/>
        <v>84629.407594339646</v>
      </c>
      <c r="T37" s="5"/>
    </row>
    <row r="38" spans="1:20" x14ac:dyDescent="0.35">
      <c r="A38">
        <f t="shared" si="16"/>
        <v>37</v>
      </c>
      <c r="B38" s="13">
        <f t="shared" si="17"/>
        <v>2030</v>
      </c>
      <c r="C38">
        <f t="shared" si="18"/>
        <v>1</v>
      </c>
      <c r="D38" t="b">
        <f t="shared" si="19"/>
        <v>0</v>
      </c>
      <c r="E38" s="7">
        <f t="shared" si="20"/>
        <v>247684.84374999997</v>
      </c>
      <c r="F38" cm="1">
        <f t="array" ref="F38">IF($A38="", "", MRate(E38))</f>
        <v>0.47000000000000003</v>
      </c>
      <c r="G38" s="7">
        <f t="shared" si="21"/>
        <v>9433.9622641509432</v>
      </c>
      <c r="H38" s="7">
        <f>IF($A38="", "", _xlfn.XLOOKUP($B38, YearlyParamsB!$A:$A, YearlyParamsB!$E:$E, 0))</f>
        <v>0</v>
      </c>
      <c r="I38" s="5">
        <f t="shared" si="6"/>
        <v>29722.181249999994</v>
      </c>
      <c r="J38" s="5">
        <f>IFERROR(IF($A38="", "", _xlfn.XLOOKUP($B38, YearlyParamsB!$A:$A, YearlyParamsB!$I:$I, 0)), 0)</f>
        <v>5277.8187500000131</v>
      </c>
      <c r="K38" s="5">
        <f t="shared" si="10"/>
        <v>0</v>
      </c>
      <c r="L38" s="5">
        <f t="shared" si="24"/>
        <v>0</v>
      </c>
      <c r="M38" s="5">
        <f t="shared" si="11"/>
        <v>9433.9622641509432</v>
      </c>
      <c r="N38" s="5">
        <f t="shared" si="12"/>
        <v>5277.8187500000131</v>
      </c>
      <c r="O38" s="7">
        <f t="shared" si="13"/>
        <v>5277.8187500000131</v>
      </c>
      <c r="P38" s="7">
        <f t="shared" si="22"/>
        <v>2480.5748125000064</v>
      </c>
      <c r="Q38" s="7">
        <f t="shared" si="23"/>
        <v>5277.8187500000131</v>
      </c>
      <c r="R38" s="5">
        <f t="shared" si="14"/>
        <v>2480.5748125000064</v>
      </c>
      <c r="S38" s="5">
        <f t="shared" si="15"/>
        <v>87109.982406839656</v>
      </c>
      <c r="T38" s="5"/>
    </row>
    <row r="39" spans="1:20" x14ac:dyDescent="0.35">
      <c r="A39">
        <f t="shared" si="16"/>
        <v>38</v>
      </c>
      <c r="B39" s="13">
        <f t="shared" si="17"/>
        <v>2030</v>
      </c>
      <c r="C39">
        <f t="shared" si="18"/>
        <v>2</v>
      </c>
      <c r="D39" t="b">
        <f t="shared" si="19"/>
        <v>0</v>
      </c>
      <c r="E39" s="7">
        <f t="shared" si="20"/>
        <v>247684.84374999997</v>
      </c>
      <c r="F39" cm="1">
        <f t="array" ref="F39">IF($A39="", "", MRate(E39))</f>
        <v>0.47000000000000003</v>
      </c>
      <c r="G39" s="7">
        <f t="shared" si="21"/>
        <v>9433.9622641509432</v>
      </c>
      <c r="H39" s="7">
        <f>IF($A39="", "", _xlfn.XLOOKUP($B39, YearlyParamsB!$A:$A, YearlyParamsB!$E:$E, 0))</f>
        <v>0</v>
      </c>
      <c r="I39" s="5">
        <f t="shared" si="6"/>
        <v>29722.181249999994</v>
      </c>
      <c r="J39" s="5">
        <f>IFERROR(IF($A39="", "", _xlfn.XLOOKUP($B39, YearlyParamsB!$A:$A, YearlyParamsB!$I:$I, 0)), 0)</f>
        <v>5277.8187500000131</v>
      </c>
      <c r="K39" s="5">
        <f t="shared" si="10"/>
        <v>5277.8187500000131</v>
      </c>
      <c r="L39" s="5">
        <f t="shared" si="24"/>
        <v>2480.5748125000064</v>
      </c>
      <c r="M39" s="5">
        <f t="shared" si="11"/>
        <v>9433.9622641509432</v>
      </c>
      <c r="N39" s="5">
        <f t="shared" si="12"/>
        <v>0</v>
      </c>
      <c r="O39" s="7">
        <f t="shared" si="13"/>
        <v>0</v>
      </c>
      <c r="P39" s="7">
        <f t="shared" si="22"/>
        <v>0</v>
      </c>
      <c r="Q39" s="7">
        <f t="shared" si="23"/>
        <v>5277.8187500000131</v>
      </c>
      <c r="R39" s="5">
        <f t="shared" si="14"/>
        <v>2480.5748125000064</v>
      </c>
      <c r="S39" s="5">
        <f t="shared" si="15"/>
        <v>87109.982406839656</v>
      </c>
      <c r="T39" s="5"/>
    </row>
    <row r="40" spans="1:20" x14ac:dyDescent="0.35">
      <c r="A40">
        <f t="shared" si="16"/>
        <v>39</v>
      </c>
      <c r="B40" s="13">
        <f t="shared" si="17"/>
        <v>2030</v>
      </c>
      <c r="C40">
        <f t="shared" si="18"/>
        <v>3</v>
      </c>
      <c r="D40" t="b">
        <f t="shared" si="19"/>
        <v>0</v>
      </c>
      <c r="E40" s="7">
        <f t="shared" si="20"/>
        <v>247684.84374999997</v>
      </c>
      <c r="F40" cm="1">
        <f t="array" ref="F40">IF($A40="", "", MRate(E40))</f>
        <v>0.47000000000000003</v>
      </c>
      <c r="G40" s="7">
        <f t="shared" si="21"/>
        <v>9433.9622641509432</v>
      </c>
      <c r="H40" s="7">
        <f>IF($A40="", "", _xlfn.XLOOKUP($B40, YearlyParamsB!$A:$A, YearlyParamsB!$E:$E, 0))</f>
        <v>0</v>
      </c>
      <c r="I40" s="5">
        <f t="shared" si="6"/>
        <v>29722.181249999994</v>
      </c>
      <c r="J40" s="5">
        <f>IFERROR(IF($A40="", "", _xlfn.XLOOKUP($B40, YearlyParamsB!$A:$A, YearlyParamsB!$I:$I, 0)), 0)</f>
        <v>5277.8187500000131</v>
      </c>
      <c r="K40" s="5">
        <f t="shared" si="10"/>
        <v>5277.8187500000131</v>
      </c>
      <c r="L40" s="5">
        <f t="shared" si="24"/>
        <v>2480.5748125000064</v>
      </c>
      <c r="M40" s="5">
        <f t="shared" si="11"/>
        <v>9433.9622641509432</v>
      </c>
      <c r="N40" s="5">
        <f t="shared" si="12"/>
        <v>0</v>
      </c>
      <c r="O40" s="7">
        <f t="shared" si="13"/>
        <v>0</v>
      </c>
      <c r="P40" s="7">
        <f t="shared" si="22"/>
        <v>0</v>
      </c>
      <c r="Q40" s="7">
        <f t="shared" si="23"/>
        <v>5277.8187500000131</v>
      </c>
      <c r="R40" s="5">
        <f t="shared" si="14"/>
        <v>2480.5748125000064</v>
      </c>
      <c r="S40" s="5">
        <f t="shared" si="15"/>
        <v>87109.982406839656</v>
      </c>
      <c r="T40" s="5"/>
    </row>
    <row r="41" spans="1:20" x14ac:dyDescent="0.35">
      <c r="A41">
        <f t="shared" si="16"/>
        <v>40</v>
      </c>
      <c r="B41" s="13">
        <f t="shared" si="17"/>
        <v>2030</v>
      </c>
      <c r="C41">
        <f t="shared" si="18"/>
        <v>4</v>
      </c>
      <c r="D41" t="b">
        <f t="shared" si="19"/>
        <v>0</v>
      </c>
      <c r="E41" s="7">
        <f t="shared" si="20"/>
        <v>247684.84374999997</v>
      </c>
      <c r="F41" cm="1">
        <f t="array" ref="F41">IF($A41="", "", MRate(E41))</f>
        <v>0.47000000000000003</v>
      </c>
      <c r="G41" s="7">
        <f t="shared" si="21"/>
        <v>9433.9622641509432</v>
      </c>
      <c r="H41" s="7">
        <f>IF($A41="", "", _xlfn.XLOOKUP($B41, YearlyParamsB!$A:$A, YearlyParamsB!$E:$E, 0))</f>
        <v>0</v>
      </c>
      <c r="I41" s="5">
        <f t="shared" si="6"/>
        <v>29722.181249999994</v>
      </c>
      <c r="J41" s="5">
        <f>IFERROR(IF($A41="", "", _xlfn.XLOOKUP($B41, YearlyParamsB!$A:$A, YearlyParamsB!$I:$I, 0)), 0)</f>
        <v>5277.8187500000131</v>
      </c>
      <c r="K41" s="5">
        <f t="shared" si="10"/>
        <v>5277.8187500000131</v>
      </c>
      <c r="L41" s="5">
        <f t="shared" si="24"/>
        <v>2480.5748125000064</v>
      </c>
      <c r="M41" s="5">
        <f t="shared" si="11"/>
        <v>9433.9622641509432</v>
      </c>
      <c r="N41" s="5">
        <f t="shared" si="12"/>
        <v>0</v>
      </c>
      <c r="O41" s="7">
        <f t="shared" si="13"/>
        <v>0</v>
      </c>
      <c r="P41" s="7">
        <f t="shared" si="22"/>
        <v>0</v>
      </c>
      <c r="Q41" s="7">
        <f t="shared" si="23"/>
        <v>5277.8187500000131</v>
      </c>
      <c r="R41" s="5">
        <f t="shared" si="14"/>
        <v>2480.5748125000064</v>
      </c>
      <c r="S41" s="5">
        <f t="shared" si="15"/>
        <v>87109.982406839656</v>
      </c>
      <c r="T41" s="5"/>
    </row>
    <row r="42" spans="1:20" x14ac:dyDescent="0.35">
      <c r="A42">
        <f t="shared" si="16"/>
        <v>41</v>
      </c>
      <c r="B42" s="13">
        <f t="shared" si="17"/>
        <v>2030</v>
      </c>
      <c r="C42">
        <f t="shared" si="18"/>
        <v>5</v>
      </c>
      <c r="D42" t="b">
        <f t="shared" si="19"/>
        <v>0</v>
      </c>
      <c r="E42" s="7">
        <f t="shared" si="20"/>
        <v>247684.84374999997</v>
      </c>
      <c r="F42" cm="1">
        <f t="array" ref="F42">IF($A42="", "", MRate(E42))</f>
        <v>0.47000000000000003</v>
      </c>
      <c r="G42" s="7">
        <f t="shared" si="21"/>
        <v>9433.9622641509432</v>
      </c>
      <c r="H42" s="7">
        <f>IF($A42="", "", _xlfn.XLOOKUP($B42, YearlyParamsB!$A:$A, YearlyParamsB!$E:$E, 0))</f>
        <v>0</v>
      </c>
      <c r="I42" s="5">
        <f t="shared" si="6"/>
        <v>29722.181249999994</v>
      </c>
      <c r="J42" s="5">
        <f>IFERROR(IF($A42="", "", _xlfn.XLOOKUP($B42, YearlyParamsB!$A:$A, YearlyParamsB!$I:$I, 0)), 0)</f>
        <v>5277.8187500000131</v>
      </c>
      <c r="K42" s="5">
        <f t="shared" si="10"/>
        <v>5277.8187500000131</v>
      </c>
      <c r="L42" s="5">
        <f t="shared" si="24"/>
        <v>2480.5748125000064</v>
      </c>
      <c r="M42" s="5">
        <f t="shared" si="11"/>
        <v>9433.9622641509432</v>
      </c>
      <c r="N42" s="5">
        <f t="shared" si="12"/>
        <v>0</v>
      </c>
      <c r="O42" s="7">
        <f t="shared" si="13"/>
        <v>0</v>
      </c>
      <c r="P42" s="7">
        <f t="shared" si="22"/>
        <v>0</v>
      </c>
      <c r="Q42" s="7">
        <f t="shared" si="23"/>
        <v>5277.8187500000131</v>
      </c>
      <c r="R42" s="5">
        <f t="shared" si="14"/>
        <v>2480.5748125000064</v>
      </c>
      <c r="S42" s="5">
        <f t="shared" si="15"/>
        <v>87109.982406839656</v>
      </c>
      <c r="T42" s="5"/>
    </row>
    <row r="43" spans="1:20" x14ac:dyDescent="0.35">
      <c r="A43">
        <f t="shared" si="16"/>
        <v>42</v>
      </c>
      <c r="B43" s="13">
        <f t="shared" si="17"/>
        <v>2030</v>
      </c>
      <c r="C43">
        <f t="shared" si="18"/>
        <v>6</v>
      </c>
      <c r="D43" t="b">
        <f t="shared" si="19"/>
        <v>0</v>
      </c>
      <c r="E43" s="7">
        <f t="shared" si="20"/>
        <v>247684.84374999997</v>
      </c>
      <c r="F43" cm="1">
        <f t="array" ref="F43">IF($A43="", "", MRate(E43))</f>
        <v>0.47000000000000003</v>
      </c>
      <c r="G43" s="7">
        <f t="shared" si="21"/>
        <v>9433.9622641509432</v>
      </c>
      <c r="H43" s="7">
        <f>IF($A43="", "", _xlfn.XLOOKUP($B43, YearlyParamsB!$A:$A, YearlyParamsB!$E:$E, 0))</f>
        <v>0</v>
      </c>
      <c r="I43" s="5">
        <f t="shared" si="6"/>
        <v>29722.181249999994</v>
      </c>
      <c r="J43" s="5">
        <f>IFERROR(IF($A43="", "", _xlfn.XLOOKUP($B43, YearlyParamsB!$A:$A, YearlyParamsB!$I:$I, 0)), 0)</f>
        <v>5277.8187500000131</v>
      </c>
      <c r="K43" s="5">
        <f t="shared" si="10"/>
        <v>5277.8187500000131</v>
      </c>
      <c r="L43" s="5">
        <f t="shared" si="24"/>
        <v>2480.5748125000064</v>
      </c>
      <c r="M43" s="5">
        <f t="shared" si="11"/>
        <v>9433.9622641509432</v>
      </c>
      <c r="N43" s="5">
        <f t="shared" si="12"/>
        <v>0</v>
      </c>
      <c r="O43" s="7">
        <f t="shared" si="13"/>
        <v>0</v>
      </c>
      <c r="P43" s="7">
        <f t="shared" si="22"/>
        <v>0</v>
      </c>
      <c r="Q43" s="7">
        <f t="shared" si="23"/>
        <v>5277.8187500000131</v>
      </c>
      <c r="R43" s="5">
        <f t="shared" si="14"/>
        <v>2480.5748125000064</v>
      </c>
      <c r="S43" s="5">
        <f t="shared" si="15"/>
        <v>87109.982406839656</v>
      </c>
      <c r="T43" s="5"/>
    </row>
    <row r="44" spans="1:20" x14ac:dyDescent="0.35">
      <c r="A44">
        <f t="shared" si="16"/>
        <v>43</v>
      </c>
      <c r="B44" s="13">
        <f t="shared" si="17"/>
        <v>2030</v>
      </c>
      <c r="C44">
        <f t="shared" si="18"/>
        <v>7</v>
      </c>
      <c r="D44" t="b">
        <f t="shared" si="19"/>
        <v>0</v>
      </c>
      <c r="E44" s="7">
        <f t="shared" si="20"/>
        <v>247684.84374999997</v>
      </c>
      <c r="F44" cm="1">
        <f t="array" ref="F44">IF($A44="", "", MRate(E44))</f>
        <v>0.47000000000000003</v>
      </c>
      <c r="G44" s="7">
        <f t="shared" si="21"/>
        <v>9433.9622641509432</v>
      </c>
      <c r="H44" s="7">
        <f>IF($A44="", "", _xlfn.XLOOKUP($B44, YearlyParamsB!$A:$A, YearlyParamsB!$E:$E, 0))</f>
        <v>0</v>
      </c>
      <c r="I44" s="5">
        <f t="shared" si="6"/>
        <v>29722.181249999994</v>
      </c>
      <c r="J44" s="5">
        <f>IFERROR(IF($A44="", "", _xlfn.XLOOKUP($B44, YearlyParamsB!$A:$A, YearlyParamsB!$I:$I, 0)), 0)</f>
        <v>5277.8187500000131</v>
      </c>
      <c r="K44" s="5">
        <f t="shared" si="10"/>
        <v>5277.8187500000131</v>
      </c>
      <c r="L44" s="5">
        <f t="shared" si="24"/>
        <v>2480.5748125000064</v>
      </c>
      <c r="M44" s="5">
        <f t="shared" si="11"/>
        <v>9433.9622641509432</v>
      </c>
      <c r="N44" s="5">
        <f t="shared" si="12"/>
        <v>0</v>
      </c>
      <c r="O44" s="7">
        <f t="shared" si="13"/>
        <v>0</v>
      </c>
      <c r="P44" s="7">
        <f t="shared" si="22"/>
        <v>0</v>
      </c>
      <c r="Q44" s="7">
        <f t="shared" si="23"/>
        <v>5277.8187500000131</v>
      </c>
      <c r="R44" s="5">
        <f t="shared" si="14"/>
        <v>2480.5748125000064</v>
      </c>
      <c r="S44" s="5">
        <f t="shared" si="15"/>
        <v>87109.982406839656</v>
      </c>
      <c r="T44" s="5"/>
    </row>
    <row r="45" spans="1:20" x14ac:dyDescent="0.35">
      <c r="A45">
        <f t="shared" si="16"/>
        <v>44</v>
      </c>
      <c r="B45" s="13">
        <f t="shared" si="17"/>
        <v>2030</v>
      </c>
      <c r="C45">
        <f t="shared" si="18"/>
        <v>8</v>
      </c>
      <c r="D45" t="b">
        <f t="shared" si="19"/>
        <v>0</v>
      </c>
      <c r="E45" s="7">
        <f t="shared" si="20"/>
        <v>247684.84374999997</v>
      </c>
      <c r="F45" cm="1">
        <f t="array" ref="F45">IF($A45="", "", MRate(E45))</f>
        <v>0.47000000000000003</v>
      </c>
      <c r="G45" s="7">
        <f t="shared" si="21"/>
        <v>9433.9622641509432</v>
      </c>
      <c r="H45" s="7">
        <f>IF($A45="", "", _xlfn.XLOOKUP($B45, YearlyParamsB!$A:$A, YearlyParamsB!$E:$E, 0))</f>
        <v>0</v>
      </c>
      <c r="I45" s="5">
        <f t="shared" si="6"/>
        <v>29722.181249999994</v>
      </c>
      <c r="J45" s="5">
        <f>IFERROR(IF($A45="", "", _xlfn.XLOOKUP($B45, YearlyParamsB!$A:$A, YearlyParamsB!$I:$I, 0)), 0)</f>
        <v>5277.8187500000131</v>
      </c>
      <c r="K45" s="5">
        <f t="shared" si="10"/>
        <v>5277.8187500000131</v>
      </c>
      <c r="L45" s="5">
        <f t="shared" si="24"/>
        <v>2480.5748125000064</v>
      </c>
      <c r="M45" s="5">
        <f t="shared" si="11"/>
        <v>9433.9622641509432</v>
      </c>
      <c r="N45" s="5">
        <f t="shared" si="12"/>
        <v>0</v>
      </c>
      <c r="O45" s="7">
        <f t="shared" si="13"/>
        <v>0</v>
      </c>
      <c r="P45" s="7">
        <f t="shared" si="22"/>
        <v>0</v>
      </c>
      <c r="Q45" s="7">
        <f t="shared" si="23"/>
        <v>5277.8187500000131</v>
      </c>
      <c r="R45" s="5">
        <f t="shared" si="14"/>
        <v>2480.5748125000064</v>
      </c>
      <c r="S45" s="5">
        <f t="shared" si="15"/>
        <v>87109.982406839656</v>
      </c>
      <c r="T45" s="5"/>
    </row>
    <row r="46" spans="1:20" x14ac:dyDescent="0.35">
      <c r="A46">
        <f t="shared" si="16"/>
        <v>45</v>
      </c>
      <c r="B46" s="13">
        <f t="shared" si="17"/>
        <v>2030</v>
      </c>
      <c r="C46">
        <f t="shared" si="18"/>
        <v>9</v>
      </c>
      <c r="D46" t="b">
        <f t="shared" si="19"/>
        <v>0</v>
      </c>
      <c r="E46" s="7">
        <f t="shared" si="20"/>
        <v>247684.84374999997</v>
      </c>
      <c r="F46" cm="1">
        <f t="array" ref="F46">IF($A46="", "", MRate(E46))</f>
        <v>0.47000000000000003</v>
      </c>
      <c r="G46" s="7">
        <f t="shared" si="21"/>
        <v>9433.9622641509432</v>
      </c>
      <c r="H46" s="7">
        <f>IF($A46="", "", _xlfn.XLOOKUP($B46, YearlyParamsB!$A:$A, YearlyParamsB!$E:$E, 0))</f>
        <v>0</v>
      </c>
      <c r="I46" s="5">
        <f t="shared" si="6"/>
        <v>29722.181249999994</v>
      </c>
      <c r="J46" s="5">
        <f>IFERROR(IF($A46="", "", _xlfn.XLOOKUP($B46, YearlyParamsB!$A:$A, YearlyParamsB!$I:$I, 0)), 0)</f>
        <v>5277.8187500000131</v>
      </c>
      <c r="K46" s="5">
        <f t="shared" si="10"/>
        <v>5277.8187500000131</v>
      </c>
      <c r="L46" s="5">
        <f t="shared" si="24"/>
        <v>2480.5748125000064</v>
      </c>
      <c r="M46" s="5">
        <f t="shared" si="11"/>
        <v>9433.9622641509432</v>
      </c>
      <c r="N46" s="5">
        <f t="shared" si="12"/>
        <v>0</v>
      </c>
      <c r="O46" s="7">
        <f t="shared" si="13"/>
        <v>0</v>
      </c>
      <c r="P46" s="7">
        <f t="shared" si="22"/>
        <v>0</v>
      </c>
      <c r="Q46" s="7">
        <f t="shared" si="23"/>
        <v>5277.8187500000131</v>
      </c>
      <c r="R46" s="5">
        <f t="shared" si="14"/>
        <v>2480.5748125000064</v>
      </c>
      <c r="S46" s="5">
        <f t="shared" si="15"/>
        <v>87109.982406839656</v>
      </c>
      <c r="T46" s="5"/>
    </row>
    <row r="47" spans="1:20" x14ac:dyDescent="0.35">
      <c r="A47">
        <f t="shared" si="16"/>
        <v>46</v>
      </c>
      <c r="B47" s="13">
        <f t="shared" si="17"/>
        <v>2030</v>
      </c>
      <c r="C47">
        <f t="shared" si="18"/>
        <v>10</v>
      </c>
      <c r="D47" t="b">
        <f t="shared" si="19"/>
        <v>0</v>
      </c>
      <c r="E47" s="7">
        <f t="shared" si="20"/>
        <v>247684.84374999997</v>
      </c>
      <c r="F47" cm="1">
        <f t="array" ref="F47">IF($A47="", "", MRate(E47))</f>
        <v>0.47000000000000003</v>
      </c>
      <c r="G47" s="7">
        <f t="shared" si="21"/>
        <v>9433.9622641509432</v>
      </c>
      <c r="H47" s="7">
        <f>IF($A47="", "", _xlfn.XLOOKUP($B47, YearlyParamsB!$A:$A, YearlyParamsB!$E:$E, 0))</f>
        <v>0</v>
      </c>
      <c r="I47" s="5">
        <f t="shared" si="6"/>
        <v>29722.181249999994</v>
      </c>
      <c r="J47" s="5">
        <f>IFERROR(IF($A47="", "", _xlfn.XLOOKUP($B47, YearlyParamsB!$A:$A, YearlyParamsB!$I:$I, 0)), 0)</f>
        <v>5277.8187500000131</v>
      </c>
      <c r="K47" s="5">
        <f t="shared" si="10"/>
        <v>5277.8187500000131</v>
      </c>
      <c r="L47" s="5">
        <f t="shared" si="24"/>
        <v>2480.5748125000064</v>
      </c>
      <c r="M47" s="5">
        <f t="shared" si="11"/>
        <v>9433.9622641509432</v>
      </c>
      <c r="N47" s="5">
        <f t="shared" si="12"/>
        <v>0</v>
      </c>
      <c r="O47" s="7">
        <f t="shared" si="13"/>
        <v>0</v>
      </c>
      <c r="P47" s="7">
        <f t="shared" si="22"/>
        <v>0</v>
      </c>
      <c r="Q47" s="7">
        <f t="shared" si="23"/>
        <v>5277.8187500000131</v>
      </c>
      <c r="R47" s="5">
        <f t="shared" si="14"/>
        <v>2480.5748125000064</v>
      </c>
      <c r="S47" s="5">
        <f t="shared" si="15"/>
        <v>87109.982406839656</v>
      </c>
      <c r="T47" s="5"/>
    </row>
    <row r="48" spans="1:20" x14ac:dyDescent="0.35">
      <c r="A48">
        <f t="shared" si="16"/>
        <v>47</v>
      </c>
      <c r="B48" s="13">
        <f t="shared" si="17"/>
        <v>2030</v>
      </c>
      <c r="C48">
        <f t="shared" si="18"/>
        <v>11</v>
      </c>
      <c r="D48" t="b">
        <f t="shared" si="19"/>
        <v>0</v>
      </c>
      <c r="E48" s="7">
        <f t="shared" si="20"/>
        <v>247684.84374999997</v>
      </c>
      <c r="F48" cm="1">
        <f t="array" ref="F48">IF($A48="", "", MRate(E48))</f>
        <v>0.47000000000000003</v>
      </c>
      <c r="G48" s="7">
        <f t="shared" si="21"/>
        <v>9433.9622641509432</v>
      </c>
      <c r="H48" s="7">
        <f>IF($A48="", "", _xlfn.XLOOKUP($B48, YearlyParamsB!$A:$A, YearlyParamsB!$E:$E, 0))</f>
        <v>0</v>
      </c>
      <c r="I48" s="5">
        <f t="shared" si="6"/>
        <v>29722.181249999994</v>
      </c>
      <c r="J48" s="5">
        <f>IFERROR(IF($A48="", "", _xlfn.XLOOKUP($B48, YearlyParamsB!$A:$A, YearlyParamsB!$I:$I, 0)), 0)</f>
        <v>5277.8187500000131</v>
      </c>
      <c r="K48" s="5">
        <f t="shared" si="10"/>
        <v>5277.8187500000131</v>
      </c>
      <c r="L48" s="5">
        <f t="shared" si="24"/>
        <v>2480.5748125000064</v>
      </c>
      <c r="M48" s="5">
        <f t="shared" si="11"/>
        <v>9433.9622641509432</v>
      </c>
      <c r="N48" s="5">
        <f t="shared" si="12"/>
        <v>0</v>
      </c>
      <c r="O48" s="7">
        <f t="shared" si="13"/>
        <v>0</v>
      </c>
      <c r="P48" s="7">
        <f t="shared" si="22"/>
        <v>0</v>
      </c>
      <c r="Q48" s="7">
        <f t="shared" si="23"/>
        <v>5277.8187500000131</v>
      </c>
      <c r="R48" s="5">
        <f t="shared" si="14"/>
        <v>2480.5748125000064</v>
      </c>
      <c r="S48" s="5">
        <f t="shared" si="15"/>
        <v>87109.982406839656</v>
      </c>
      <c r="T48" s="5"/>
    </row>
    <row r="49" spans="1:20" x14ac:dyDescent="0.35">
      <c r="A49">
        <f t="shared" si="16"/>
        <v>48</v>
      </c>
      <c r="B49" s="13">
        <f t="shared" si="17"/>
        <v>2030</v>
      </c>
      <c r="C49">
        <f t="shared" si="18"/>
        <v>12</v>
      </c>
      <c r="D49" t="b">
        <f t="shared" si="19"/>
        <v>1</v>
      </c>
      <c r="E49" s="7">
        <f t="shared" si="20"/>
        <v>247684.84374999997</v>
      </c>
      <c r="F49" cm="1">
        <f t="array" ref="F49">IF($A49="", "", MRate(E49))</f>
        <v>0.47000000000000003</v>
      </c>
      <c r="G49" s="7">
        <f t="shared" si="21"/>
        <v>9433.9622641509432</v>
      </c>
      <c r="H49" s="7">
        <f>IF($A49="", "", _xlfn.XLOOKUP($B49, YearlyParamsB!$A:$A, YearlyParamsB!$E:$E, 0))</f>
        <v>0</v>
      </c>
      <c r="I49" s="5">
        <f t="shared" si="6"/>
        <v>29722.181249999994</v>
      </c>
      <c r="J49" s="5">
        <f>IFERROR(IF($A49="", "", _xlfn.XLOOKUP($B49, YearlyParamsB!$A:$A, YearlyParamsB!$I:$I, 0)), 0)</f>
        <v>5277.8187500000131</v>
      </c>
      <c r="K49" s="5">
        <f t="shared" si="10"/>
        <v>5277.8187500000131</v>
      </c>
      <c r="L49" s="5">
        <f t="shared" si="24"/>
        <v>2480.5748125000064</v>
      </c>
      <c r="M49" s="5">
        <f t="shared" si="11"/>
        <v>9433.9622641509432</v>
      </c>
      <c r="N49" s="5">
        <f t="shared" si="12"/>
        <v>0</v>
      </c>
      <c r="O49" s="7">
        <f t="shared" si="13"/>
        <v>0</v>
      </c>
      <c r="P49" s="7">
        <f t="shared" si="22"/>
        <v>0</v>
      </c>
      <c r="Q49" s="7">
        <f t="shared" si="23"/>
        <v>5277.8187500000131</v>
      </c>
      <c r="R49" s="5">
        <f t="shared" si="14"/>
        <v>2480.5748125000064</v>
      </c>
      <c r="S49" s="5">
        <f t="shared" si="15"/>
        <v>87109.982406839656</v>
      </c>
      <c r="T49" s="5"/>
    </row>
    <row r="50" spans="1:20" x14ac:dyDescent="0.35">
      <c r="A50">
        <f t="shared" si="16"/>
        <v>49</v>
      </c>
      <c r="B50" s="13">
        <f t="shared" si="17"/>
        <v>2031</v>
      </c>
      <c r="C50">
        <f t="shared" si="18"/>
        <v>1</v>
      </c>
      <c r="D50" t="b">
        <f t="shared" si="19"/>
        <v>0</v>
      </c>
      <c r="E50" s="7">
        <f t="shared" si="20"/>
        <v>253876.96484374994</v>
      </c>
      <c r="F50" cm="1">
        <f t="array" ref="F50">IF($A50="", "", MRate(E50))</f>
        <v>0.47000000000000003</v>
      </c>
      <c r="G50" s="7">
        <f t="shared" si="21"/>
        <v>9433.9622641509432</v>
      </c>
      <c r="H50" s="7">
        <f>IF($A50="", "", _xlfn.XLOOKUP($B50, YearlyParamsB!$A:$A, YearlyParamsB!$E:$E, 0))</f>
        <v>0</v>
      </c>
      <c r="I50" s="5">
        <f t="shared" si="6"/>
        <v>30465.23578124999</v>
      </c>
      <c r="J50" s="5">
        <f>IFERROR(IF($A50="", "", _xlfn.XLOOKUP($B50, YearlyParamsB!$A:$A, YearlyParamsB!$I:$I, 0)), 0)</f>
        <v>7034.7642187500169</v>
      </c>
      <c r="K50" s="5">
        <f t="shared" si="10"/>
        <v>0</v>
      </c>
      <c r="L50" s="5">
        <f t="shared" si="24"/>
        <v>0</v>
      </c>
      <c r="M50" s="5">
        <f t="shared" si="11"/>
        <v>9433.9622641509432</v>
      </c>
      <c r="N50" s="5">
        <f t="shared" si="12"/>
        <v>7034.7642187500169</v>
      </c>
      <c r="O50" s="7">
        <f t="shared" si="13"/>
        <v>7034.7642187500169</v>
      </c>
      <c r="P50" s="7">
        <f t="shared" si="22"/>
        <v>3306.3391828125082</v>
      </c>
      <c r="Q50" s="7">
        <f t="shared" si="23"/>
        <v>7034.7642187500169</v>
      </c>
      <c r="R50" s="5">
        <f t="shared" si="14"/>
        <v>3306.3391828125082</v>
      </c>
      <c r="S50" s="5">
        <f t="shared" si="15"/>
        <v>90416.321589652158</v>
      </c>
      <c r="T50" s="5"/>
    </row>
    <row r="51" spans="1:20" x14ac:dyDescent="0.35">
      <c r="A51">
        <f t="shared" si="16"/>
        <v>50</v>
      </c>
      <c r="B51" s="13">
        <f t="shared" si="17"/>
        <v>2031</v>
      </c>
      <c r="C51">
        <f t="shared" si="18"/>
        <v>2</v>
      </c>
      <c r="D51" t="b">
        <f t="shared" si="19"/>
        <v>0</v>
      </c>
      <c r="E51" s="7">
        <f t="shared" si="20"/>
        <v>253876.96484374994</v>
      </c>
      <c r="F51" cm="1">
        <f t="array" ref="F51">IF($A51="", "", MRate(E51))</f>
        <v>0.47000000000000003</v>
      </c>
      <c r="G51" s="7">
        <f t="shared" si="21"/>
        <v>9433.9622641509432</v>
      </c>
      <c r="H51" s="7">
        <f>IF($A51="", "", _xlfn.XLOOKUP($B51, YearlyParamsB!$A:$A, YearlyParamsB!$E:$E, 0))</f>
        <v>0</v>
      </c>
      <c r="I51" s="5">
        <f t="shared" si="6"/>
        <v>30465.23578124999</v>
      </c>
      <c r="J51" s="5">
        <f>IFERROR(IF($A51="", "", _xlfn.XLOOKUP($B51, YearlyParamsB!$A:$A, YearlyParamsB!$I:$I, 0)), 0)</f>
        <v>7034.7642187500169</v>
      </c>
      <c r="K51" s="5">
        <f t="shared" si="10"/>
        <v>7034.7642187500169</v>
      </c>
      <c r="L51" s="5">
        <f t="shared" si="24"/>
        <v>3306.3391828125082</v>
      </c>
      <c r="M51" s="5">
        <f t="shared" si="11"/>
        <v>9433.9622641509432</v>
      </c>
      <c r="N51" s="5">
        <f t="shared" si="12"/>
        <v>0</v>
      </c>
      <c r="O51" s="7">
        <f t="shared" si="13"/>
        <v>0</v>
      </c>
      <c r="P51" s="7">
        <f t="shared" si="22"/>
        <v>0</v>
      </c>
      <c r="Q51" s="7">
        <f t="shared" si="23"/>
        <v>7034.7642187500169</v>
      </c>
      <c r="R51" s="5">
        <f t="shared" si="14"/>
        <v>3306.3391828125082</v>
      </c>
      <c r="S51" s="5">
        <f t="shared" si="15"/>
        <v>90416.321589652158</v>
      </c>
      <c r="T51" s="5"/>
    </row>
    <row r="52" spans="1:20" x14ac:dyDescent="0.35">
      <c r="A52">
        <f t="shared" si="16"/>
        <v>51</v>
      </c>
      <c r="B52" s="13">
        <f t="shared" si="17"/>
        <v>2031</v>
      </c>
      <c r="C52">
        <f t="shared" si="18"/>
        <v>3</v>
      </c>
      <c r="D52" t="b">
        <f t="shared" si="19"/>
        <v>0</v>
      </c>
      <c r="E52" s="7">
        <f t="shared" si="20"/>
        <v>253876.96484374994</v>
      </c>
      <c r="F52" cm="1">
        <f t="array" ref="F52">IF($A52="", "", MRate(E52))</f>
        <v>0.47000000000000003</v>
      </c>
      <c r="G52" s="7">
        <f t="shared" si="21"/>
        <v>9433.9622641509432</v>
      </c>
      <c r="H52" s="7">
        <f>IF($A52="", "", _xlfn.XLOOKUP($B52, YearlyParamsB!$A:$A, YearlyParamsB!$E:$E, 0))</f>
        <v>0</v>
      </c>
      <c r="I52" s="5">
        <f t="shared" si="6"/>
        <v>30465.23578124999</v>
      </c>
      <c r="J52" s="5">
        <f>IFERROR(IF($A52="", "", _xlfn.XLOOKUP($B52, YearlyParamsB!$A:$A, YearlyParamsB!$I:$I, 0)), 0)</f>
        <v>7034.7642187500169</v>
      </c>
      <c r="K52" s="5">
        <f t="shared" si="10"/>
        <v>7034.7642187500169</v>
      </c>
      <c r="L52" s="5">
        <f t="shared" si="24"/>
        <v>3306.3391828125082</v>
      </c>
      <c r="M52" s="5">
        <f t="shared" si="11"/>
        <v>9433.9622641509432</v>
      </c>
      <c r="N52" s="5">
        <f t="shared" si="12"/>
        <v>0</v>
      </c>
      <c r="O52" s="7">
        <f t="shared" si="13"/>
        <v>0</v>
      </c>
      <c r="P52" s="7">
        <f t="shared" si="22"/>
        <v>0</v>
      </c>
      <c r="Q52" s="7">
        <f t="shared" si="23"/>
        <v>7034.7642187500169</v>
      </c>
      <c r="R52" s="5">
        <f t="shared" si="14"/>
        <v>3306.3391828125082</v>
      </c>
      <c r="S52" s="5">
        <f t="shared" si="15"/>
        <v>90416.321589652158</v>
      </c>
      <c r="T52" s="5"/>
    </row>
    <row r="53" spans="1:20" x14ac:dyDescent="0.35">
      <c r="A53">
        <f t="shared" si="16"/>
        <v>52</v>
      </c>
      <c r="B53" s="13">
        <f t="shared" si="17"/>
        <v>2031</v>
      </c>
      <c r="C53">
        <f t="shared" si="18"/>
        <v>4</v>
      </c>
      <c r="D53" t="b">
        <f t="shared" si="19"/>
        <v>0</v>
      </c>
      <c r="E53" s="7">
        <f t="shared" si="20"/>
        <v>253876.96484374994</v>
      </c>
      <c r="F53" cm="1">
        <f t="array" ref="F53">IF($A53="", "", MRate(E53))</f>
        <v>0.47000000000000003</v>
      </c>
      <c r="G53" s="7">
        <f t="shared" si="21"/>
        <v>9433.9622641509432</v>
      </c>
      <c r="H53" s="7">
        <f>IF($A53="", "", _xlfn.XLOOKUP($B53, YearlyParamsB!$A:$A, YearlyParamsB!$E:$E, 0))</f>
        <v>0</v>
      </c>
      <c r="I53" s="5">
        <f t="shared" si="6"/>
        <v>30465.23578124999</v>
      </c>
      <c r="J53" s="5">
        <f>IFERROR(IF($A53="", "", _xlfn.XLOOKUP($B53, YearlyParamsB!$A:$A, YearlyParamsB!$I:$I, 0)), 0)</f>
        <v>7034.7642187500169</v>
      </c>
      <c r="K53" s="5">
        <f t="shared" si="10"/>
        <v>7034.7642187500169</v>
      </c>
      <c r="L53" s="5">
        <f t="shared" si="24"/>
        <v>3306.3391828125082</v>
      </c>
      <c r="M53" s="5">
        <f t="shared" si="11"/>
        <v>9433.9622641509432</v>
      </c>
      <c r="N53" s="5">
        <f t="shared" si="12"/>
        <v>0</v>
      </c>
      <c r="O53" s="7">
        <f t="shared" si="13"/>
        <v>0</v>
      </c>
      <c r="P53" s="7">
        <f t="shared" si="22"/>
        <v>0</v>
      </c>
      <c r="Q53" s="7">
        <f t="shared" si="23"/>
        <v>7034.7642187500169</v>
      </c>
      <c r="R53" s="5">
        <f t="shared" si="14"/>
        <v>3306.3391828125082</v>
      </c>
      <c r="S53" s="5">
        <f t="shared" si="15"/>
        <v>90416.321589652158</v>
      </c>
      <c r="T53" s="5"/>
    </row>
    <row r="54" spans="1:20" x14ac:dyDescent="0.35">
      <c r="A54">
        <f t="shared" si="16"/>
        <v>53</v>
      </c>
      <c r="B54" s="13">
        <f t="shared" si="17"/>
        <v>2031</v>
      </c>
      <c r="C54">
        <f t="shared" si="18"/>
        <v>5</v>
      </c>
      <c r="D54" t="b">
        <f t="shared" si="19"/>
        <v>0</v>
      </c>
      <c r="E54" s="7">
        <f t="shared" si="20"/>
        <v>253876.96484374994</v>
      </c>
      <c r="F54" cm="1">
        <f t="array" ref="F54">IF($A54="", "", MRate(E54))</f>
        <v>0.47000000000000003</v>
      </c>
      <c r="G54" s="7">
        <f t="shared" si="21"/>
        <v>9433.9622641509432</v>
      </c>
      <c r="H54" s="7">
        <f>IF($A54="", "", _xlfn.XLOOKUP($B54, YearlyParamsB!$A:$A, YearlyParamsB!$E:$E, 0))</f>
        <v>0</v>
      </c>
      <c r="I54" s="5">
        <f t="shared" si="6"/>
        <v>30465.23578124999</v>
      </c>
      <c r="J54" s="5">
        <f>IFERROR(IF($A54="", "", _xlfn.XLOOKUP($B54, YearlyParamsB!$A:$A, YearlyParamsB!$I:$I, 0)), 0)</f>
        <v>7034.7642187500169</v>
      </c>
      <c r="K54" s="5">
        <f t="shared" si="10"/>
        <v>7034.7642187500169</v>
      </c>
      <c r="L54" s="5">
        <f t="shared" si="24"/>
        <v>3306.3391828125082</v>
      </c>
      <c r="M54" s="5">
        <f t="shared" si="11"/>
        <v>9433.9622641509432</v>
      </c>
      <c r="N54" s="5">
        <f t="shared" si="12"/>
        <v>0</v>
      </c>
      <c r="O54" s="7">
        <f t="shared" si="13"/>
        <v>0</v>
      </c>
      <c r="P54" s="7">
        <f t="shared" si="22"/>
        <v>0</v>
      </c>
      <c r="Q54" s="7">
        <f t="shared" si="23"/>
        <v>7034.7642187500169</v>
      </c>
      <c r="R54" s="5">
        <f t="shared" si="14"/>
        <v>3306.3391828125082</v>
      </c>
      <c r="S54" s="5">
        <f t="shared" si="15"/>
        <v>90416.321589652158</v>
      </c>
      <c r="T54" s="5"/>
    </row>
    <row r="55" spans="1:20" x14ac:dyDescent="0.35">
      <c r="A55">
        <f t="shared" si="16"/>
        <v>54</v>
      </c>
      <c r="B55" s="13">
        <f t="shared" si="17"/>
        <v>2031</v>
      </c>
      <c r="C55">
        <f t="shared" si="18"/>
        <v>6</v>
      </c>
      <c r="D55" t="b">
        <f t="shared" si="19"/>
        <v>0</v>
      </c>
      <c r="E55" s="7">
        <f t="shared" si="20"/>
        <v>253876.96484374994</v>
      </c>
      <c r="F55" cm="1">
        <f t="array" ref="F55">IF($A55="", "", MRate(E55))</f>
        <v>0.47000000000000003</v>
      </c>
      <c r="G55" s="7">
        <f t="shared" si="21"/>
        <v>9433.9622641509432</v>
      </c>
      <c r="H55" s="7">
        <f>IF($A55="", "", _xlfn.XLOOKUP($B55, YearlyParamsB!$A:$A, YearlyParamsB!$E:$E, 0))</f>
        <v>0</v>
      </c>
      <c r="I55" s="5">
        <f t="shared" si="6"/>
        <v>30465.23578124999</v>
      </c>
      <c r="J55" s="5">
        <f>IFERROR(IF($A55="", "", _xlfn.XLOOKUP($B55, YearlyParamsB!$A:$A, YearlyParamsB!$I:$I, 0)), 0)</f>
        <v>7034.7642187500169</v>
      </c>
      <c r="K55" s="5">
        <f t="shared" si="10"/>
        <v>7034.7642187500169</v>
      </c>
      <c r="L55" s="5">
        <f t="shared" si="24"/>
        <v>3306.3391828125082</v>
      </c>
      <c r="M55" s="5">
        <f t="shared" si="11"/>
        <v>9433.9622641509432</v>
      </c>
      <c r="N55" s="5">
        <f t="shared" si="12"/>
        <v>0</v>
      </c>
      <c r="O55" s="7">
        <f t="shared" si="13"/>
        <v>0</v>
      </c>
      <c r="P55" s="7">
        <f t="shared" si="22"/>
        <v>0</v>
      </c>
      <c r="Q55" s="7">
        <f t="shared" si="23"/>
        <v>7034.7642187500169</v>
      </c>
      <c r="R55" s="5">
        <f t="shared" si="14"/>
        <v>3306.3391828125082</v>
      </c>
      <c r="S55" s="5">
        <f t="shared" si="15"/>
        <v>90416.321589652158</v>
      </c>
      <c r="T55" s="5"/>
    </row>
    <row r="56" spans="1:20" x14ac:dyDescent="0.35">
      <c r="A56">
        <f t="shared" si="16"/>
        <v>55</v>
      </c>
      <c r="B56" s="13">
        <f t="shared" si="17"/>
        <v>2031</v>
      </c>
      <c r="C56">
        <f t="shared" si="18"/>
        <v>7</v>
      </c>
      <c r="D56" t="b">
        <f t="shared" si="19"/>
        <v>0</v>
      </c>
      <c r="E56" s="7">
        <f t="shared" si="20"/>
        <v>253876.96484374994</v>
      </c>
      <c r="F56" cm="1">
        <f t="array" ref="F56">IF($A56="", "", MRate(E56))</f>
        <v>0.47000000000000003</v>
      </c>
      <c r="G56" s="7">
        <f t="shared" si="21"/>
        <v>9433.9622641509432</v>
      </c>
      <c r="H56" s="7">
        <f>IF($A56="", "", _xlfn.XLOOKUP($B56, YearlyParamsB!$A:$A, YearlyParamsB!$E:$E, 0))</f>
        <v>0</v>
      </c>
      <c r="I56" s="5">
        <f t="shared" si="6"/>
        <v>30465.23578124999</v>
      </c>
      <c r="J56" s="5">
        <f>IFERROR(IF($A56="", "", _xlfn.XLOOKUP($B56, YearlyParamsB!$A:$A, YearlyParamsB!$I:$I, 0)), 0)</f>
        <v>7034.7642187500169</v>
      </c>
      <c r="K56" s="5">
        <f t="shared" si="10"/>
        <v>7034.7642187500169</v>
      </c>
      <c r="L56" s="5">
        <f t="shared" si="24"/>
        <v>3306.3391828125082</v>
      </c>
      <c r="M56" s="5">
        <f t="shared" si="11"/>
        <v>9433.9622641509432</v>
      </c>
      <c r="N56" s="5">
        <f t="shared" si="12"/>
        <v>0</v>
      </c>
      <c r="O56" s="7">
        <f t="shared" si="13"/>
        <v>0</v>
      </c>
      <c r="P56" s="7">
        <f t="shared" si="22"/>
        <v>0</v>
      </c>
      <c r="Q56" s="7">
        <f t="shared" si="23"/>
        <v>7034.7642187500169</v>
      </c>
      <c r="R56" s="5">
        <f t="shared" si="14"/>
        <v>3306.3391828125082</v>
      </c>
      <c r="S56" s="5">
        <f t="shared" si="15"/>
        <v>90416.321589652158</v>
      </c>
      <c r="T56" s="5"/>
    </row>
    <row r="57" spans="1:20" x14ac:dyDescent="0.35">
      <c r="A57">
        <f t="shared" si="16"/>
        <v>56</v>
      </c>
      <c r="B57" s="13">
        <f t="shared" si="17"/>
        <v>2031</v>
      </c>
      <c r="C57">
        <f t="shared" si="18"/>
        <v>8</v>
      </c>
      <c r="D57" t="b">
        <f t="shared" si="19"/>
        <v>0</v>
      </c>
      <c r="E57" s="7">
        <f t="shared" si="20"/>
        <v>253876.96484374994</v>
      </c>
      <c r="F57" cm="1">
        <f t="array" ref="F57">IF($A57="", "", MRate(E57))</f>
        <v>0.47000000000000003</v>
      </c>
      <c r="G57" s="7">
        <f t="shared" si="21"/>
        <v>9433.9622641509432</v>
      </c>
      <c r="H57" s="7">
        <f>IF($A57="", "", _xlfn.XLOOKUP($B57, YearlyParamsB!$A:$A, YearlyParamsB!$E:$E, 0))</f>
        <v>0</v>
      </c>
      <c r="I57" s="5">
        <f t="shared" si="6"/>
        <v>30465.23578124999</v>
      </c>
      <c r="J57" s="5">
        <f>IFERROR(IF($A57="", "", _xlfn.XLOOKUP($B57, YearlyParamsB!$A:$A, YearlyParamsB!$I:$I, 0)), 0)</f>
        <v>7034.7642187500169</v>
      </c>
      <c r="K57" s="5">
        <f t="shared" si="10"/>
        <v>7034.7642187500169</v>
      </c>
      <c r="L57" s="5">
        <f t="shared" si="24"/>
        <v>3306.3391828125082</v>
      </c>
      <c r="M57" s="5">
        <f t="shared" si="11"/>
        <v>9433.9622641509432</v>
      </c>
      <c r="N57" s="5">
        <f t="shared" si="12"/>
        <v>0</v>
      </c>
      <c r="O57" s="7">
        <f t="shared" si="13"/>
        <v>0</v>
      </c>
      <c r="P57" s="7">
        <f t="shared" si="22"/>
        <v>0</v>
      </c>
      <c r="Q57" s="7">
        <f t="shared" si="23"/>
        <v>7034.7642187500169</v>
      </c>
      <c r="R57" s="5">
        <f t="shared" si="14"/>
        <v>3306.3391828125082</v>
      </c>
      <c r="S57" s="5">
        <f t="shared" si="15"/>
        <v>90416.321589652158</v>
      </c>
      <c r="T57" s="5"/>
    </row>
    <row r="58" spans="1:20" x14ac:dyDescent="0.35">
      <c r="A58">
        <f t="shared" si="16"/>
        <v>57</v>
      </c>
      <c r="B58" s="13">
        <f t="shared" si="17"/>
        <v>2031</v>
      </c>
      <c r="C58">
        <f t="shared" si="18"/>
        <v>9</v>
      </c>
      <c r="D58" t="b">
        <f t="shared" si="19"/>
        <v>0</v>
      </c>
      <c r="E58" s="7">
        <f t="shared" si="20"/>
        <v>253876.96484374994</v>
      </c>
      <c r="F58" cm="1">
        <f t="array" ref="F58">IF($A58="", "", MRate(E58))</f>
        <v>0.47000000000000003</v>
      </c>
      <c r="G58" s="7">
        <f t="shared" si="21"/>
        <v>9433.9622641509432</v>
      </c>
      <c r="H58" s="7">
        <f>IF($A58="", "", _xlfn.XLOOKUP($B58, YearlyParamsB!$A:$A, YearlyParamsB!$E:$E, 0))</f>
        <v>0</v>
      </c>
      <c r="I58" s="5">
        <f t="shared" si="6"/>
        <v>30465.23578124999</v>
      </c>
      <c r="J58" s="5">
        <f>IFERROR(IF($A58="", "", _xlfn.XLOOKUP($B58, YearlyParamsB!$A:$A, YearlyParamsB!$I:$I, 0)), 0)</f>
        <v>7034.7642187500169</v>
      </c>
      <c r="K58" s="5">
        <f t="shared" si="10"/>
        <v>7034.7642187500169</v>
      </c>
      <c r="L58" s="5">
        <f t="shared" si="24"/>
        <v>3306.3391828125082</v>
      </c>
      <c r="M58" s="5">
        <f t="shared" si="11"/>
        <v>9433.9622641509432</v>
      </c>
      <c r="N58" s="5">
        <f t="shared" si="12"/>
        <v>0</v>
      </c>
      <c r="O58" s="7">
        <f t="shared" si="13"/>
        <v>0</v>
      </c>
      <c r="P58" s="7">
        <f t="shared" si="22"/>
        <v>0</v>
      </c>
      <c r="Q58" s="7">
        <f t="shared" si="23"/>
        <v>7034.7642187500169</v>
      </c>
      <c r="R58" s="5">
        <f t="shared" si="14"/>
        <v>3306.3391828125082</v>
      </c>
      <c r="S58" s="5">
        <f t="shared" si="15"/>
        <v>90416.321589652158</v>
      </c>
      <c r="T58" s="5"/>
    </row>
    <row r="59" spans="1:20" x14ac:dyDescent="0.35">
      <c r="A59">
        <f t="shared" si="16"/>
        <v>58</v>
      </c>
      <c r="B59" s="13">
        <f t="shared" si="17"/>
        <v>2031</v>
      </c>
      <c r="C59">
        <f t="shared" si="18"/>
        <v>10</v>
      </c>
      <c r="D59" t="b">
        <f t="shared" si="19"/>
        <v>0</v>
      </c>
      <c r="E59" s="7">
        <f t="shared" si="20"/>
        <v>253876.96484374994</v>
      </c>
      <c r="F59" cm="1">
        <f t="array" ref="F59">IF($A59="", "", MRate(E59))</f>
        <v>0.47000000000000003</v>
      </c>
      <c r="G59" s="7">
        <f t="shared" si="21"/>
        <v>9433.9622641509432</v>
      </c>
      <c r="H59" s="7">
        <f>IF($A59="", "", _xlfn.XLOOKUP($B59, YearlyParamsB!$A:$A, YearlyParamsB!$E:$E, 0))</f>
        <v>0</v>
      </c>
      <c r="I59" s="5">
        <f t="shared" si="6"/>
        <v>30465.23578124999</v>
      </c>
      <c r="J59" s="5">
        <f>IFERROR(IF($A59="", "", _xlfn.XLOOKUP($B59, YearlyParamsB!$A:$A, YearlyParamsB!$I:$I, 0)), 0)</f>
        <v>7034.7642187500169</v>
      </c>
      <c r="K59" s="5">
        <f t="shared" si="10"/>
        <v>7034.7642187500169</v>
      </c>
      <c r="L59" s="5">
        <f t="shared" si="24"/>
        <v>3306.3391828125082</v>
      </c>
      <c r="M59" s="5">
        <f t="shared" si="11"/>
        <v>9433.9622641509432</v>
      </c>
      <c r="N59" s="5">
        <f t="shared" si="12"/>
        <v>0</v>
      </c>
      <c r="O59" s="7">
        <f t="shared" si="13"/>
        <v>0</v>
      </c>
      <c r="P59" s="7">
        <f t="shared" si="22"/>
        <v>0</v>
      </c>
      <c r="Q59" s="7">
        <f t="shared" si="23"/>
        <v>7034.7642187500169</v>
      </c>
      <c r="R59" s="5">
        <f t="shared" si="14"/>
        <v>3306.3391828125082</v>
      </c>
      <c r="S59" s="5">
        <f t="shared" si="15"/>
        <v>90416.321589652158</v>
      </c>
      <c r="T59" s="5"/>
    </row>
    <row r="60" spans="1:20" x14ac:dyDescent="0.35">
      <c r="A60">
        <f t="shared" si="16"/>
        <v>59</v>
      </c>
      <c r="B60" s="13">
        <f t="shared" si="17"/>
        <v>2031</v>
      </c>
      <c r="C60">
        <f t="shared" si="18"/>
        <v>11</v>
      </c>
      <c r="D60" t="b">
        <f t="shared" si="19"/>
        <v>0</v>
      </c>
      <c r="E60" s="7">
        <f t="shared" si="20"/>
        <v>253876.96484374994</v>
      </c>
      <c r="F60" cm="1">
        <f t="array" ref="F60">IF($A60="", "", MRate(E60))</f>
        <v>0.47000000000000003</v>
      </c>
      <c r="G60" s="7">
        <f t="shared" si="21"/>
        <v>9433.9622641509432</v>
      </c>
      <c r="H60" s="7">
        <f>IF($A60="", "", _xlfn.XLOOKUP($B60, YearlyParamsB!$A:$A, YearlyParamsB!$E:$E, 0))</f>
        <v>0</v>
      </c>
      <c r="I60" s="5">
        <f t="shared" si="6"/>
        <v>30465.23578124999</v>
      </c>
      <c r="J60" s="5">
        <f>IFERROR(IF($A60="", "", _xlfn.XLOOKUP($B60, YearlyParamsB!$A:$A, YearlyParamsB!$I:$I, 0)), 0)</f>
        <v>7034.7642187500169</v>
      </c>
      <c r="K60" s="5">
        <f t="shared" si="10"/>
        <v>7034.7642187500169</v>
      </c>
      <c r="L60" s="5">
        <f t="shared" si="24"/>
        <v>3306.3391828125082</v>
      </c>
      <c r="M60" s="5">
        <f t="shared" si="11"/>
        <v>9433.9622641509432</v>
      </c>
      <c r="N60" s="5">
        <f t="shared" si="12"/>
        <v>0</v>
      </c>
      <c r="O60" s="7">
        <f t="shared" si="13"/>
        <v>0</v>
      </c>
      <c r="P60" s="7">
        <f t="shared" si="22"/>
        <v>0</v>
      </c>
      <c r="Q60" s="7">
        <f t="shared" si="23"/>
        <v>7034.7642187500169</v>
      </c>
      <c r="R60" s="5">
        <f t="shared" si="14"/>
        <v>3306.3391828125082</v>
      </c>
      <c r="S60" s="5">
        <f t="shared" si="15"/>
        <v>90416.321589652158</v>
      </c>
      <c r="T60" s="5"/>
    </row>
    <row r="61" spans="1:20" x14ac:dyDescent="0.35">
      <c r="A61">
        <f t="shared" si="16"/>
        <v>60</v>
      </c>
      <c r="B61" s="13">
        <f t="shared" si="17"/>
        <v>2031</v>
      </c>
      <c r="C61">
        <f t="shared" si="18"/>
        <v>12</v>
      </c>
      <c r="D61" t="b">
        <f t="shared" si="19"/>
        <v>1</v>
      </c>
      <c r="E61" s="7">
        <f t="shared" si="20"/>
        <v>253876.96484374994</v>
      </c>
      <c r="F61" cm="1">
        <f t="array" ref="F61">IF($A61="", "", MRate(E61))</f>
        <v>0.47000000000000003</v>
      </c>
      <c r="G61" s="7">
        <f t="shared" si="21"/>
        <v>9433.9622641509432</v>
      </c>
      <c r="H61" s="7">
        <f>IF($A61="", "", _xlfn.XLOOKUP($B61, YearlyParamsB!$A:$A, YearlyParamsB!$E:$E, 0))</f>
        <v>0</v>
      </c>
      <c r="I61" s="5">
        <f t="shared" si="6"/>
        <v>30465.23578124999</v>
      </c>
      <c r="J61" s="5">
        <f>IFERROR(IF($A61="", "", _xlfn.XLOOKUP($B61, YearlyParamsB!$A:$A, YearlyParamsB!$I:$I, 0)), 0)</f>
        <v>7034.7642187500169</v>
      </c>
      <c r="K61" s="5">
        <f t="shared" si="10"/>
        <v>7034.7642187500169</v>
      </c>
      <c r="L61" s="5">
        <f t="shared" si="24"/>
        <v>3306.3391828125082</v>
      </c>
      <c r="M61" s="5">
        <f t="shared" si="11"/>
        <v>9433.9622641509432</v>
      </c>
      <c r="N61" s="5">
        <f t="shared" si="12"/>
        <v>0</v>
      </c>
      <c r="O61" s="7">
        <f t="shared" si="13"/>
        <v>0</v>
      </c>
      <c r="P61" s="7">
        <f t="shared" si="22"/>
        <v>0</v>
      </c>
      <c r="Q61" s="7">
        <f t="shared" si="23"/>
        <v>7034.7642187500169</v>
      </c>
      <c r="R61" s="5">
        <f t="shared" si="14"/>
        <v>3306.3391828125082</v>
      </c>
      <c r="S61" s="5">
        <f t="shared" si="15"/>
        <v>90416.321589652158</v>
      </c>
      <c r="T61" s="5"/>
    </row>
    <row r="62" spans="1:20" x14ac:dyDescent="0.35">
      <c r="A62">
        <f t="shared" si="16"/>
        <v>61</v>
      </c>
      <c r="B62" s="13">
        <f t="shared" si="17"/>
        <v>2032</v>
      </c>
      <c r="C62">
        <f t="shared" si="18"/>
        <v>1</v>
      </c>
      <c r="D62" t="b">
        <f t="shared" si="19"/>
        <v>0</v>
      </c>
      <c r="E62" s="7">
        <f t="shared" si="20"/>
        <v>260223.88896484367</v>
      </c>
      <c r="F62" cm="1">
        <f t="array" ref="F62">IF($A62="", "", MRate(E62))</f>
        <v>0.47000000000000003</v>
      </c>
      <c r="G62" s="7">
        <f t="shared" si="21"/>
        <v>9433.9622641509432</v>
      </c>
      <c r="H62" s="7">
        <f>IF($A62="", "", _xlfn.XLOOKUP($B62, YearlyParamsB!$A:$A, YearlyParamsB!$E:$E, 0))</f>
        <v>0</v>
      </c>
      <c r="I62" s="5">
        <f t="shared" si="6"/>
        <v>31226.866675781239</v>
      </c>
      <c r="J62" s="5">
        <f>IFERROR(IF($A62="", "", _xlfn.XLOOKUP($B62, YearlyParamsB!$A:$A, YearlyParamsB!$I:$I, 0)), 0)</f>
        <v>6273.1333242187684</v>
      </c>
      <c r="K62" s="5">
        <f>IFERROR(IF($A61="", "", IF(B62&lt;&gt;B61,0,Q61)), 0)</f>
        <v>0</v>
      </c>
      <c r="L62" s="5">
        <f t="shared" si="24"/>
        <v>0</v>
      </c>
      <c r="M62" s="5">
        <f t="shared" si="11"/>
        <v>9433.9622641509432</v>
      </c>
      <c r="N62" s="5">
        <f t="shared" si="12"/>
        <v>6273.1333242187684</v>
      </c>
      <c r="O62" s="7">
        <f t="shared" si="13"/>
        <v>6273.1333242187684</v>
      </c>
      <c r="P62" s="7">
        <f t="shared" si="22"/>
        <v>2948.3726623828215</v>
      </c>
      <c r="Q62" s="7">
        <f t="shared" si="23"/>
        <v>6273.1333242187684</v>
      </c>
      <c r="R62" s="5">
        <f t="shared" si="14"/>
        <v>2948.3726623828215</v>
      </c>
      <c r="S62" s="5">
        <f t="shared" si="15"/>
        <v>93364.694252034984</v>
      </c>
      <c r="T62" s="5"/>
    </row>
    <row r="63" spans="1:20" x14ac:dyDescent="0.35">
      <c r="A63">
        <f t="shared" si="16"/>
        <v>62</v>
      </c>
      <c r="B63" s="13">
        <f t="shared" si="17"/>
        <v>2032</v>
      </c>
      <c r="C63">
        <f t="shared" si="18"/>
        <v>2</v>
      </c>
      <c r="D63" t="b">
        <f t="shared" si="19"/>
        <v>0</v>
      </c>
      <c r="E63" s="7">
        <f t="shared" si="20"/>
        <v>260223.88896484367</v>
      </c>
      <c r="F63" cm="1">
        <f t="array" ref="F63">IF($A63="", "", MRate(E63))</f>
        <v>0.47000000000000003</v>
      </c>
      <c r="G63" s="7">
        <f t="shared" si="21"/>
        <v>9433.9622641509432</v>
      </c>
      <c r="H63" s="7">
        <f>IF($A63="", "", _xlfn.XLOOKUP($B63, YearlyParamsB!$A:$A, YearlyParamsB!$E:$E, 0))</f>
        <v>0</v>
      </c>
      <c r="I63" s="5">
        <f t="shared" si="6"/>
        <v>31226.866675781239</v>
      </c>
      <c r="J63" s="5">
        <f>IFERROR(IF($A63="", "", _xlfn.XLOOKUP($B63, YearlyParamsB!$A:$A, YearlyParamsB!$I:$I, 0)), 0)</f>
        <v>6273.1333242187684</v>
      </c>
      <c r="K63" s="5">
        <f t="shared" ref="K63:K126" si="25">IFERROR(IF($A62="", "", IF(B63&lt;&gt;B62,0,Q62)), 0)</f>
        <v>6273.1333242187684</v>
      </c>
      <c r="L63" s="5">
        <f t="shared" si="24"/>
        <v>2948.3726623828215</v>
      </c>
      <c r="M63" s="5">
        <f t="shared" si="11"/>
        <v>9433.9622641509432</v>
      </c>
      <c r="N63" s="5">
        <f t="shared" si="12"/>
        <v>0</v>
      </c>
      <c r="O63" s="7">
        <f t="shared" si="13"/>
        <v>0</v>
      </c>
      <c r="P63" s="7">
        <f t="shared" si="22"/>
        <v>0</v>
      </c>
      <c r="Q63" s="7">
        <f t="shared" si="23"/>
        <v>6273.1333242187684</v>
      </c>
      <c r="R63" s="5">
        <f t="shared" si="14"/>
        <v>2948.3726623828215</v>
      </c>
      <c r="S63" s="5">
        <f t="shared" si="15"/>
        <v>93364.694252034984</v>
      </c>
      <c r="T63" s="5"/>
    </row>
    <row r="64" spans="1:20" x14ac:dyDescent="0.35">
      <c r="A64">
        <f t="shared" si="16"/>
        <v>63</v>
      </c>
      <c r="B64" s="13">
        <f t="shared" si="17"/>
        <v>2032</v>
      </c>
      <c r="C64">
        <f t="shared" si="18"/>
        <v>3</v>
      </c>
      <c r="D64" t="b">
        <f t="shared" si="19"/>
        <v>0</v>
      </c>
      <c r="E64" s="7">
        <f t="shared" si="20"/>
        <v>260223.88896484367</v>
      </c>
      <c r="F64" cm="1">
        <f t="array" ref="F64">IF($A64="", "", MRate(E64))</f>
        <v>0.47000000000000003</v>
      </c>
      <c r="G64" s="7">
        <f t="shared" si="21"/>
        <v>9433.9622641509432</v>
      </c>
      <c r="H64" s="7">
        <f>IF($A64="", "", _xlfn.XLOOKUP($B64, YearlyParamsB!$A:$A, YearlyParamsB!$E:$E, 0))</f>
        <v>0</v>
      </c>
      <c r="I64" s="5">
        <f t="shared" si="6"/>
        <v>31226.866675781239</v>
      </c>
      <c r="J64" s="5">
        <f>IFERROR(IF($A64="", "", _xlfn.XLOOKUP($B64, YearlyParamsB!$A:$A, YearlyParamsB!$I:$I, 0)), 0)</f>
        <v>6273.1333242187684</v>
      </c>
      <c r="K64" s="5">
        <f t="shared" si="25"/>
        <v>6273.1333242187684</v>
      </c>
      <c r="L64" s="5">
        <f t="shared" si="24"/>
        <v>2948.3726623828215</v>
      </c>
      <c r="M64" s="5">
        <f t="shared" si="11"/>
        <v>9433.9622641509432</v>
      </c>
      <c r="N64" s="5">
        <f t="shared" si="12"/>
        <v>0</v>
      </c>
      <c r="O64" s="7">
        <f t="shared" si="13"/>
        <v>0</v>
      </c>
      <c r="P64" s="7">
        <f t="shared" si="22"/>
        <v>0</v>
      </c>
      <c r="Q64" s="7">
        <f t="shared" si="23"/>
        <v>6273.1333242187684</v>
      </c>
      <c r="R64" s="5">
        <f t="shared" si="14"/>
        <v>2948.3726623828215</v>
      </c>
      <c r="S64" s="5">
        <f t="shared" si="15"/>
        <v>93364.694252034984</v>
      </c>
      <c r="T64" s="5"/>
    </row>
    <row r="65" spans="1:20" x14ac:dyDescent="0.35">
      <c r="A65">
        <f t="shared" si="16"/>
        <v>64</v>
      </c>
      <c r="B65" s="13">
        <f t="shared" si="17"/>
        <v>2032</v>
      </c>
      <c r="C65">
        <f t="shared" si="18"/>
        <v>4</v>
      </c>
      <c r="D65" t="b">
        <f t="shared" si="19"/>
        <v>0</v>
      </c>
      <c r="E65" s="7">
        <f t="shared" si="20"/>
        <v>260223.88896484367</v>
      </c>
      <c r="F65" cm="1">
        <f t="array" ref="F65">IF($A65="", "", MRate(E65))</f>
        <v>0.47000000000000003</v>
      </c>
      <c r="G65" s="7">
        <f t="shared" si="21"/>
        <v>9433.9622641509432</v>
      </c>
      <c r="H65" s="7">
        <f>IF($A65="", "", _xlfn.XLOOKUP($B65, YearlyParamsB!$A:$A, YearlyParamsB!$E:$E, 0))</f>
        <v>0</v>
      </c>
      <c r="I65" s="5">
        <f t="shared" si="6"/>
        <v>31226.866675781239</v>
      </c>
      <c r="J65" s="5">
        <f>IFERROR(IF($A65="", "", _xlfn.XLOOKUP($B65, YearlyParamsB!$A:$A, YearlyParamsB!$I:$I, 0)), 0)</f>
        <v>6273.1333242187684</v>
      </c>
      <c r="K65" s="5">
        <f t="shared" si="25"/>
        <v>6273.1333242187684</v>
      </c>
      <c r="L65" s="5">
        <f t="shared" si="24"/>
        <v>2948.3726623828215</v>
      </c>
      <c r="M65" s="5">
        <f t="shared" si="11"/>
        <v>9433.9622641509432</v>
      </c>
      <c r="N65" s="5">
        <f t="shared" si="12"/>
        <v>0</v>
      </c>
      <c r="O65" s="7">
        <f t="shared" si="13"/>
        <v>0</v>
      </c>
      <c r="P65" s="7">
        <f t="shared" si="22"/>
        <v>0</v>
      </c>
      <c r="Q65" s="7">
        <f t="shared" si="23"/>
        <v>6273.1333242187684</v>
      </c>
      <c r="R65" s="5">
        <f t="shared" si="14"/>
        <v>2948.3726623828215</v>
      </c>
      <c r="S65" s="5">
        <f t="shared" si="15"/>
        <v>93364.694252034984</v>
      </c>
      <c r="T65" s="5"/>
    </row>
    <row r="66" spans="1:20" x14ac:dyDescent="0.35">
      <c r="A66">
        <f t="shared" ref="A66:A97" si="26">IF(ROW()-1 &lt;= TotalPeriodsB, ROW()-1, "")</f>
        <v>65</v>
      </c>
      <c r="B66" s="13">
        <f t="shared" ref="B66:B97" si="27">IF(ROW()-1 &lt;= TotalPeriodsB, YEAR(StartYear) + INT((ROW()-2)/PPYB), "")</f>
        <v>2032</v>
      </c>
      <c r="C66">
        <f t="shared" ref="C66:C97" si="28">IF($A66="", "", MOD($A66-1, PPYB)+1)</f>
        <v>5</v>
      </c>
      <c r="D66" t="b">
        <f t="shared" ref="D66:D97" si="29">IF($A66="", "", C66=PPYB)</f>
        <v>0</v>
      </c>
      <c r="E66" s="7">
        <f t="shared" ref="E66:E97" si="30">IF($A66="","",IncB*(1+Inflation)^((B66 - YEAR(StartYear))))</f>
        <v>260223.88896484367</v>
      </c>
      <c r="F66" cm="1">
        <f t="array" ref="F66">IF($A66="", "", MRate(E66))</f>
        <v>0.47000000000000003</v>
      </c>
      <c r="G66" s="7">
        <f t="shared" ref="G66:G97" si="31">IF($A66="", "", AfterTaxB/(1-F66))</f>
        <v>9433.9622641509432</v>
      </c>
      <c r="H66" s="7">
        <f>IF($A66="", "", _xlfn.XLOOKUP($B66, YearlyParamsB!$A:$A, YearlyParamsB!$E:$E, 0))</f>
        <v>0</v>
      </c>
      <c r="I66" s="5">
        <f t="shared" ref="I66:I129" si="32">IF($A66="", "", E66*SGRate)</f>
        <v>31226.866675781239</v>
      </c>
      <c r="J66" s="5">
        <f>IFERROR(IF($A66="", "", _xlfn.XLOOKUP($B66, YearlyParamsB!$A:$A, YearlyParamsB!$I:$I, 0)), 0)</f>
        <v>6273.1333242187684</v>
      </c>
      <c r="K66" s="5">
        <f t="shared" si="25"/>
        <v>6273.1333242187684</v>
      </c>
      <c r="L66" s="5">
        <f t="shared" si="24"/>
        <v>2948.3726623828215</v>
      </c>
      <c r="M66" s="5">
        <f t="shared" si="11"/>
        <v>9433.9622641509432</v>
      </c>
      <c r="N66" s="5">
        <f t="shared" si="12"/>
        <v>0</v>
      </c>
      <c r="O66" s="7">
        <f t="shared" si="13"/>
        <v>0</v>
      </c>
      <c r="P66" s="7">
        <f t="shared" ref="P66:P97" si="33">IFERROR(IF($A66="", "", MIN(G66+L66/PPYB,N66)*F66 + MAX(0, MIN(G66+L66/PPYB,N66) - MIN(G66,N66))), 0)</f>
        <v>0</v>
      </c>
      <c r="Q66" s="7">
        <f t="shared" ref="Q66:Q97" si="34">IFERROR(IF($A66="", "", K66+MIN(G66+L66/PPYB,N66)), 0)</f>
        <v>6273.1333242187684</v>
      </c>
      <c r="R66" s="5">
        <f t="shared" si="14"/>
        <v>2948.3726623828215</v>
      </c>
      <c r="S66" s="5">
        <f t="shared" si="15"/>
        <v>93364.694252034984</v>
      </c>
      <c r="T66" s="5"/>
    </row>
    <row r="67" spans="1:20" x14ac:dyDescent="0.35">
      <c r="A67">
        <f t="shared" si="26"/>
        <v>66</v>
      </c>
      <c r="B67" s="13">
        <f t="shared" si="27"/>
        <v>2032</v>
      </c>
      <c r="C67">
        <f t="shared" si="28"/>
        <v>6</v>
      </c>
      <c r="D67" t="b">
        <f t="shared" si="29"/>
        <v>0</v>
      </c>
      <c r="E67" s="7">
        <f t="shared" si="30"/>
        <v>260223.88896484367</v>
      </c>
      <c r="F67" cm="1">
        <f t="array" ref="F67">IF($A67="", "", MRate(E67))</f>
        <v>0.47000000000000003</v>
      </c>
      <c r="G67" s="7">
        <f t="shared" si="31"/>
        <v>9433.9622641509432</v>
      </c>
      <c r="H67" s="7">
        <f>IF($A67="", "", _xlfn.XLOOKUP($B67, YearlyParamsB!$A:$A, YearlyParamsB!$E:$E, 0))</f>
        <v>0</v>
      </c>
      <c r="I67" s="5">
        <f t="shared" si="32"/>
        <v>31226.866675781239</v>
      </c>
      <c r="J67" s="5">
        <f>IFERROR(IF($A67="", "", _xlfn.XLOOKUP($B67, YearlyParamsB!$A:$A, YearlyParamsB!$I:$I, 0)), 0)</f>
        <v>6273.1333242187684</v>
      </c>
      <c r="K67" s="5">
        <f t="shared" si="25"/>
        <v>6273.1333242187684</v>
      </c>
      <c r="L67" s="5">
        <f t="shared" ref="L67:L98" si="35">IFERROR(IF($A66="","",IF(B67&lt;&gt;B66, 0, L66 + MIN(G66+L66/PPYB, J66-K66)*F66)), 0)</f>
        <v>2948.3726623828215</v>
      </c>
      <c r="M67" s="5">
        <f t="shared" si="11"/>
        <v>9433.9622641509432</v>
      </c>
      <c r="N67" s="5">
        <f t="shared" si="12"/>
        <v>0</v>
      </c>
      <c r="O67" s="7">
        <f t="shared" si="13"/>
        <v>0</v>
      </c>
      <c r="P67" s="7">
        <f t="shared" si="33"/>
        <v>0</v>
      </c>
      <c r="Q67" s="7">
        <f t="shared" si="34"/>
        <v>6273.1333242187684</v>
      </c>
      <c r="R67" s="5">
        <f t="shared" si="14"/>
        <v>2948.3726623828215</v>
      </c>
      <c r="S67" s="5">
        <f t="shared" si="15"/>
        <v>93364.694252034984</v>
      </c>
      <c r="T67" s="5"/>
    </row>
    <row r="68" spans="1:20" x14ac:dyDescent="0.35">
      <c r="A68">
        <f t="shared" si="26"/>
        <v>67</v>
      </c>
      <c r="B68" s="13">
        <f t="shared" si="27"/>
        <v>2032</v>
      </c>
      <c r="C68">
        <f t="shared" si="28"/>
        <v>7</v>
      </c>
      <c r="D68" t="b">
        <f t="shared" si="29"/>
        <v>0</v>
      </c>
      <c r="E68" s="7">
        <f t="shared" si="30"/>
        <v>260223.88896484367</v>
      </c>
      <c r="F68" cm="1">
        <f t="array" ref="F68">IF($A68="", "", MRate(E68))</f>
        <v>0.47000000000000003</v>
      </c>
      <c r="G68" s="7">
        <f t="shared" si="31"/>
        <v>9433.9622641509432</v>
      </c>
      <c r="H68" s="7">
        <f>IF($A68="", "", _xlfn.XLOOKUP($B68, YearlyParamsB!$A:$A, YearlyParamsB!$E:$E, 0))</f>
        <v>0</v>
      </c>
      <c r="I68" s="5">
        <f t="shared" si="32"/>
        <v>31226.866675781239</v>
      </c>
      <c r="J68" s="5">
        <f>IFERROR(IF($A68="", "", _xlfn.XLOOKUP($B68, YearlyParamsB!$A:$A, YearlyParamsB!$I:$I, 0)), 0)</f>
        <v>6273.1333242187684</v>
      </c>
      <c r="K68" s="5">
        <f t="shared" si="25"/>
        <v>6273.1333242187684</v>
      </c>
      <c r="L68" s="5">
        <f t="shared" si="35"/>
        <v>2948.3726623828215</v>
      </c>
      <c r="M68" s="5">
        <f t="shared" ref="M68:M131" si="36">IF($A68="", "", G68)</f>
        <v>9433.9622641509432</v>
      </c>
      <c r="N68" s="5">
        <f t="shared" ref="N68:N131" si="37">IFERROR(IF($A68="", "", J68-K68), 0)</f>
        <v>0</v>
      </c>
      <c r="O68" s="7">
        <f t="shared" ref="O68:O131" si="38">IFERROR(IF($A68="", "", MIN(G68,N68)), 0)</f>
        <v>0</v>
      </c>
      <c r="P68" s="7">
        <f t="shared" si="33"/>
        <v>0</v>
      </c>
      <c r="Q68" s="7">
        <f t="shared" si="34"/>
        <v>6273.1333242187684</v>
      </c>
      <c r="R68" s="5">
        <f t="shared" ref="R68:R121" si="39">IFERROR(IF($A67="", "", IF(B68&lt;&gt;B67,P68,R67+P68)), 0)</f>
        <v>2948.3726623828215</v>
      </c>
      <c r="S68" s="5">
        <f t="shared" si="15"/>
        <v>93364.694252034984</v>
      </c>
      <c r="T68" s="5"/>
    </row>
    <row r="69" spans="1:20" x14ac:dyDescent="0.35">
      <c r="A69">
        <f t="shared" si="26"/>
        <v>68</v>
      </c>
      <c r="B69" s="13">
        <f t="shared" si="27"/>
        <v>2032</v>
      </c>
      <c r="C69">
        <f t="shared" si="28"/>
        <v>8</v>
      </c>
      <c r="D69" t="b">
        <f t="shared" si="29"/>
        <v>0</v>
      </c>
      <c r="E69" s="7">
        <f t="shared" si="30"/>
        <v>260223.88896484367</v>
      </c>
      <c r="F69" cm="1">
        <f t="array" ref="F69">IF($A69="", "", MRate(E69))</f>
        <v>0.47000000000000003</v>
      </c>
      <c r="G69" s="7">
        <f t="shared" si="31"/>
        <v>9433.9622641509432</v>
      </c>
      <c r="H69" s="7">
        <f>IF($A69="", "", _xlfn.XLOOKUP($B69, YearlyParamsB!$A:$A, YearlyParamsB!$E:$E, 0))</f>
        <v>0</v>
      </c>
      <c r="I69" s="5">
        <f t="shared" si="32"/>
        <v>31226.866675781239</v>
      </c>
      <c r="J69" s="5">
        <f>IFERROR(IF($A69="", "", _xlfn.XLOOKUP($B69, YearlyParamsB!$A:$A, YearlyParamsB!$I:$I, 0)), 0)</f>
        <v>6273.1333242187684</v>
      </c>
      <c r="K69" s="5">
        <f t="shared" si="25"/>
        <v>6273.1333242187684</v>
      </c>
      <c r="L69" s="5">
        <f t="shared" si="35"/>
        <v>2948.3726623828215</v>
      </c>
      <c r="M69" s="5">
        <f t="shared" si="36"/>
        <v>9433.9622641509432</v>
      </c>
      <c r="N69" s="5">
        <f t="shared" si="37"/>
        <v>0</v>
      </c>
      <c r="O69" s="7">
        <f t="shared" si="38"/>
        <v>0</v>
      </c>
      <c r="P69" s="7">
        <f t="shared" si="33"/>
        <v>0</v>
      </c>
      <c r="Q69" s="7">
        <f t="shared" si="34"/>
        <v>6273.1333242187684</v>
      </c>
      <c r="R69" s="5">
        <f t="shared" si="39"/>
        <v>2948.3726623828215</v>
      </c>
      <c r="S69" s="5">
        <f t="shared" ref="S69:S132" si="40">IFERROR(IF($A69="", "", S68+P69), 0)</f>
        <v>93364.694252034984</v>
      </c>
      <c r="T69" s="5"/>
    </row>
    <row r="70" spans="1:20" x14ac:dyDescent="0.35">
      <c r="A70">
        <f t="shared" si="26"/>
        <v>69</v>
      </c>
      <c r="B70" s="13">
        <f t="shared" si="27"/>
        <v>2032</v>
      </c>
      <c r="C70">
        <f t="shared" si="28"/>
        <v>9</v>
      </c>
      <c r="D70" t="b">
        <f t="shared" si="29"/>
        <v>0</v>
      </c>
      <c r="E70" s="7">
        <f t="shared" si="30"/>
        <v>260223.88896484367</v>
      </c>
      <c r="F70" cm="1">
        <f t="array" ref="F70">IF($A70="", "", MRate(E70))</f>
        <v>0.47000000000000003</v>
      </c>
      <c r="G70" s="7">
        <f t="shared" si="31"/>
        <v>9433.9622641509432</v>
      </c>
      <c r="H70" s="7">
        <f>IF($A70="", "", _xlfn.XLOOKUP($B70, YearlyParamsB!$A:$A, YearlyParamsB!$E:$E, 0))</f>
        <v>0</v>
      </c>
      <c r="I70" s="5">
        <f t="shared" si="32"/>
        <v>31226.866675781239</v>
      </c>
      <c r="J70" s="5">
        <f>IFERROR(IF($A70="", "", _xlfn.XLOOKUP($B70, YearlyParamsB!$A:$A, YearlyParamsB!$I:$I, 0)), 0)</f>
        <v>6273.1333242187684</v>
      </c>
      <c r="K70" s="5">
        <f t="shared" si="25"/>
        <v>6273.1333242187684</v>
      </c>
      <c r="L70" s="5">
        <f t="shared" si="35"/>
        <v>2948.3726623828215</v>
      </c>
      <c r="M70" s="5">
        <f t="shared" si="36"/>
        <v>9433.9622641509432</v>
      </c>
      <c r="N70" s="5">
        <f t="shared" si="37"/>
        <v>0</v>
      </c>
      <c r="O70" s="7">
        <f t="shared" si="38"/>
        <v>0</v>
      </c>
      <c r="P70" s="7">
        <f t="shared" si="33"/>
        <v>0</v>
      </c>
      <c r="Q70" s="7">
        <f t="shared" si="34"/>
        <v>6273.1333242187684</v>
      </c>
      <c r="R70" s="5">
        <f t="shared" si="39"/>
        <v>2948.3726623828215</v>
      </c>
      <c r="S70" s="5">
        <f t="shared" si="40"/>
        <v>93364.694252034984</v>
      </c>
      <c r="T70" s="5"/>
    </row>
    <row r="71" spans="1:20" x14ac:dyDescent="0.35">
      <c r="A71">
        <f t="shared" si="26"/>
        <v>70</v>
      </c>
      <c r="B71" s="13">
        <f t="shared" si="27"/>
        <v>2032</v>
      </c>
      <c r="C71">
        <f t="shared" si="28"/>
        <v>10</v>
      </c>
      <c r="D71" t="b">
        <f t="shared" si="29"/>
        <v>0</v>
      </c>
      <c r="E71" s="7">
        <f t="shared" si="30"/>
        <v>260223.88896484367</v>
      </c>
      <c r="F71" cm="1">
        <f t="array" ref="F71">IF($A71="", "", MRate(E71))</f>
        <v>0.47000000000000003</v>
      </c>
      <c r="G71" s="7">
        <f t="shared" si="31"/>
        <v>9433.9622641509432</v>
      </c>
      <c r="H71" s="7">
        <f>IF($A71="", "", _xlfn.XLOOKUP($B71, YearlyParamsB!$A:$A, YearlyParamsB!$E:$E, 0))</f>
        <v>0</v>
      </c>
      <c r="I71" s="5">
        <f t="shared" si="32"/>
        <v>31226.866675781239</v>
      </c>
      <c r="J71" s="5">
        <f>IFERROR(IF($A71="", "", _xlfn.XLOOKUP($B71, YearlyParamsB!$A:$A, YearlyParamsB!$I:$I, 0)), 0)</f>
        <v>6273.1333242187684</v>
      </c>
      <c r="K71" s="5">
        <f t="shared" si="25"/>
        <v>6273.1333242187684</v>
      </c>
      <c r="L71" s="5">
        <f t="shared" si="35"/>
        <v>2948.3726623828215</v>
      </c>
      <c r="M71" s="5">
        <f t="shared" si="36"/>
        <v>9433.9622641509432</v>
      </c>
      <c r="N71" s="5">
        <f t="shared" si="37"/>
        <v>0</v>
      </c>
      <c r="O71" s="7">
        <f t="shared" si="38"/>
        <v>0</v>
      </c>
      <c r="P71" s="7">
        <f t="shared" si="33"/>
        <v>0</v>
      </c>
      <c r="Q71" s="7">
        <f t="shared" si="34"/>
        <v>6273.1333242187684</v>
      </c>
      <c r="R71" s="5">
        <f t="shared" si="39"/>
        <v>2948.3726623828215</v>
      </c>
      <c r="S71" s="5">
        <f t="shared" si="40"/>
        <v>93364.694252034984</v>
      </c>
      <c r="T71" s="5"/>
    </row>
    <row r="72" spans="1:20" x14ac:dyDescent="0.35">
      <c r="A72">
        <f t="shared" si="26"/>
        <v>71</v>
      </c>
      <c r="B72" s="13">
        <f t="shared" si="27"/>
        <v>2032</v>
      </c>
      <c r="C72">
        <f t="shared" si="28"/>
        <v>11</v>
      </c>
      <c r="D72" t="b">
        <f t="shared" si="29"/>
        <v>0</v>
      </c>
      <c r="E72" s="7">
        <f t="shared" si="30"/>
        <v>260223.88896484367</v>
      </c>
      <c r="F72" cm="1">
        <f t="array" ref="F72">IF($A72="", "", MRate(E72))</f>
        <v>0.47000000000000003</v>
      </c>
      <c r="G72" s="7">
        <f t="shared" si="31"/>
        <v>9433.9622641509432</v>
      </c>
      <c r="H72" s="7">
        <f>IF($A72="", "", _xlfn.XLOOKUP($B72, YearlyParamsB!$A:$A, YearlyParamsB!$E:$E, 0))</f>
        <v>0</v>
      </c>
      <c r="I72" s="5">
        <f t="shared" si="32"/>
        <v>31226.866675781239</v>
      </c>
      <c r="J72" s="5">
        <f>IFERROR(IF($A72="", "", _xlfn.XLOOKUP($B72, YearlyParamsB!$A:$A, YearlyParamsB!$I:$I, 0)), 0)</f>
        <v>6273.1333242187684</v>
      </c>
      <c r="K72" s="5">
        <f t="shared" si="25"/>
        <v>6273.1333242187684</v>
      </c>
      <c r="L72" s="5">
        <f t="shared" si="35"/>
        <v>2948.3726623828215</v>
      </c>
      <c r="M72" s="5">
        <f t="shared" si="36"/>
        <v>9433.9622641509432</v>
      </c>
      <c r="N72" s="5">
        <f t="shared" si="37"/>
        <v>0</v>
      </c>
      <c r="O72" s="7">
        <f t="shared" si="38"/>
        <v>0</v>
      </c>
      <c r="P72" s="7">
        <f t="shared" si="33"/>
        <v>0</v>
      </c>
      <c r="Q72" s="7">
        <f t="shared" si="34"/>
        <v>6273.1333242187684</v>
      </c>
      <c r="R72" s="5">
        <f t="shared" si="39"/>
        <v>2948.3726623828215</v>
      </c>
      <c r="S72" s="5">
        <f t="shared" si="40"/>
        <v>93364.694252034984</v>
      </c>
      <c r="T72" s="5"/>
    </row>
    <row r="73" spans="1:20" x14ac:dyDescent="0.35">
      <c r="A73">
        <f t="shared" si="26"/>
        <v>72</v>
      </c>
      <c r="B73" s="13">
        <f t="shared" si="27"/>
        <v>2032</v>
      </c>
      <c r="C73">
        <f t="shared" si="28"/>
        <v>12</v>
      </c>
      <c r="D73" t="b">
        <f t="shared" si="29"/>
        <v>1</v>
      </c>
      <c r="E73" s="7">
        <f t="shared" si="30"/>
        <v>260223.88896484367</v>
      </c>
      <c r="F73" cm="1">
        <f t="array" ref="F73">IF($A73="", "", MRate(E73))</f>
        <v>0.47000000000000003</v>
      </c>
      <c r="G73" s="7">
        <f t="shared" si="31"/>
        <v>9433.9622641509432</v>
      </c>
      <c r="H73" s="7">
        <f>IF($A73="", "", _xlfn.XLOOKUP($B73, YearlyParamsB!$A:$A, YearlyParamsB!$E:$E, 0))</f>
        <v>0</v>
      </c>
      <c r="I73" s="5">
        <f t="shared" si="32"/>
        <v>31226.866675781239</v>
      </c>
      <c r="J73" s="5">
        <f>IFERROR(IF($A73="", "", _xlfn.XLOOKUP($B73, YearlyParamsB!$A:$A, YearlyParamsB!$I:$I, 0)), 0)</f>
        <v>6273.1333242187684</v>
      </c>
      <c r="K73" s="5">
        <f t="shared" si="25"/>
        <v>6273.1333242187684</v>
      </c>
      <c r="L73" s="5">
        <f t="shared" si="35"/>
        <v>2948.3726623828215</v>
      </c>
      <c r="M73" s="5">
        <f t="shared" si="36"/>
        <v>9433.9622641509432</v>
      </c>
      <c r="N73" s="5">
        <f t="shared" si="37"/>
        <v>0</v>
      </c>
      <c r="O73" s="7">
        <f t="shared" si="38"/>
        <v>0</v>
      </c>
      <c r="P73" s="7">
        <f t="shared" si="33"/>
        <v>0</v>
      </c>
      <c r="Q73" s="7">
        <f t="shared" si="34"/>
        <v>6273.1333242187684</v>
      </c>
      <c r="R73" s="5">
        <f t="shared" si="39"/>
        <v>2948.3726623828215</v>
      </c>
      <c r="S73" s="5">
        <f t="shared" si="40"/>
        <v>93364.694252034984</v>
      </c>
      <c r="T73" s="5"/>
    </row>
    <row r="74" spans="1:20" x14ac:dyDescent="0.35">
      <c r="A74">
        <f t="shared" si="26"/>
        <v>73</v>
      </c>
      <c r="B74" s="13">
        <f t="shared" si="27"/>
        <v>2033</v>
      </c>
      <c r="C74">
        <f t="shared" si="28"/>
        <v>1</v>
      </c>
      <c r="D74" t="b">
        <f t="shared" si="29"/>
        <v>0</v>
      </c>
      <c r="E74" s="7">
        <f t="shared" si="30"/>
        <v>266729.48618896474</v>
      </c>
      <c r="F74" cm="1">
        <f t="array" ref="F74">IF($A74="", "", MRate(E74))</f>
        <v>0.47000000000000003</v>
      </c>
      <c r="G74" s="7">
        <f t="shared" si="31"/>
        <v>9433.9622641509432</v>
      </c>
      <c r="H74" s="7">
        <f>IF($A74="", "", _xlfn.XLOOKUP($B74, YearlyParamsB!$A:$A, YearlyParamsB!$E:$E, 0))</f>
        <v>0</v>
      </c>
      <c r="I74" s="5">
        <f t="shared" si="32"/>
        <v>32007.538342675769</v>
      </c>
      <c r="J74" s="5">
        <f>IFERROR(IF($A74="", "", _xlfn.XLOOKUP($B74, YearlyParamsB!$A:$A, YearlyParamsB!$I:$I, 0)), 0)</f>
        <v>7992.4616573242383</v>
      </c>
      <c r="K74" s="5">
        <f t="shared" si="25"/>
        <v>0</v>
      </c>
      <c r="L74" s="5">
        <f t="shared" si="35"/>
        <v>0</v>
      </c>
      <c r="M74" s="5">
        <f t="shared" si="36"/>
        <v>9433.9622641509432</v>
      </c>
      <c r="N74" s="5">
        <f t="shared" si="37"/>
        <v>7992.4616573242383</v>
      </c>
      <c r="O74" s="7">
        <f t="shared" si="38"/>
        <v>7992.4616573242383</v>
      </c>
      <c r="P74" s="7">
        <f t="shared" si="33"/>
        <v>3756.4569789423922</v>
      </c>
      <c r="Q74" s="7">
        <f t="shared" si="34"/>
        <v>7992.4616573242383</v>
      </c>
      <c r="R74" s="5">
        <f t="shared" si="39"/>
        <v>3756.4569789423922</v>
      </c>
      <c r="S74" s="5">
        <f t="shared" si="40"/>
        <v>97121.151230977383</v>
      </c>
      <c r="T74" s="5"/>
    </row>
    <row r="75" spans="1:20" x14ac:dyDescent="0.35">
      <c r="A75">
        <f t="shared" si="26"/>
        <v>74</v>
      </c>
      <c r="B75" s="13">
        <f t="shared" si="27"/>
        <v>2033</v>
      </c>
      <c r="C75">
        <f t="shared" si="28"/>
        <v>2</v>
      </c>
      <c r="D75" t="b">
        <f t="shared" si="29"/>
        <v>0</v>
      </c>
      <c r="E75" s="7">
        <f t="shared" si="30"/>
        <v>266729.48618896474</v>
      </c>
      <c r="F75" cm="1">
        <f t="array" ref="F75">IF($A75="", "", MRate(E75))</f>
        <v>0.47000000000000003</v>
      </c>
      <c r="G75" s="7">
        <f t="shared" si="31"/>
        <v>9433.9622641509432</v>
      </c>
      <c r="H75" s="7">
        <f>IF($A75="", "", _xlfn.XLOOKUP($B75, YearlyParamsB!$A:$A, YearlyParamsB!$E:$E, 0))</f>
        <v>0</v>
      </c>
      <c r="I75" s="5">
        <f t="shared" si="32"/>
        <v>32007.538342675769</v>
      </c>
      <c r="J75" s="5">
        <f>IFERROR(IF($A75="", "", _xlfn.XLOOKUP($B75, YearlyParamsB!$A:$A, YearlyParamsB!$I:$I, 0)), 0)</f>
        <v>7992.4616573242383</v>
      </c>
      <c r="K75" s="5">
        <f t="shared" si="25"/>
        <v>7992.4616573242383</v>
      </c>
      <c r="L75" s="5">
        <f t="shared" si="35"/>
        <v>3756.4569789423922</v>
      </c>
      <c r="M75" s="5">
        <f t="shared" si="36"/>
        <v>9433.9622641509432</v>
      </c>
      <c r="N75" s="5">
        <f t="shared" si="37"/>
        <v>0</v>
      </c>
      <c r="O75" s="7">
        <f t="shared" si="38"/>
        <v>0</v>
      </c>
      <c r="P75" s="7">
        <f t="shared" si="33"/>
        <v>0</v>
      </c>
      <c r="Q75" s="7">
        <f t="shared" si="34"/>
        <v>7992.4616573242383</v>
      </c>
      <c r="R75" s="5">
        <f t="shared" si="39"/>
        <v>3756.4569789423922</v>
      </c>
      <c r="S75" s="5">
        <f t="shared" si="40"/>
        <v>97121.151230977383</v>
      </c>
      <c r="T75" s="5"/>
    </row>
    <row r="76" spans="1:20" x14ac:dyDescent="0.35">
      <c r="A76">
        <f t="shared" si="26"/>
        <v>75</v>
      </c>
      <c r="B76" s="13">
        <f t="shared" si="27"/>
        <v>2033</v>
      </c>
      <c r="C76">
        <f t="shared" si="28"/>
        <v>3</v>
      </c>
      <c r="D76" t="b">
        <f t="shared" si="29"/>
        <v>0</v>
      </c>
      <c r="E76" s="7">
        <f t="shared" si="30"/>
        <v>266729.48618896474</v>
      </c>
      <c r="F76" cm="1">
        <f t="array" ref="F76">IF($A76="", "", MRate(E76))</f>
        <v>0.47000000000000003</v>
      </c>
      <c r="G76" s="7">
        <f t="shared" si="31"/>
        <v>9433.9622641509432</v>
      </c>
      <c r="H76" s="7">
        <f>IF($A76="", "", _xlfn.XLOOKUP($B76, YearlyParamsB!$A:$A, YearlyParamsB!$E:$E, 0))</f>
        <v>0</v>
      </c>
      <c r="I76" s="5">
        <f t="shared" si="32"/>
        <v>32007.538342675769</v>
      </c>
      <c r="J76" s="5">
        <f>IFERROR(IF($A76="", "", _xlfn.XLOOKUP($B76, YearlyParamsB!$A:$A, YearlyParamsB!$I:$I, 0)), 0)</f>
        <v>7992.4616573242383</v>
      </c>
      <c r="K76" s="5">
        <f t="shared" si="25"/>
        <v>7992.4616573242383</v>
      </c>
      <c r="L76" s="5">
        <f t="shared" si="35"/>
        <v>3756.4569789423922</v>
      </c>
      <c r="M76" s="5">
        <f t="shared" si="36"/>
        <v>9433.9622641509432</v>
      </c>
      <c r="N76" s="5">
        <f t="shared" si="37"/>
        <v>0</v>
      </c>
      <c r="O76" s="7">
        <f t="shared" si="38"/>
        <v>0</v>
      </c>
      <c r="P76" s="7">
        <f t="shared" si="33"/>
        <v>0</v>
      </c>
      <c r="Q76" s="7">
        <f t="shared" si="34"/>
        <v>7992.4616573242383</v>
      </c>
      <c r="R76" s="5">
        <f t="shared" si="39"/>
        <v>3756.4569789423922</v>
      </c>
      <c r="S76" s="5">
        <f t="shared" si="40"/>
        <v>97121.151230977383</v>
      </c>
      <c r="T76" s="5"/>
    </row>
    <row r="77" spans="1:20" x14ac:dyDescent="0.35">
      <c r="A77">
        <f t="shared" si="26"/>
        <v>76</v>
      </c>
      <c r="B77" s="13">
        <f t="shared" si="27"/>
        <v>2033</v>
      </c>
      <c r="C77">
        <f t="shared" si="28"/>
        <v>4</v>
      </c>
      <c r="D77" t="b">
        <f t="shared" si="29"/>
        <v>0</v>
      </c>
      <c r="E77" s="7">
        <f t="shared" si="30"/>
        <v>266729.48618896474</v>
      </c>
      <c r="F77" cm="1">
        <f t="array" ref="F77">IF($A77="", "", MRate(E77))</f>
        <v>0.47000000000000003</v>
      </c>
      <c r="G77" s="7">
        <f t="shared" si="31"/>
        <v>9433.9622641509432</v>
      </c>
      <c r="H77" s="7">
        <f>IF($A77="", "", _xlfn.XLOOKUP($B77, YearlyParamsB!$A:$A, YearlyParamsB!$E:$E, 0))</f>
        <v>0</v>
      </c>
      <c r="I77" s="5">
        <f t="shared" si="32"/>
        <v>32007.538342675769</v>
      </c>
      <c r="J77" s="5">
        <f>IFERROR(IF($A77="", "", _xlfn.XLOOKUP($B77, YearlyParamsB!$A:$A, YearlyParamsB!$I:$I, 0)), 0)</f>
        <v>7992.4616573242383</v>
      </c>
      <c r="K77" s="5">
        <f t="shared" si="25"/>
        <v>7992.4616573242383</v>
      </c>
      <c r="L77" s="5">
        <f t="shared" si="35"/>
        <v>3756.4569789423922</v>
      </c>
      <c r="M77" s="5">
        <f t="shared" si="36"/>
        <v>9433.9622641509432</v>
      </c>
      <c r="N77" s="5">
        <f t="shared" si="37"/>
        <v>0</v>
      </c>
      <c r="O77" s="7">
        <f t="shared" si="38"/>
        <v>0</v>
      </c>
      <c r="P77" s="7">
        <f t="shared" si="33"/>
        <v>0</v>
      </c>
      <c r="Q77" s="7">
        <f t="shared" si="34"/>
        <v>7992.4616573242383</v>
      </c>
      <c r="R77" s="5">
        <f t="shared" si="39"/>
        <v>3756.4569789423922</v>
      </c>
      <c r="S77" s="5">
        <f t="shared" si="40"/>
        <v>97121.151230977383</v>
      </c>
      <c r="T77" s="5"/>
    </row>
    <row r="78" spans="1:20" x14ac:dyDescent="0.35">
      <c r="A78">
        <f t="shared" si="26"/>
        <v>77</v>
      </c>
      <c r="B78" s="13">
        <f t="shared" si="27"/>
        <v>2033</v>
      </c>
      <c r="C78">
        <f t="shared" si="28"/>
        <v>5</v>
      </c>
      <c r="D78" t="b">
        <f t="shared" si="29"/>
        <v>0</v>
      </c>
      <c r="E78" s="7">
        <f t="shared" si="30"/>
        <v>266729.48618896474</v>
      </c>
      <c r="F78" cm="1">
        <f t="array" ref="F78">IF($A78="", "", MRate(E78))</f>
        <v>0.47000000000000003</v>
      </c>
      <c r="G78" s="7">
        <f t="shared" si="31"/>
        <v>9433.9622641509432</v>
      </c>
      <c r="H78" s="7">
        <f>IF($A78="", "", _xlfn.XLOOKUP($B78, YearlyParamsB!$A:$A, YearlyParamsB!$E:$E, 0))</f>
        <v>0</v>
      </c>
      <c r="I78" s="5">
        <f t="shared" si="32"/>
        <v>32007.538342675769</v>
      </c>
      <c r="J78" s="5">
        <f>IFERROR(IF($A78="", "", _xlfn.XLOOKUP($B78, YearlyParamsB!$A:$A, YearlyParamsB!$I:$I, 0)), 0)</f>
        <v>7992.4616573242383</v>
      </c>
      <c r="K78" s="5">
        <f t="shared" si="25"/>
        <v>7992.4616573242383</v>
      </c>
      <c r="L78" s="5">
        <f t="shared" si="35"/>
        <v>3756.4569789423922</v>
      </c>
      <c r="M78" s="5">
        <f t="shared" si="36"/>
        <v>9433.9622641509432</v>
      </c>
      <c r="N78" s="5">
        <f t="shared" si="37"/>
        <v>0</v>
      </c>
      <c r="O78" s="7">
        <f t="shared" si="38"/>
        <v>0</v>
      </c>
      <c r="P78" s="7">
        <f t="shared" si="33"/>
        <v>0</v>
      </c>
      <c r="Q78" s="7">
        <f t="shared" si="34"/>
        <v>7992.4616573242383</v>
      </c>
      <c r="R78" s="5">
        <f t="shared" si="39"/>
        <v>3756.4569789423922</v>
      </c>
      <c r="S78" s="5">
        <f t="shared" si="40"/>
        <v>97121.151230977383</v>
      </c>
      <c r="T78" s="5"/>
    </row>
    <row r="79" spans="1:20" x14ac:dyDescent="0.35">
      <c r="A79">
        <f t="shared" si="26"/>
        <v>78</v>
      </c>
      <c r="B79" s="13">
        <f t="shared" si="27"/>
        <v>2033</v>
      </c>
      <c r="C79">
        <f t="shared" si="28"/>
        <v>6</v>
      </c>
      <c r="D79" t="b">
        <f t="shared" si="29"/>
        <v>0</v>
      </c>
      <c r="E79" s="7">
        <f t="shared" si="30"/>
        <v>266729.48618896474</v>
      </c>
      <c r="F79" cm="1">
        <f t="array" ref="F79">IF($A79="", "", MRate(E79))</f>
        <v>0.47000000000000003</v>
      </c>
      <c r="G79" s="7">
        <f t="shared" si="31"/>
        <v>9433.9622641509432</v>
      </c>
      <c r="H79" s="7">
        <f>IF($A79="", "", _xlfn.XLOOKUP($B79, YearlyParamsB!$A:$A, YearlyParamsB!$E:$E, 0))</f>
        <v>0</v>
      </c>
      <c r="I79" s="5">
        <f t="shared" si="32"/>
        <v>32007.538342675769</v>
      </c>
      <c r="J79" s="5">
        <f>IFERROR(IF($A79="", "", _xlfn.XLOOKUP($B79, YearlyParamsB!$A:$A, YearlyParamsB!$I:$I, 0)), 0)</f>
        <v>7992.4616573242383</v>
      </c>
      <c r="K79" s="5">
        <f t="shared" si="25"/>
        <v>7992.4616573242383</v>
      </c>
      <c r="L79" s="5">
        <f t="shared" si="35"/>
        <v>3756.4569789423922</v>
      </c>
      <c r="M79" s="5">
        <f t="shared" si="36"/>
        <v>9433.9622641509432</v>
      </c>
      <c r="N79" s="5">
        <f t="shared" si="37"/>
        <v>0</v>
      </c>
      <c r="O79" s="7">
        <f t="shared" si="38"/>
        <v>0</v>
      </c>
      <c r="P79" s="7">
        <f t="shared" si="33"/>
        <v>0</v>
      </c>
      <c r="Q79" s="7">
        <f t="shared" si="34"/>
        <v>7992.4616573242383</v>
      </c>
      <c r="R79" s="5">
        <f t="shared" si="39"/>
        <v>3756.4569789423922</v>
      </c>
      <c r="S79" s="5">
        <f t="shared" si="40"/>
        <v>97121.151230977383</v>
      </c>
      <c r="T79" s="5"/>
    </row>
    <row r="80" spans="1:20" x14ac:dyDescent="0.35">
      <c r="A80">
        <f t="shared" si="26"/>
        <v>79</v>
      </c>
      <c r="B80" s="13">
        <f t="shared" si="27"/>
        <v>2033</v>
      </c>
      <c r="C80">
        <f t="shared" si="28"/>
        <v>7</v>
      </c>
      <c r="D80" t="b">
        <f t="shared" si="29"/>
        <v>0</v>
      </c>
      <c r="E80" s="7">
        <f t="shared" si="30"/>
        <v>266729.48618896474</v>
      </c>
      <c r="F80" cm="1">
        <f t="array" ref="F80">IF($A80="", "", MRate(E80))</f>
        <v>0.47000000000000003</v>
      </c>
      <c r="G80" s="7">
        <f t="shared" si="31"/>
        <v>9433.9622641509432</v>
      </c>
      <c r="H80" s="7">
        <f>IF($A80="", "", _xlfn.XLOOKUP($B80, YearlyParamsB!$A:$A, YearlyParamsB!$E:$E, 0))</f>
        <v>0</v>
      </c>
      <c r="I80" s="5">
        <f t="shared" si="32"/>
        <v>32007.538342675769</v>
      </c>
      <c r="J80" s="5">
        <f>IFERROR(IF($A80="", "", _xlfn.XLOOKUP($B80, YearlyParamsB!$A:$A, YearlyParamsB!$I:$I, 0)), 0)</f>
        <v>7992.4616573242383</v>
      </c>
      <c r="K80" s="5">
        <f t="shared" si="25"/>
        <v>7992.4616573242383</v>
      </c>
      <c r="L80" s="5">
        <f t="shared" si="35"/>
        <v>3756.4569789423922</v>
      </c>
      <c r="M80" s="5">
        <f t="shared" si="36"/>
        <v>9433.9622641509432</v>
      </c>
      <c r="N80" s="5">
        <f t="shared" si="37"/>
        <v>0</v>
      </c>
      <c r="O80" s="7">
        <f t="shared" si="38"/>
        <v>0</v>
      </c>
      <c r="P80" s="7">
        <f t="shared" si="33"/>
        <v>0</v>
      </c>
      <c r="Q80" s="7">
        <f t="shared" si="34"/>
        <v>7992.4616573242383</v>
      </c>
      <c r="R80" s="5">
        <f t="shared" si="39"/>
        <v>3756.4569789423922</v>
      </c>
      <c r="S80" s="5">
        <f t="shared" si="40"/>
        <v>97121.151230977383</v>
      </c>
      <c r="T80" s="5"/>
    </row>
    <row r="81" spans="1:20" x14ac:dyDescent="0.35">
      <c r="A81">
        <f t="shared" si="26"/>
        <v>80</v>
      </c>
      <c r="B81" s="13">
        <f t="shared" si="27"/>
        <v>2033</v>
      </c>
      <c r="C81">
        <f t="shared" si="28"/>
        <v>8</v>
      </c>
      <c r="D81" t="b">
        <f t="shared" si="29"/>
        <v>0</v>
      </c>
      <c r="E81" s="7">
        <f t="shared" si="30"/>
        <v>266729.48618896474</v>
      </c>
      <c r="F81" cm="1">
        <f t="array" ref="F81">IF($A81="", "", MRate(E81))</f>
        <v>0.47000000000000003</v>
      </c>
      <c r="G81" s="7">
        <f t="shared" si="31"/>
        <v>9433.9622641509432</v>
      </c>
      <c r="H81" s="7">
        <f>IF($A81="", "", _xlfn.XLOOKUP($B81, YearlyParamsB!$A:$A, YearlyParamsB!$E:$E, 0))</f>
        <v>0</v>
      </c>
      <c r="I81" s="5">
        <f t="shared" si="32"/>
        <v>32007.538342675769</v>
      </c>
      <c r="J81" s="5">
        <f>IFERROR(IF($A81="", "", _xlfn.XLOOKUP($B81, YearlyParamsB!$A:$A, YearlyParamsB!$I:$I, 0)), 0)</f>
        <v>7992.4616573242383</v>
      </c>
      <c r="K81" s="5">
        <f t="shared" si="25"/>
        <v>7992.4616573242383</v>
      </c>
      <c r="L81" s="5">
        <f t="shared" si="35"/>
        <v>3756.4569789423922</v>
      </c>
      <c r="M81" s="5">
        <f t="shared" si="36"/>
        <v>9433.9622641509432</v>
      </c>
      <c r="N81" s="5">
        <f t="shared" si="37"/>
        <v>0</v>
      </c>
      <c r="O81" s="7">
        <f t="shared" si="38"/>
        <v>0</v>
      </c>
      <c r="P81" s="7">
        <f t="shared" si="33"/>
        <v>0</v>
      </c>
      <c r="Q81" s="7">
        <f t="shared" si="34"/>
        <v>7992.4616573242383</v>
      </c>
      <c r="R81" s="5">
        <f t="shared" si="39"/>
        <v>3756.4569789423922</v>
      </c>
      <c r="S81" s="5">
        <f t="shared" si="40"/>
        <v>97121.151230977383</v>
      </c>
      <c r="T81" s="5"/>
    </row>
    <row r="82" spans="1:20" x14ac:dyDescent="0.35">
      <c r="A82">
        <f t="shared" si="26"/>
        <v>81</v>
      </c>
      <c r="B82" s="13">
        <f t="shared" si="27"/>
        <v>2033</v>
      </c>
      <c r="C82">
        <f t="shared" si="28"/>
        <v>9</v>
      </c>
      <c r="D82" t="b">
        <f t="shared" si="29"/>
        <v>0</v>
      </c>
      <c r="E82" s="7">
        <f t="shared" si="30"/>
        <v>266729.48618896474</v>
      </c>
      <c r="F82" cm="1">
        <f t="array" ref="F82">IF($A82="", "", MRate(E82))</f>
        <v>0.47000000000000003</v>
      </c>
      <c r="G82" s="7">
        <f t="shared" si="31"/>
        <v>9433.9622641509432</v>
      </c>
      <c r="H82" s="7">
        <f>IF($A82="", "", _xlfn.XLOOKUP($B82, YearlyParamsB!$A:$A, YearlyParamsB!$E:$E, 0))</f>
        <v>0</v>
      </c>
      <c r="I82" s="5">
        <f t="shared" si="32"/>
        <v>32007.538342675769</v>
      </c>
      <c r="J82" s="5">
        <f>IFERROR(IF($A82="", "", _xlfn.XLOOKUP($B82, YearlyParamsB!$A:$A, YearlyParamsB!$I:$I, 0)), 0)</f>
        <v>7992.4616573242383</v>
      </c>
      <c r="K82" s="5">
        <f t="shared" si="25"/>
        <v>7992.4616573242383</v>
      </c>
      <c r="L82" s="5">
        <f t="shared" si="35"/>
        <v>3756.4569789423922</v>
      </c>
      <c r="M82" s="5">
        <f t="shared" si="36"/>
        <v>9433.9622641509432</v>
      </c>
      <c r="N82" s="5">
        <f t="shared" si="37"/>
        <v>0</v>
      </c>
      <c r="O82" s="7">
        <f t="shared" si="38"/>
        <v>0</v>
      </c>
      <c r="P82" s="7">
        <f t="shared" si="33"/>
        <v>0</v>
      </c>
      <c r="Q82" s="7">
        <f t="shared" si="34"/>
        <v>7992.4616573242383</v>
      </c>
      <c r="R82" s="5">
        <f t="shared" si="39"/>
        <v>3756.4569789423922</v>
      </c>
      <c r="S82" s="5">
        <f t="shared" si="40"/>
        <v>97121.151230977383</v>
      </c>
      <c r="T82" s="5"/>
    </row>
    <row r="83" spans="1:20" x14ac:dyDescent="0.35">
      <c r="A83">
        <f t="shared" si="26"/>
        <v>82</v>
      </c>
      <c r="B83" s="13">
        <f t="shared" si="27"/>
        <v>2033</v>
      </c>
      <c r="C83">
        <f t="shared" si="28"/>
        <v>10</v>
      </c>
      <c r="D83" t="b">
        <f t="shared" si="29"/>
        <v>0</v>
      </c>
      <c r="E83" s="7">
        <f t="shared" si="30"/>
        <v>266729.48618896474</v>
      </c>
      <c r="F83" cm="1">
        <f t="array" ref="F83">IF($A83="", "", MRate(E83))</f>
        <v>0.47000000000000003</v>
      </c>
      <c r="G83" s="7">
        <f t="shared" si="31"/>
        <v>9433.9622641509432</v>
      </c>
      <c r="H83" s="7">
        <f>IF($A83="", "", _xlfn.XLOOKUP($B83, YearlyParamsB!$A:$A, YearlyParamsB!$E:$E, 0))</f>
        <v>0</v>
      </c>
      <c r="I83" s="5">
        <f t="shared" si="32"/>
        <v>32007.538342675769</v>
      </c>
      <c r="J83" s="5">
        <f>IFERROR(IF($A83="", "", _xlfn.XLOOKUP($B83, YearlyParamsB!$A:$A, YearlyParamsB!$I:$I, 0)), 0)</f>
        <v>7992.4616573242383</v>
      </c>
      <c r="K83" s="5">
        <f t="shared" si="25"/>
        <v>7992.4616573242383</v>
      </c>
      <c r="L83" s="5">
        <f t="shared" si="35"/>
        <v>3756.4569789423922</v>
      </c>
      <c r="M83" s="5">
        <f t="shared" si="36"/>
        <v>9433.9622641509432</v>
      </c>
      <c r="N83" s="5">
        <f t="shared" si="37"/>
        <v>0</v>
      </c>
      <c r="O83" s="7">
        <f t="shared" si="38"/>
        <v>0</v>
      </c>
      <c r="P83" s="7">
        <f t="shared" si="33"/>
        <v>0</v>
      </c>
      <c r="Q83" s="7">
        <f t="shared" si="34"/>
        <v>7992.4616573242383</v>
      </c>
      <c r="R83" s="5">
        <f t="shared" si="39"/>
        <v>3756.4569789423922</v>
      </c>
      <c r="S83" s="5">
        <f t="shared" si="40"/>
        <v>97121.151230977383</v>
      </c>
      <c r="T83" s="5"/>
    </row>
    <row r="84" spans="1:20" x14ac:dyDescent="0.35">
      <c r="A84">
        <f t="shared" si="26"/>
        <v>83</v>
      </c>
      <c r="B84" s="13">
        <f t="shared" si="27"/>
        <v>2033</v>
      </c>
      <c r="C84">
        <f t="shared" si="28"/>
        <v>11</v>
      </c>
      <c r="D84" t="b">
        <f t="shared" si="29"/>
        <v>0</v>
      </c>
      <c r="E84" s="7">
        <f t="shared" si="30"/>
        <v>266729.48618896474</v>
      </c>
      <c r="F84" cm="1">
        <f t="array" ref="F84">IF($A84="", "", MRate(E84))</f>
        <v>0.47000000000000003</v>
      </c>
      <c r="G84" s="7">
        <f t="shared" si="31"/>
        <v>9433.9622641509432</v>
      </c>
      <c r="H84" s="7">
        <f>IF($A84="", "", _xlfn.XLOOKUP($B84, YearlyParamsB!$A:$A, YearlyParamsB!$E:$E, 0))</f>
        <v>0</v>
      </c>
      <c r="I84" s="5">
        <f t="shared" si="32"/>
        <v>32007.538342675769</v>
      </c>
      <c r="J84" s="5">
        <f>IFERROR(IF($A84="", "", _xlfn.XLOOKUP($B84, YearlyParamsB!$A:$A, YearlyParamsB!$I:$I, 0)), 0)</f>
        <v>7992.4616573242383</v>
      </c>
      <c r="K84" s="5">
        <f t="shared" si="25"/>
        <v>7992.4616573242383</v>
      </c>
      <c r="L84" s="5">
        <f t="shared" si="35"/>
        <v>3756.4569789423922</v>
      </c>
      <c r="M84" s="5">
        <f t="shared" si="36"/>
        <v>9433.9622641509432</v>
      </c>
      <c r="N84" s="5">
        <f t="shared" si="37"/>
        <v>0</v>
      </c>
      <c r="O84" s="7">
        <f t="shared" si="38"/>
        <v>0</v>
      </c>
      <c r="P84" s="7">
        <f t="shared" si="33"/>
        <v>0</v>
      </c>
      <c r="Q84" s="7">
        <f t="shared" si="34"/>
        <v>7992.4616573242383</v>
      </c>
      <c r="R84" s="5">
        <f t="shared" si="39"/>
        <v>3756.4569789423922</v>
      </c>
      <c r="S84" s="5">
        <f t="shared" si="40"/>
        <v>97121.151230977383</v>
      </c>
      <c r="T84" s="5"/>
    </row>
    <row r="85" spans="1:20" x14ac:dyDescent="0.35">
      <c r="A85">
        <f t="shared" si="26"/>
        <v>84</v>
      </c>
      <c r="B85" s="13">
        <f t="shared" si="27"/>
        <v>2033</v>
      </c>
      <c r="C85">
        <f t="shared" si="28"/>
        <v>12</v>
      </c>
      <c r="D85" t="b">
        <f t="shared" si="29"/>
        <v>1</v>
      </c>
      <c r="E85" s="7">
        <f t="shared" si="30"/>
        <v>266729.48618896474</v>
      </c>
      <c r="F85" cm="1">
        <f t="array" ref="F85">IF($A85="", "", MRate(E85))</f>
        <v>0.47000000000000003</v>
      </c>
      <c r="G85" s="7">
        <f t="shared" si="31"/>
        <v>9433.9622641509432</v>
      </c>
      <c r="H85" s="7">
        <f>IF($A85="", "", _xlfn.XLOOKUP($B85, YearlyParamsB!$A:$A, YearlyParamsB!$E:$E, 0))</f>
        <v>0</v>
      </c>
      <c r="I85" s="5">
        <f t="shared" si="32"/>
        <v>32007.538342675769</v>
      </c>
      <c r="J85" s="5">
        <f>IFERROR(IF($A85="", "", _xlfn.XLOOKUP($B85, YearlyParamsB!$A:$A, YearlyParamsB!$I:$I, 0)), 0)</f>
        <v>7992.4616573242383</v>
      </c>
      <c r="K85" s="5">
        <f t="shared" si="25"/>
        <v>7992.4616573242383</v>
      </c>
      <c r="L85" s="5">
        <f t="shared" si="35"/>
        <v>3756.4569789423922</v>
      </c>
      <c r="M85" s="5">
        <f t="shared" si="36"/>
        <v>9433.9622641509432</v>
      </c>
      <c r="N85" s="5">
        <f t="shared" si="37"/>
        <v>0</v>
      </c>
      <c r="O85" s="7">
        <f t="shared" si="38"/>
        <v>0</v>
      </c>
      <c r="P85" s="7">
        <f t="shared" si="33"/>
        <v>0</v>
      </c>
      <c r="Q85" s="7">
        <f t="shared" si="34"/>
        <v>7992.4616573242383</v>
      </c>
      <c r="R85" s="5">
        <f t="shared" si="39"/>
        <v>3756.4569789423922</v>
      </c>
      <c r="S85" s="5">
        <f t="shared" si="40"/>
        <v>97121.151230977383</v>
      </c>
      <c r="T85" s="5"/>
    </row>
    <row r="86" spans="1:20" x14ac:dyDescent="0.35">
      <c r="A86">
        <f t="shared" si="26"/>
        <v>85</v>
      </c>
      <c r="B86" s="13">
        <f t="shared" si="27"/>
        <v>2034</v>
      </c>
      <c r="C86">
        <f t="shared" si="28"/>
        <v>1</v>
      </c>
      <c r="D86" t="b">
        <f t="shared" si="29"/>
        <v>0</v>
      </c>
      <c r="E86" s="7">
        <f t="shared" si="30"/>
        <v>273397.72334368888</v>
      </c>
      <c r="F86" cm="1">
        <f t="array" ref="F86">IF($A86="", "", MRate(E86))</f>
        <v>0.47000000000000003</v>
      </c>
      <c r="G86" s="7">
        <f t="shared" si="31"/>
        <v>9433.9622641509432</v>
      </c>
      <c r="H86" s="7">
        <f>IF($A86="", "", _xlfn.XLOOKUP($B86, YearlyParamsB!$A:$A, YearlyParamsB!$E:$E, 0))</f>
        <v>0</v>
      </c>
      <c r="I86" s="5">
        <f t="shared" si="32"/>
        <v>32807.726801242665</v>
      </c>
      <c r="J86" s="5">
        <f>IFERROR(IF($A86="", "", _xlfn.XLOOKUP($B86, YearlyParamsB!$A:$A, YearlyParamsB!$I:$I, 0)), 0)</f>
        <v>7192.2731987573497</v>
      </c>
      <c r="K86" s="5">
        <f t="shared" si="25"/>
        <v>0</v>
      </c>
      <c r="L86" s="5">
        <f t="shared" si="35"/>
        <v>0</v>
      </c>
      <c r="M86" s="5">
        <f t="shared" si="36"/>
        <v>9433.9622641509432</v>
      </c>
      <c r="N86" s="5">
        <f t="shared" si="37"/>
        <v>7192.2731987573497</v>
      </c>
      <c r="O86" s="7">
        <f t="shared" si="38"/>
        <v>7192.2731987573497</v>
      </c>
      <c r="P86" s="7">
        <f t="shared" si="33"/>
        <v>3380.3684034159546</v>
      </c>
      <c r="Q86" s="7">
        <f t="shared" si="34"/>
        <v>7192.2731987573497</v>
      </c>
      <c r="R86" s="5">
        <f t="shared" si="39"/>
        <v>3380.3684034159546</v>
      </c>
      <c r="S86" s="5">
        <f t="shared" si="40"/>
        <v>100501.51963439333</v>
      </c>
      <c r="T86" s="5"/>
    </row>
    <row r="87" spans="1:20" x14ac:dyDescent="0.35">
      <c r="A87">
        <f t="shared" si="26"/>
        <v>86</v>
      </c>
      <c r="B87" s="13">
        <f t="shared" si="27"/>
        <v>2034</v>
      </c>
      <c r="C87">
        <f t="shared" si="28"/>
        <v>2</v>
      </c>
      <c r="D87" t="b">
        <f t="shared" si="29"/>
        <v>0</v>
      </c>
      <c r="E87" s="7">
        <f t="shared" si="30"/>
        <v>273397.72334368888</v>
      </c>
      <c r="F87" cm="1">
        <f t="array" ref="F87">IF($A87="", "", MRate(E87))</f>
        <v>0.47000000000000003</v>
      </c>
      <c r="G87" s="7">
        <f t="shared" si="31"/>
        <v>9433.9622641509432</v>
      </c>
      <c r="H87" s="7">
        <f>IF($A87="", "", _xlfn.XLOOKUP($B87, YearlyParamsB!$A:$A, YearlyParamsB!$E:$E, 0))</f>
        <v>0</v>
      </c>
      <c r="I87" s="5">
        <f t="shared" si="32"/>
        <v>32807.726801242665</v>
      </c>
      <c r="J87" s="5">
        <f>IFERROR(IF($A87="", "", _xlfn.XLOOKUP($B87, YearlyParamsB!$A:$A, YearlyParamsB!$I:$I, 0)), 0)</f>
        <v>7192.2731987573497</v>
      </c>
      <c r="K87" s="5">
        <f t="shared" si="25"/>
        <v>7192.2731987573497</v>
      </c>
      <c r="L87" s="5">
        <f t="shared" si="35"/>
        <v>3380.3684034159546</v>
      </c>
      <c r="M87" s="5">
        <f t="shared" si="36"/>
        <v>9433.9622641509432</v>
      </c>
      <c r="N87" s="5">
        <f t="shared" si="37"/>
        <v>0</v>
      </c>
      <c r="O87" s="7">
        <f t="shared" si="38"/>
        <v>0</v>
      </c>
      <c r="P87" s="7">
        <f t="shared" si="33"/>
        <v>0</v>
      </c>
      <c r="Q87" s="7">
        <f t="shared" si="34"/>
        <v>7192.2731987573497</v>
      </c>
      <c r="R87" s="5">
        <f t="shared" si="39"/>
        <v>3380.3684034159546</v>
      </c>
      <c r="S87" s="5">
        <f t="shared" si="40"/>
        <v>100501.51963439333</v>
      </c>
      <c r="T87" s="5"/>
    </row>
    <row r="88" spans="1:20" x14ac:dyDescent="0.35">
      <c r="A88">
        <f t="shared" si="26"/>
        <v>87</v>
      </c>
      <c r="B88" s="13">
        <f t="shared" si="27"/>
        <v>2034</v>
      </c>
      <c r="C88">
        <f t="shared" si="28"/>
        <v>3</v>
      </c>
      <c r="D88" t="b">
        <f t="shared" si="29"/>
        <v>0</v>
      </c>
      <c r="E88" s="7">
        <f t="shared" si="30"/>
        <v>273397.72334368888</v>
      </c>
      <c r="F88" cm="1">
        <f t="array" ref="F88">IF($A88="", "", MRate(E88))</f>
        <v>0.47000000000000003</v>
      </c>
      <c r="G88" s="7">
        <f t="shared" si="31"/>
        <v>9433.9622641509432</v>
      </c>
      <c r="H88" s="7">
        <f>IF($A88="", "", _xlfn.XLOOKUP($B88, YearlyParamsB!$A:$A, YearlyParamsB!$E:$E, 0))</f>
        <v>0</v>
      </c>
      <c r="I88" s="5">
        <f t="shared" si="32"/>
        <v>32807.726801242665</v>
      </c>
      <c r="J88" s="5">
        <f>IFERROR(IF($A88="", "", _xlfn.XLOOKUP($B88, YearlyParamsB!$A:$A, YearlyParamsB!$I:$I, 0)), 0)</f>
        <v>7192.2731987573497</v>
      </c>
      <c r="K88" s="5">
        <f t="shared" si="25"/>
        <v>7192.2731987573497</v>
      </c>
      <c r="L88" s="5">
        <f t="shared" si="35"/>
        <v>3380.3684034159546</v>
      </c>
      <c r="M88" s="5">
        <f t="shared" si="36"/>
        <v>9433.9622641509432</v>
      </c>
      <c r="N88" s="5">
        <f t="shared" si="37"/>
        <v>0</v>
      </c>
      <c r="O88" s="7">
        <f t="shared" si="38"/>
        <v>0</v>
      </c>
      <c r="P88" s="7">
        <f t="shared" si="33"/>
        <v>0</v>
      </c>
      <c r="Q88" s="7">
        <f t="shared" si="34"/>
        <v>7192.2731987573497</v>
      </c>
      <c r="R88" s="5">
        <f t="shared" si="39"/>
        <v>3380.3684034159546</v>
      </c>
      <c r="S88" s="5">
        <f t="shared" si="40"/>
        <v>100501.51963439333</v>
      </c>
      <c r="T88" s="5"/>
    </row>
    <row r="89" spans="1:20" x14ac:dyDescent="0.35">
      <c r="A89">
        <f t="shared" si="26"/>
        <v>88</v>
      </c>
      <c r="B89" s="13">
        <f t="shared" si="27"/>
        <v>2034</v>
      </c>
      <c r="C89">
        <f t="shared" si="28"/>
        <v>4</v>
      </c>
      <c r="D89" t="b">
        <f t="shared" si="29"/>
        <v>0</v>
      </c>
      <c r="E89" s="7">
        <f t="shared" si="30"/>
        <v>273397.72334368888</v>
      </c>
      <c r="F89" cm="1">
        <f t="array" ref="F89">IF($A89="", "", MRate(E89))</f>
        <v>0.47000000000000003</v>
      </c>
      <c r="G89" s="7">
        <f t="shared" si="31"/>
        <v>9433.9622641509432</v>
      </c>
      <c r="H89" s="7">
        <f>IF($A89="", "", _xlfn.XLOOKUP($B89, YearlyParamsB!$A:$A, YearlyParamsB!$E:$E, 0))</f>
        <v>0</v>
      </c>
      <c r="I89" s="5">
        <f t="shared" si="32"/>
        <v>32807.726801242665</v>
      </c>
      <c r="J89" s="5">
        <f>IFERROR(IF($A89="", "", _xlfn.XLOOKUP($B89, YearlyParamsB!$A:$A, YearlyParamsB!$I:$I, 0)), 0)</f>
        <v>7192.2731987573497</v>
      </c>
      <c r="K89" s="5">
        <f t="shared" si="25"/>
        <v>7192.2731987573497</v>
      </c>
      <c r="L89" s="5">
        <f t="shared" si="35"/>
        <v>3380.3684034159546</v>
      </c>
      <c r="M89" s="5">
        <f t="shared" si="36"/>
        <v>9433.9622641509432</v>
      </c>
      <c r="N89" s="5">
        <f t="shared" si="37"/>
        <v>0</v>
      </c>
      <c r="O89" s="7">
        <f t="shared" si="38"/>
        <v>0</v>
      </c>
      <c r="P89" s="7">
        <f t="shared" si="33"/>
        <v>0</v>
      </c>
      <c r="Q89" s="7">
        <f t="shared" si="34"/>
        <v>7192.2731987573497</v>
      </c>
      <c r="R89" s="5">
        <f t="shared" si="39"/>
        <v>3380.3684034159546</v>
      </c>
      <c r="S89" s="5">
        <f t="shared" si="40"/>
        <v>100501.51963439333</v>
      </c>
      <c r="T89" s="5"/>
    </row>
    <row r="90" spans="1:20" x14ac:dyDescent="0.35">
      <c r="A90">
        <f t="shared" si="26"/>
        <v>89</v>
      </c>
      <c r="B90" s="13">
        <f t="shared" si="27"/>
        <v>2034</v>
      </c>
      <c r="C90">
        <f t="shared" si="28"/>
        <v>5</v>
      </c>
      <c r="D90" t="b">
        <f t="shared" si="29"/>
        <v>0</v>
      </c>
      <c r="E90" s="7">
        <f t="shared" si="30"/>
        <v>273397.72334368888</v>
      </c>
      <c r="F90" cm="1">
        <f t="array" ref="F90">IF($A90="", "", MRate(E90))</f>
        <v>0.47000000000000003</v>
      </c>
      <c r="G90" s="7">
        <f t="shared" si="31"/>
        <v>9433.9622641509432</v>
      </c>
      <c r="H90" s="7">
        <f>IF($A90="", "", _xlfn.XLOOKUP($B90, YearlyParamsB!$A:$A, YearlyParamsB!$E:$E, 0))</f>
        <v>0</v>
      </c>
      <c r="I90" s="5">
        <f t="shared" si="32"/>
        <v>32807.726801242665</v>
      </c>
      <c r="J90" s="5">
        <f>IFERROR(IF($A90="", "", _xlfn.XLOOKUP($B90, YearlyParamsB!$A:$A, YearlyParamsB!$I:$I, 0)), 0)</f>
        <v>7192.2731987573497</v>
      </c>
      <c r="K90" s="5">
        <f t="shared" si="25"/>
        <v>7192.2731987573497</v>
      </c>
      <c r="L90" s="5">
        <f t="shared" si="35"/>
        <v>3380.3684034159546</v>
      </c>
      <c r="M90" s="5">
        <f t="shared" si="36"/>
        <v>9433.9622641509432</v>
      </c>
      <c r="N90" s="5">
        <f t="shared" si="37"/>
        <v>0</v>
      </c>
      <c r="O90" s="7">
        <f t="shared" si="38"/>
        <v>0</v>
      </c>
      <c r="P90" s="7">
        <f t="shared" si="33"/>
        <v>0</v>
      </c>
      <c r="Q90" s="7">
        <f t="shared" si="34"/>
        <v>7192.2731987573497</v>
      </c>
      <c r="R90" s="5">
        <f t="shared" si="39"/>
        <v>3380.3684034159546</v>
      </c>
      <c r="S90" s="5">
        <f t="shared" si="40"/>
        <v>100501.51963439333</v>
      </c>
      <c r="T90" s="5"/>
    </row>
    <row r="91" spans="1:20" x14ac:dyDescent="0.35">
      <c r="A91">
        <f t="shared" si="26"/>
        <v>90</v>
      </c>
      <c r="B91" s="13">
        <f t="shared" si="27"/>
        <v>2034</v>
      </c>
      <c r="C91">
        <f t="shared" si="28"/>
        <v>6</v>
      </c>
      <c r="D91" t="b">
        <f t="shared" si="29"/>
        <v>0</v>
      </c>
      <c r="E91" s="7">
        <f t="shared" si="30"/>
        <v>273397.72334368888</v>
      </c>
      <c r="F91" cm="1">
        <f t="array" ref="F91">IF($A91="", "", MRate(E91))</f>
        <v>0.47000000000000003</v>
      </c>
      <c r="G91" s="7">
        <f t="shared" si="31"/>
        <v>9433.9622641509432</v>
      </c>
      <c r="H91" s="7">
        <f>IF($A91="", "", _xlfn.XLOOKUP($B91, YearlyParamsB!$A:$A, YearlyParamsB!$E:$E, 0))</f>
        <v>0</v>
      </c>
      <c r="I91" s="5">
        <f t="shared" si="32"/>
        <v>32807.726801242665</v>
      </c>
      <c r="J91" s="5">
        <f>IFERROR(IF($A91="", "", _xlfn.XLOOKUP($B91, YearlyParamsB!$A:$A, YearlyParamsB!$I:$I, 0)), 0)</f>
        <v>7192.2731987573497</v>
      </c>
      <c r="K91" s="5">
        <f t="shared" si="25"/>
        <v>7192.2731987573497</v>
      </c>
      <c r="L91" s="5">
        <f t="shared" si="35"/>
        <v>3380.3684034159546</v>
      </c>
      <c r="M91" s="5">
        <f t="shared" si="36"/>
        <v>9433.9622641509432</v>
      </c>
      <c r="N91" s="5">
        <f t="shared" si="37"/>
        <v>0</v>
      </c>
      <c r="O91" s="7">
        <f t="shared" si="38"/>
        <v>0</v>
      </c>
      <c r="P91" s="7">
        <f t="shared" si="33"/>
        <v>0</v>
      </c>
      <c r="Q91" s="7">
        <f t="shared" si="34"/>
        <v>7192.2731987573497</v>
      </c>
      <c r="R91" s="5">
        <f t="shared" si="39"/>
        <v>3380.3684034159546</v>
      </c>
      <c r="S91" s="5">
        <f t="shared" si="40"/>
        <v>100501.51963439333</v>
      </c>
      <c r="T91" s="5"/>
    </row>
    <row r="92" spans="1:20" x14ac:dyDescent="0.35">
      <c r="A92">
        <f t="shared" si="26"/>
        <v>91</v>
      </c>
      <c r="B92" s="13">
        <f t="shared" si="27"/>
        <v>2034</v>
      </c>
      <c r="C92">
        <f t="shared" si="28"/>
        <v>7</v>
      </c>
      <c r="D92" t="b">
        <f t="shared" si="29"/>
        <v>0</v>
      </c>
      <c r="E92" s="7">
        <f t="shared" si="30"/>
        <v>273397.72334368888</v>
      </c>
      <c r="F92" cm="1">
        <f t="array" ref="F92">IF($A92="", "", MRate(E92))</f>
        <v>0.47000000000000003</v>
      </c>
      <c r="G92" s="7">
        <f t="shared" si="31"/>
        <v>9433.9622641509432</v>
      </c>
      <c r="H92" s="7">
        <f>IF($A92="", "", _xlfn.XLOOKUP($B92, YearlyParamsB!$A:$A, YearlyParamsB!$E:$E, 0))</f>
        <v>0</v>
      </c>
      <c r="I92" s="5">
        <f t="shared" si="32"/>
        <v>32807.726801242665</v>
      </c>
      <c r="J92" s="5">
        <f>IFERROR(IF($A92="", "", _xlfn.XLOOKUP($B92, YearlyParamsB!$A:$A, YearlyParamsB!$I:$I, 0)), 0)</f>
        <v>7192.2731987573497</v>
      </c>
      <c r="K92" s="5">
        <f t="shared" si="25"/>
        <v>7192.2731987573497</v>
      </c>
      <c r="L92" s="5">
        <f t="shared" si="35"/>
        <v>3380.3684034159546</v>
      </c>
      <c r="M92" s="5">
        <f t="shared" si="36"/>
        <v>9433.9622641509432</v>
      </c>
      <c r="N92" s="5">
        <f t="shared" si="37"/>
        <v>0</v>
      </c>
      <c r="O92" s="7">
        <f t="shared" si="38"/>
        <v>0</v>
      </c>
      <c r="P92" s="7">
        <f t="shared" si="33"/>
        <v>0</v>
      </c>
      <c r="Q92" s="7">
        <f t="shared" si="34"/>
        <v>7192.2731987573497</v>
      </c>
      <c r="R92" s="5">
        <f t="shared" si="39"/>
        <v>3380.3684034159546</v>
      </c>
      <c r="S92" s="5">
        <f t="shared" si="40"/>
        <v>100501.51963439333</v>
      </c>
      <c r="T92" s="5"/>
    </row>
    <row r="93" spans="1:20" x14ac:dyDescent="0.35">
      <c r="A93">
        <f t="shared" si="26"/>
        <v>92</v>
      </c>
      <c r="B93" s="13">
        <f t="shared" si="27"/>
        <v>2034</v>
      </c>
      <c r="C93">
        <f t="shared" si="28"/>
        <v>8</v>
      </c>
      <c r="D93" t="b">
        <f t="shared" si="29"/>
        <v>0</v>
      </c>
      <c r="E93" s="7">
        <f t="shared" si="30"/>
        <v>273397.72334368888</v>
      </c>
      <c r="F93" cm="1">
        <f t="array" ref="F93">IF($A93="", "", MRate(E93))</f>
        <v>0.47000000000000003</v>
      </c>
      <c r="G93" s="7">
        <f t="shared" si="31"/>
        <v>9433.9622641509432</v>
      </c>
      <c r="H93" s="7">
        <f>IF($A93="", "", _xlfn.XLOOKUP($B93, YearlyParamsB!$A:$A, YearlyParamsB!$E:$E, 0))</f>
        <v>0</v>
      </c>
      <c r="I93" s="5">
        <f t="shared" si="32"/>
        <v>32807.726801242665</v>
      </c>
      <c r="J93" s="5">
        <f>IFERROR(IF($A93="", "", _xlfn.XLOOKUP($B93, YearlyParamsB!$A:$A, YearlyParamsB!$I:$I, 0)), 0)</f>
        <v>7192.2731987573497</v>
      </c>
      <c r="K93" s="5">
        <f t="shared" si="25"/>
        <v>7192.2731987573497</v>
      </c>
      <c r="L93" s="5">
        <f t="shared" si="35"/>
        <v>3380.3684034159546</v>
      </c>
      <c r="M93" s="5">
        <f t="shared" si="36"/>
        <v>9433.9622641509432</v>
      </c>
      <c r="N93" s="5">
        <f t="shared" si="37"/>
        <v>0</v>
      </c>
      <c r="O93" s="7">
        <f t="shared" si="38"/>
        <v>0</v>
      </c>
      <c r="P93" s="7">
        <f t="shared" si="33"/>
        <v>0</v>
      </c>
      <c r="Q93" s="7">
        <f t="shared" si="34"/>
        <v>7192.2731987573497</v>
      </c>
      <c r="R93" s="5">
        <f t="shared" si="39"/>
        <v>3380.3684034159546</v>
      </c>
      <c r="S93" s="5">
        <f t="shared" si="40"/>
        <v>100501.51963439333</v>
      </c>
      <c r="T93" s="5"/>
    </row>
    <row r="94" spans="1:20" x14ac:dyDescent="0.35">
      <c r="A94">
        <f t="shared" si="26"/>
        <v>93</v>
      </c>
      <c r="B94" s="13">
        <f t="shared" si="27"/>
        <v>2034</v>
      </c>
      <c r="C94">
        <f t="shared" si="28"/>
        <v>9</v>
      </c>
      <c r="D94" t="b">
        <f t="shared" si="29"/>
        <v>0</v>
      </c>
      <c r="E94" s="7">
        <f t="shared" si="30"/>
        <v>273397.72334368888</v>
      </c>
      <c r="F94" cm="1">
        <f t="array" ref="F94">IF($A94="", "", MRate(E94))</f>
        <v>0.47000000000000003</v>
      </c>
      <c r="G94" s="7">
        <f t="shared" si="31"/>
        <v>9433.9622641509432</v>
      </c>
      <c r="H94" s="7">
        <f>IF($A94="", "", _xlfn.XLOOKUP($B94, YearlyParamsB!$A:$A, YearlyParamsB!$E:$E, 0))</f>
        <v>0</v>
      </c>
      <c r="I94" s="5">
        <f t="shared" si="32"/>
        <v>32807.726801242665</v>
      </c>
      <c r="J94" s="5">
        <f>IFERROR(IF($A94="", "", _xlfn.XLOOKUP($B94, YearlyParamsB!$A:$A, YearlyParamsB!$I:$I, 0)), 0)</f>
        <v>7192.2731987573497</v>
      </c>
      <c r="K94" s="5">
        <f t="shared" si="25"/>
        <v>7192.2731987573497</v>
      </c>
      <c r="L94" s="5">
        <f t="shared" si="35"/>
        <v>3380.3684034159546</v>
      </c>
      <c r="M94" s="5">
        <f t="shared" si="36"/>
        <v>9433.9622641509432</v>
      </c>
      <c r="N94" s="5">
        <f t="shared" si="37"/>
        <v>0</v>
      </c>
      <c r="O94" s="7">
        <f t="shared" si="38"/>
        <v>0</v>
      </c>
      <c r="P94" s="7">
        <f t="shared" si="33"/>
        <v>0</v>
      </c>
      <c r="Q94" s="7">
        <f t="shared" si="34"/>
        <v>7192.2731987573497</v>
      </c>
      <c r="R94" s="5">
        <f t="shared" si="39"/>
        <v>3380.3684034159546</v>
      </c>
      <c r="S94" s="5">
        <f t="shared" si="40"/>
        <v>100501.51963439333</v>
      </c>
      <c r="T94" s="5"/>
    </row>
    <row r="95" spans="1:20" x14ac:dyDescent="0.35">
      <c r="A95">
        <f t="shared" si="26"/>
        <v>94</v>
      </c>
      <c r="B95" s="13">
        <f t="shared" si="27"/>
        <v>2034</v>
      </c>
      <c r="C95">
        <f t="shared" si="28"/>
        <v>10</v>
      </c>
      <c r="D95" t="b">
        <f t="shared" si="29"/>
        <v>0</v>
      </c>
      <c r="E95" s="7">
        <f t="shared" si="30"/>
        <v>273397.72334368888</v>
      </c>
      <c r="F95" cm="1">
        <f t="array" ref="F95">IF($A95="", "", MRate(E95))</f>
        <v>0.47000000000000003</v>
      </c>
      <c r="G95" s="7">
        <f t="shared" si="31"/>
        <v>9433.9622641509432</v>
      </c>
      <c r="H95" s="7">
        <f>IF($A95="", "", _xlfn.XLOOKUP($B95, YearlyParamsB!$A:$A, YearlyParamsB!$E:$E, 0))</f>
        <v>0</v>
      </c>
      <c r="I95" s="5">
        <f t="shared" si="32"/>
        <v>32807.726801242665</v>
      </c>
      <c r="J95" s="5">
        <f>IFERROR(IF($A95="", "", _xlfn.XLOOKUP($B95, YearlyParamsB!$A:$A, YearlyParamsB!$I:$I, 0)), 0)</f>
        <v>7192.2731987573497</v>
      </c>
      <c r="K95" s="5">
        <f t="shared" si="25"/>
        <v>7192.2731987573497</v>
      </c>
      <c r="L95" s="5">
        <f t="shared" si="35"/>
        <v>3380.3684034159546</v>
      </c>
      <c r="M95" s="5">
        <f t="shared" si="36"/>
        <v>9433.9622641509432</v>
      </c>
      <c r="N95" s="5">
        <f t="shared" si="37"/>
        <v>0</v>
      </c>
      <c r="O95" s="7">
        <f t="shared" si="38"/>
        <v>0</v>
      </c>
      <c r="P95" s="7">
        <f t="shared" si="33"/>
        <v>0</v>
      </c>
      <c r="Q95" s="7">
        <f t="shared" si="34"/>
        <v>7192.2731987573497</v>
      </c>
      <c r="R95" s="5">
        <f t="shared" si="39"/>
        <v>3380.3684034159546</v>
      </c>
      <c r="S95" s="5">
        <f t="shared" si="40"/>
        <v>100501.51963439333</v>
      </c>
      <c r="T95" s="5"/>
    </row>
    <row r="96" spans="1:20" x14ac:dyDescent="0.35">
      <c r="A96">
        <f t="shared" si="26"/>
        <v>95</v>
      </c>
      <c r="B96" s="13">
        <f t="shared" si="27"/>
        <v>2034</v>
      </c>
      <c r="C96">
        <f t="shared" si="28"/>
        <v>11</v>
      </c>
      <c r="D96" t="b">
        <f t="shared" si="29"/>
        <v>0</v>
      </c>
      <c r="E96" s="7">
        <f t="shared" si="30"/>
        <v>273397.72334368888</v>
      </c>
      <c r="F96" cm="1">
        <f t="array" ref="F96">IF($A96="", "", MRate(E96))</f>
        <v>0.47000000000000003</v>
      </c>
      <c r="G96" s="7">
        <f t="shared" si="31"/>
        <v>9433.9622641509432</v>
      </c>
      <c r="H96" s="7">
        <f>IF($A96="", "", _xlfn.XLOOKUP($B96, YearlyParamsB!$A:$A, YearlyParamsB!$E:$E, 0))</f>
        <v>0</v>
      </c>
      <c r="I96" s="5">
        <f t="shared" si="32"/>
        <v>32807.726801242665</v>
      </c>
      <c r="J96" s="5">
        <f>IFERROR(IF($A96="", "", _xlfn.XLOOKUP($B96, YearlyParamsB!$A:$A, YearlyParamsB!$I:$I, 0)), 0)</f>
        <v>7192.2731987573497</v>
      </c>
      <c r="K96" s="5">
        <f t="shared" si="25"/>
        <v>7192.2731987573497</v>
      </c>
      <c r="L96" s="5">
        <f t="shared" si="35"/>
        <v>3380.3684034159546</v>
      </c>
      <c r="M96" s="5">
        <f t="shared" si="36"/>
        <v>9433.9622641509432</v>
      </c>
      <c r="N96" s="5">
        <f t="shared" si="37"/>
        <v>0</v>
      </c>
      <c r="O96" s="7">
        <f t="shared" si="38"/>
        <v>0</v>
      </c>
      <c r="P96" s="7">
        <f t="shared" si="33"/>
        <v>0</v>
      </c>
      <c r="Q96" s="7">
        <f t="shared" si="34"/>
        <v>7192.2731987573497</v>
      </c>
      <c r="R96" s="5">
        <f t="shared" si="39"/>
        <v>3380.3684034159546</v>
      </c>
      <c r="S96" s="5">
        <f t="shared" si="40"/>
        <v>100501.51963439333</v>
      </c>
      <c r="T96" s="5"/>
    </row>
    <row r="97" spans="1:20" x14ac:dyDescent="0.35">
      <c r="A97">
        <f t="shared" si="26"/>
        <v>96</v>
      </c>
      <c r="B97" s="13">
        <f t="shared" si="27"/>
        <v>2034</v>
      </c>
      <c r="C97">
        <f t="shared" si="28"/>
        <v>12</v>
      </c>
      <c r="D97" t="b">
        <f t="shared" si="29"/>
        <v>1</v>
      </c>
      <c r="E97" s="7">
        <f t="shared" si="30"/>
        <v>273397.72334368888</v>
      </c>
      <c r="F97" cm="1">
        <f t="array" ref="F97">IF($A97="", "", MRate(E97))</f>
        <v>0.47000000000000003</v>
      </c>
      <c r="G97" s="7">
        <f t="shared" si="31"/>
        <v>9433.9622641509432</v>
      </c>
      <c r="H97" s="7">
        <f>IF($A97="", "", _xlfn.XLOOKUP($B97, YearlyParamsB!$A:$A, YearlyParamsB!$E:$E, 0))</f>
        <v>0</v>
      </c>
      <c r="I97" s="5">
        <f t="shared" si="32"/>
        <v>32807.726801242665</v>
      </c>
      <c r="J97" s="5">
        <f>IFERROR(IF($A97="", "", _xlfn.XLOOKUP($B97, YearlyParamsB!$A:$A, YearlyParamsB!$I:$I, 0)), 0)</f>
        <v>7192.2731987573497</v>
      </c>
      <c r="K97" s="5">
        <f t="shared" si="25"/>
        <v>7192.2731987573497</v>
      </c>
      <c r="L97" s="5">
        <f t="shared" si="35"/>
        <v>3380.3684034159546</v>
      </c>
      <c r="M97" s="5">
        <f t="shared" si="36"/>
        <v>9433.9622641509432</v>
      </c>
      <c r="N97" s="5">
        <f t="shared" si="37"/>
        <v>0</v>
      </c>
      <c r="O97" s="7">
        <f t="shared" si="38"/>
        <v>0</v>
      </c>
      <c r="P97" s="7">
        <f t="shared" si="33"/>
        <v>0</v>
      </c>
      <c r="Q97" s="7">
        <f t="shared" si="34"/>
        <v>7192.2731987573497</v>
      </c>
      <c r="R97" s="5">
        <f t="shared" si="39"/>
        <v>3380.3684034159546</v>
      </c>
      <c r="S97" s="5">
        <f t="shared" si="40"/>
        <v>100501.51963439333</v>
      </c>
      <c r="T97" s="5"/>
    </row>
    <row r="98" spans="1:20" x14ac:dyDescent="0.35">
      <c r="A98">
        <f t="shared" ref="A98:A129" si="41">IF(ROW()-1 &lt;= TotalPeriodsB, ROW()-1, "")</f>
        <v>97</v>
      </c>
      <c r="B98" s="13">
        <f t="shared" ref="B98:B129" si="42">IF(ROW()-1 &lt;= TotalPeriodsB, YEAR(StartYear) + INT((ROW()-2)/PPYB), "")</f>
        <v>2035</v>
      </c>
      <c r="C98">
        <f t="shared" ref="C98:C129" si="43">IF($A98="", "", MOD($A98-1, PPYB)+1)</f>
        <v>1</v>
      </c>
      <c r="D98" t="b">
        <f t="shared" ref="D98:D129" si="44">IF($A98="", "", C98=PPYB)</f>
        <v>0</v>
      </c>
      <c r="E98" s="7">
        <f t="shared" ref="E98:E129" si="45">IF($A98="","",IncB*(1+Inflation)^((B98 - YEAR(StartYear))))</f>
        <v>280232.66642728104</v>
      </c>
      <c r="F98" cm="1">
        <f t="array" ref="F98">IF($A98="", "", MRate(E98))</f>
        <v>0.47000000000000003</v>
      </c>
      <c r="G98" s="7">
        <f t="shared" ref="G98:G129" si="46">IF($A98="", "", AfterTaxB/(1-F98))</f>
        <v>9433.9622641509432</v>
      </c>
      <c r="H98" s="7">
        <f>IF($A98="", "", _xlfn.XLOOKUP($B98, YearlyParamsB!$A:$A, YearlyParamsB!$E:$E, 0))</f>
        <v>0</v>
      </c>
      <c r="I98" s="5">
        <f t="shared" si="32"/>
        <v>33627.919971273725</v>
      </c>
      <c r="J98" s="5">
        <f>IFERROR(IF($A98="", "", _xlfn.XLOOKUP($B98, YearlyParamsB!$A:$A, YearlyParamsB!$I:$I, 0)), 0)</f>
        <v>8872.08002872629</v>
      </c>
      <c r="K98" s="5">
        <f t="shared" si="25"/>
        <v>0</v>
      </c>
      <c r="L98" s="5">
        <f t="shared" si="35"/>
        <v>0</v>
      </c>
      <c r="M98" s="5">
        <f t="shared" si="36"/>
        <v>9433.9622641509432</v>
      </c>
      <c r="N98" s="5">
        <f t="shared" si="37"/>
        <v>8872.08002872629</v>
      </c>
      <c r="O98" s="7">
        <f t="shared" si="38"/>
        <v>8872.08002872629</v>
      </c>
      <c r="P98" s="7">
        <f t="shared" ref="P98:P129" si="47">IFERROR(IF($A98="", "", MIN(G98+L98/PPYB,N98)*F98 + MAX(0, MIN(G98+L98/PPYB,N98) - MIN(G98,N98))), 0)</f>
        <v>4169.8776135013568</v>
      </c>
      <c r="Q98" s="7">
        <f t="shared" ref="Q98:Q129" si="48">IFERROR(IF($A98="", "", K98+MIN(G98+L98/PPYB,N98)), 0)</f>
        <v>8872.08002872629</v>
      </c>
      <c r="R98" s="5">
        <f t="shared" si="39"/>
        <v>4169.8776135013568</v>
      </c>
      <c r="S98" s="5">
        <f t="shared" si="40"/>
        <v>104671.3972478947</v>
      </c>
      <c r="T98" s="5"/>
    </row>
    <row r="99" spans="1:20" x14ac:dyDescent="0.35">
      <c r="A99">
        <f t="shared" si="41"/>
        <v>98</v>
      </c>
      <c r="B99" s="13">
        <f t="shared" si="42"/>
        <v>2035</v>
      </c>
      <c r="C99">
        <f t="shared" si="43"/>
        <v>2</v>
      </c>
      <c r="D99" t="b">
        <f t="shared" si="44"/>
        <v>0</v>
      </c>
      <c r="E99" s="7">
        <f t="shared" si="45"/>
        <v>280232.66642728104</v>
      </c>
      <c r="F99" cm="1">
        <f t="array" ref="F99">IF($A99="", "", MRate(E99))</f>
        <v>0.47000000000000003</v>
      </c>
      <c r="G99" s="7">
        <f t="shared" si="46"/>
        <v>9433.9622641509432</v>
      </c>
      <c r="H99" s="7">
        <f>IF($A99="", "", _xlfn.XLOOKUP($B99, YearlyParamsB!$A:$A, YearlyParamsB!$E:$E, 0))</f>
        <v>0</v>
      </c>
      <c r="I99" s="5">
        <f t="shared" si="32"/>
        <v>33627.919971273725</v>
      </c>
      <c r="J99" s="5">
        <f>IFERROR(IF($A99="", "", _xlfn.XLOOKUP($B99, YearlyParamsB!$A:$A, YearlyParamsB!$I:$I, 0)), 0)</f>
        <v>8872.08002872629</v>
      </c>
      <c r="K99" s="5">
        <f t="shared" si="25"/>
        <v>8872.08002872629</v>
      </c>
      <c r="L99" s="5">
        <f t="shared" ref="L99:L130" si="49">IFERROR(IF($A98="","",IF(B99&lt;&gt;B98, 0, L98 + MIN(G98+L98/PPYB, J98-K98)*F98)), 0)</f>
        <v>4169.8776135013568</v>
      </c>
      <c r="M99" s="5">
        <f t="shared" si="36"/>
        <v>9433.9622641509432</v>
      </c>
      <c r="N99" s="5">
        <f t="shared" si="37"/>
        <v>0</v>
      </c>
      <c r="O99" s="7">
        <f t="shared" si="38"/>
        <v>0</v>
      </c>
      <c r="P99" s="7">
        <f t="shared" si="47"/>
        <v>0</v>
      </c>
      <c r="Q99" s="7">
        <f t="shared" si="48"/>
        <v>8872.08002872629</v>
      </c>
      <c r="R99" s="5">
        <f t="shared" si="39"/>
        <v>4169.8776135013568</v>
      </c>
      <c r="S99" s="5">
        <f t="shared" si="40"/>
        <v>104671.3972478947</v>
      </c>
      <c r="T99" s="5"/>
    </row>
    <row r="100" spans="1:20" x14ac:dyDescent="0.35">
      <c r="A100">
        <f t="shared" si="41"/>
        <v>99</v>
      </c>
      <c r="B100" s="13">
        <f t="shared" si="42"/>
        <v>2035</v>
      </c>
      <c r="C100">
        <f t="shared" si="43"/>
        <v>3</v>
      </c>
      <c r="D100" t="b">
        <f t="shared" si="44"/>
        <v>0</v>
      </c>
      <c r="E100" s="7">
        <f t="shared" si="45"/>
        <v>280232.66642728104</v>
      </c>
      <c r="F100" cm="1">
        <f t="array" ref="F100">IF($A100="", "", MRate(E100))</f>
        <v>0.47000000000000003</v>
      </c>
      <c r="G100" s="7">
        <f t="shared" si="46"/>
        <v>9433.9622641509432</v>
      </c>
      <c r="H100" s="7">
        <f>IF($A100="", "", _xlfn.XLOOKUP($B100, YearlyParamsB!$A:$A, YearlyParamsB!$E:$E, 0))</f>
        <v>0</v>
      </c>
      <c r="I100" s="5">
        <f t="shared" si="32"/>
        <v>33627.919971273725</v>
      </c>
      <c r="J100" s="5">
        <f>IFERROR(IF($A100="", "", _xlfn.XLOOKUP($B100, YearlyParamsB!$A:$A, YearlyParamsB!$I:$I, 0)), 0)</f>
        <v>8872.08002872629</v>
      </c>
      <c r="K100" s="5">
        <f t="shared" si="25"/>
        <v>8872.08002872629</v>
      </c>
      <c r="L100" s="5">
        <f t="shared" si="49"/>
        <v>4169.8776135013568</v>
      </c>
      <c r="M100" s="5">
        <f t="shared" si="36"/>
        <v>9433.9622641509432</v>
      </c>
      <c r="N100" s="5">
        <f t="shared" si="37"/>
        <v>0</v>
      </c>
      <c r="O100" s="7">
        <f t="shared" si="38"/>
        <v>0</v>
      </c>
      <c r="P100" s="7">
        <f t="shared" si="47"/>
        <v>0</v>
      </c>
      <c r="Q100" s="7">
        <f t="shared" si="48"/>
        <v>8872.08002872629</v>
      </c>
      <c r="R100" s="5">
        <f t="shared" si="39"/>
        <v>4169.8776135013568</v>
      </c>
      <c r="S100" s="5">
        <f t="shared" si="40"/>
        <v>104671.3972478947</v>
      </c>
      <c r="T100" s="5"/>
    </row>
    <row r="101" spans="1:20" x14ac:dyDescent="0.35">
      <c r="A101">
        <f t="shared" si="41"/>
        <v>100</v>
      </c>
      <c r="B101" s="13">
        <f t="shared" si="42"/>
        <v>2035</v>
      </c>
      <c r="C101">
        <f t="shared" si="43"/>
        <v>4</v>
      </c>
      <c r="D101" t="b">
        <f t="shared" si="44"/>
        <v>0</v>
      </c>
      <c r="E101" s="7">
        <f t="shared" si="45"/>
        <v>280232.66642728104</v>
      </c>
      <c r="F101" cm="1">
        <f t="array" ref="F101">IF($A101="", "", MRate(E101))</f>
        <v>0.47000000000000003</v>
      </c>
      <c r="G101" s="7">
        <f t="shared" si="46"/>
        <v>9433.9622641509432</v>
      </c>
      <c r="H101" s="7">
        <f>IF($A101="", "", _xlfn.XLOOKUP($B101, YearlyParamsB!$A:$A, YearlyParamsB!$E:$E, 0))</f>
        <v>0</v>
      </c>
      <c r="I101" s="5">
        <f t="shared" si="32"/>
        <v>33627.919971273725</v>
      </c>
      <c r="J101" s="5">
        <f>IFERROR(IF($A101="", "", _xlfn.XLOOKUP($B101, YearlyParamsB!$A:$A, YearlyParamsB!$I:$I, 0)), 0)</f>
        <v>8872.08002872629</v>
      </c>
      <c r="K101" s="5">
        <f t="shared" si="25"/>
        <v>8872.08002872629</v>
      </c>
      <c r="L101" s="5">
        <f t="shared" si="49"/>
        <v>4169.8776135013568</v>
      </c>
      <c r="M101" s="5">
        <f t="shared" si="36"/>
        <v>9433.9622641509432</v>
      </c>
      <c r="N101" s="5">
        <f t="shared" si="37"/>
        <v>0</v>
      </c>
      <c r="O101" s="7">
        <f t="shared" si="38"/>
        <v>0</v>
      </c>
      <c r="P101" s="7">
        <f t="shared" si="47"/>
        <v>0</v>
      </c>
      <c r="Q101" s="7">
        <f t="shared" si="48"/>
        <v>8872.08002872629</v>
      </c>
      <c r="R101" s="5">
        <f t="shared" si="39"/>
        <v>4169.8776135013568</v>
      </c>
      <c r="S101" s="5">
        <f t="shared" si="40"/>
        <v>104671.3972478947</v>
      </c>
      <c r="T101" s="5"/>
    </row>
    <row r="102" spans="1:20" x14ac:dyDescent="0.35">
      <c r="A102">
        <f t="shared" si="41"/>
        <v>101</v>
      </c>
      <c r="B102" s="13">
        <f t="shared" si="42"/>
        <v>2035</v>
      </c>
      <c r="C102">
        <f t="shared" si="43"/>
        <v>5</v>
      </c>
      <c r="D102" t="b">
        <f t="shared" si="44"/>
        <v>0</v>
      </c>
      <c r="E102" s="7">
        <f t="shared" si="45"/>
        <v>280232.66642728104</v>
      </c>
      <c r="F102" cm="1">
        <f t="array" ref="F102">IF($A102="", "", MRate(E102))</f>
        <v>0.47000000000000003</v>
      </c>
      <c r="G102" s="7">
        <f t="shared" si="46"/>
        <v>9433.9622641509432</v>
      </c>
      <c r="H102" s="7">
        <f>IF($A102="", "", _xlfn.XLOOKUP($B102, YearlyParamsB!$A:$A, YearlyParamsB!$E:$E, 0))</f>
        <v>0</v>
      </c>
      <c r="I102" s="5">
        <f t="shared" si="32"/>
        <v>33627.919971273725</v>
      </c>
      <c r="J102" s="5">
        <f>IFERROR(IF($A102="", "", _xlfn.XLOOKUP($B102, YearlyParamsB!$A:$A, YearlyParamsB!$I:$I, 0)), 0)</f>
        <v>8872.08002872629</v>
      </c>
      <c r="K102" s="5">
        <f t="shared" si="25"/>
        <v>8872.08002872629</v>
      </c>
      <c r="L102" s="5">
        <f t="shared" si="49"/>
        <v>4169.8776135013568</v>
      </c>
      <c r="M102" s="5">
        <f t="shared" si="36"/>
        <v>9433.9622641509432</v>
      </c>
      <c r="N102" s="5">
        <f t="shared" si="37"/>
        <v>0</v>
      </c>
      <c r="O102" s="7">
        <f t="shared" si="38"/>
        <v>0</v>
      </c>
      <c r="P102" s="7">
        <f t="shared" si="47"/>
        <v>0</v>
      </c>
      <c r="Q102" s="7">
        <f t="shared" si="48"/>
        <v>8872.08002872629</v>
      </c>
      <c r="R102" s="5">
        <f t="shared" si="39"/>
        <v>4169.8776135013568</v>
      </c>
      <c r="S102" s="5">
        <f t="shared" si="40"/>
        <v>104671.3972478947</v>
      </c>
      <c r="T102" s="5"/>
    </row>
    <row r="103" spans="1:20" x14ac:dyDescent="0.35">
      <c r="A103">
        <f t="shared" si="41"/>
        <v>102</v>
      </c>
      <c r="B103" s="13">
        <f t="shared" si="42"/>
        <v>2035</v>
      </c>
      <c r="C103">
        <f t="shared" si="43"/>
        <v>6</v>
      </c>
      <c r="D103" t="b">
        <f t="shared" si="44"/>
        <v>0</v>
      </c>
      <c r="E103" s="7">
        <f t="shared" si="45"/>
        <v>280232.66642728104</v>
      </c>
      <c r="F103" cm="1">
        <f t="array" ref="F103">IF($A103="", "", MRate(E103))</f>
        <v>0.47000000000000003</v>
      </c>
      <c r="G103" s="7">
        <f t="shared" si="46"/>
        <v>9433.9622641509432</v>
      </c>
      <c r="H103" s="7">
        <f>IF($A103="", "", _xlfn.XLOOKUP($B103, YearlyParamsB!$A:$A, YearlyParamsB!$E:$E, 0))</f>
        <v>0</v>
      </c>
      <c r="I103" s="5">
        <f t="shared" si="32"/>
        <v>33627.919971273725</v>
      </c>
      <c r="J103" s="5">
        <f>IFERROR(IF($A103="", "", _xlfn.XLOOKUP($B103, YearlyParamsB!$A:$A, YearlyParamsB!$I:$I, 0)), 0)</f>
        <v>8872.08002872629</v>
      </c>
      <c r="K103" s="5">
        <f t="shared" si="25"/>
        <v>8872.08002872629</v>
      </c>
      <c r="L103" s="5">
        <f t="shared" si="49"/>
        <v>4169.8776135013568</v>
      </c>
      <c r="M103" s="5">
        <f t="shared" si="36"/>
        <v>9433.9622641509432</v>
      </c>
      <c r="N103" s="5">
        <f t="shared" si="37"/>
        <v>0</v>
      </c>
      <c r="O103" s="7">
        <f t="shared" si="38"/>
        <v>0</v>
      </c>
      <c r="P103" s="7">
        <f t="shared" si="47"/>
        <v>0</v>
      </c>
      <c r="Q103" s="7">
        <f t="shared" si="48"/>
        <v>8872.08002872629</v>
      </c>
      <c r="R103" s="5">
        <f t="shared" si="39"/>
        <v>4169.8776135013568</v>
      </c>
      <c r="S103" s="5">
        <f t="shared" si="40"/>
        <v>104671.3972478947</v>
      </c>
      <c r="T103" s="5"/>
    </row>
    <row r="104" spans="1:20" x14ac:dyDescent="0.35">
      <c r="A104">
        <f t="shared" si="41"/>
        <v>103</v>
      </c>
      <c r="B104" s="13">
        <f t="shared" si="42"/>
        <v>2035</v>
      </c>
      <c r="C104">
        <f t="shared" si="43"/>
        <v>7</v>
      </c>
      <c r="D104" t="b">
        <f t="shared" si="44"/>
        <v>0</v>
      </c>
      <c r="E104" s="7">
        <f t="shared" si="45"/>
        <v>280232.66642728104</v>
      </c>
      <c r="F104" cm="1">
        <f t="array" ref="F104">IF($A104="", "", MRate(E104))</f>
        <v>0.47000000000000003</v>
      </c>
      <c r="G104" s="7">
        <f t="shared" si="46"/>
        <v>9433.9622641509432</v>
      </c>
      <c r="H104" s="7">
        <f>IF($A104="", "", _xlfn.XLOOKUP($B104, YearlyParamsB!$A:$A, YearlyParamsB!$E:$E, 0))</f>
        <v>0</v>
      </c>
      <c r="I104" s="5">
        <f t="shared" si="32"/>
        <v>33627.919971273725</v>
      </c>
      <c r="J104" s="5">
        <f>IFERROR(IF($A104="", "", _xlfn.XLOOKUP($B104, YearlyParamsB!$A:$A, YearlyParamsB!$I:$I, 0)), 0)</f>
        <v>8872.08002872629</v>
      </c>
      <c r="K104" s="5">
        <f t="shared" si="25"/>
        <v>8872.08002872629</v>
      </c>
      <c r="L104" s="5">
        <f t="shared" si="49"/>
        <v>4169.8776135013568</v>
      </c>
      <c r="M104" s="5">
        <f t="shared" si="36"/>
        <v>9433.9622641509432</v>
      </c>
      <c r="N104" s="5">
        <f t="shared" si="37"/>
        <v>0</v>
      </c>
      <c r="O104" s="7">
        <f t="shared" si="38"/>
        <v>0</v>
      </c>
      <c r="P104" s="7">
        <f t="shared" si="47"/>
        <v>0</v>
      </c>
      <c r="Q104" s="7">
        <f t="shared" si="48"/>
        <v>8872.08002872629</v>
      </c>
      <c r="R104" s="5">
        <f t="shared" si="39"/>
        <v>4169.8776135013568</v>
      </c>
      <c r="S104" s="5">
        <f t="shared" si="40"/>
        <v>104671.3972478947</v>
      </c>
      <c r="T104" s="5"/>
    </row>
    <row r="105" spans="1:20" x14ac:dyDescent="0.35">
      <c r="A105">
        <f t="shared" si="41"/>
        <v>104</v>
      </c>
      <c r="B105" s="13">
        <f t="shared" si="42"/>
        <v>2035</v>
      </c>
      <c r="C105">
        <f t="shared" si="43"/>
        <v>8</v>
      </c>
      <c r="D105" t="b">
        <f t="shared" si="44"/>
        <v>0</v>
      </c>
      <c r="E105" s="7">
        <f t="shared" si="45"/>
        <v>280232.66642728104</v>
      </c>
      <c r="F105" cm="1">
        <f t="array" ref="F105">IF($A105="", "", MRate(E105))</f>
        <v>0.47000000000000003</v>
      </c>
      <c r="G105" s="7">
        <f t="shared" si="46"/>
        <v>9433.9622641509432</v>
      </c>
      <c r="H105" s="7">
        <f>IF($A105="", "", _xlfn.XLOOKUP($B105, YearlyParamsB!$A:$A, YearlyParamsB!$E:$E, 0))</f>
        <v>0</v>
      </c>
      <c r="I105" s="5">
        <f t="shared" si="32"/>
        <v>33627.919971273725</v>
      </c>
      <c r="J105" s="5">
        <f>IFERROR(IF($A105="", "", _xlfn.XLOOKUP($B105, YearlyParamsB!$A:$A, YearlyParamsB!$I:$I, 0)), 0)</f>
        <v>8872.08002872629</v>
      </c>
      <c r="K105" s="5">
        <f t="shared" si="25"/>
        <v>8872.08002872629</v>
      </c>
      <c r="L105" s="5">
        <f t="shared" si="49"/>
        <v>4169.8776135013568</v>
      </c>
      <c r="M105" s="5">
        <f t="shared" si="36"/>
        <v>9433.9622641509432</v>
      </c>
      <c r="N105" s="5">
        <f t="shared" si="37"/>
        <v>0</v>
      </c>
      <c r="O105" s="7">
        <f t="shared" si="38"/>
        <v>0</v>
      </c>
      <c r="P105" s="7">
        <f t="shared" si="47"/>
        <v>0</v>
      </c>
      <c r="Q105" s="7">
        <f t="shared" si="48"/>
        <v>8872.08002872629</v>
      </c>
      <c r="R105" s="5">
        <f t="shared" si="39"/>
        <v>4169.8776135013568</v>
      </c>
      <c r="S105" s="5">
        <f t="shared" si="40"/>
        <v>104671.3972478947</v>
      </c>
      <c r="T105" s="5"/>
    </row>
    <row r="106" spans="1:20" x14ac:dyDescent="0.35">
      <c r="A106">
        <f t="shared" si="41"/>
        <v>105</v>
      </c>
      <c r="B106" s="13">
        <f t="shared" si="42"/>
        <v>2035</v>
      </c>
      <c r="C106">
        <f t="shared" si="43"/>
        <v>9</v>
      </c>
      <c r="D106" t="b">
        <f t="shared" si="44"/>
        <v>0</v>
      </c>
      <c r="E106" s="7">
        <f t="shared" si="45"/>
        <v>280232.66642728104</v>
      </c>
      <c r="F106" cm="1">
        <f t="array" ref="F106">IF($A106="", "", MRate(E106))</f>
        <v>0.47000000000000003</v>
      </c>
      <c r="G106" s="7">
        <f t="shared" si="46"/>
        <v>9433.9622641509432</v>
      </c>
      <c r="H106" s="7">
        <f>IF($A106="", "", _xlfn.XLOOKUP($B106, YearlyParamsB!$A:$A, YearlyParamsB!$E:$E, 0))</f>
        <v>0</v>
      </c>
      <c r="I106" s="5">
        <f t="shared" si="32"/>
        <v>33627.919971273725</v>
      </c>
      <c r="J106" s="5">
        <f>IFERROR(IF($A106="", "", _xlfn.XLOOKUP($B106, YearlyParamsB!$A:$A, YearlyParamsB!$I:$I, 0)), 0)</f>
        <v>8872.08002872629</v>
      </c>
      <c r="K106" s="5">
        <f t="shared" si="25"/>
        <v>8872.08002872629</v>
      </c>
      <c r="L106" s="5">
        <f t="shared" si="49"/>
        <v>4169.8776135013568</v>
      </c>
      <c r="M106" s="5">
        <f t="shared" si="36"/>
        <v>9433.9622641509432</v>
      </c>
      <c r="N106" s="5">
        <f t="shared" si="37"/>
        <v>0</v>
      </c>
      <c r="O106" s="7">
        <f t="shared" si="38"/>
        <v>0</v>
      </c>
      <c r="P106" s="7">
        <f t="shared" si="47"/>
        <v>0</v>
      </c>
      <c r="Q106" s="7">
        <f t="shared" si="48"/>
        <v>8872.08002872629</v>
      </c>
      <c r="R106" s="5">
        <f t="shared" si="39"/>
        <v>4169.8776135013568</v>
      </c>
      <c r="S106" s="5">
        <f t="shared" si="40"/>
        <v>104671.3972478947</v>
      </c>
      <c r="T106" s="5"/>
    </row>
    <row r="107" spans="1:20" x14ac:dyDescent="0.35">
      <c r="A107">
        <f t="shared" si="41"/>
        <v>106</v>
      </c>
      <c r="B107" s="13">
        <f t="shared" si="42"/>
        <v>2035</v>
      </c>
      <c r="C107">
        <f t="shared" si="43"/>
        <v>10</v>
      </c>
      <c r="D107" t="b">
        <f t="shared" si="44"/>
        <v>0</v>
      </c>
      <c r="E107" s="7">
        <f t="shared" si="45"/>
        <v>280232.66642728104</v>
      </c>
      <c r="F107" cm="1">
        <f t="array" ref="F107">IF($A107="", "", MRate(E107))</f>
        <v>0.47000000000000003</v>
      </c>
      <c r="G107" s="7">
        <f t="shared" si="46"/>
        <v>9433.9622641509432</v>
      </c>
      <c r="H107" s="7">
        <f>IF($A107="", "", _xlfn.XLOOKUP($B107, YearlyParamsB!$A:$A, YearlyParamsB!$E:$E, 0))</f>
        <v>0</v>
      </c>
      <c r="I107" s="5">
        <f t="shared" si="32"/>
        <v>33627.919971273725</v>
      </c>
      <c r="J107" s="5">
        <f>IFERROR(IF($A107="", "", _xlfn.XLOOKUP($B107, YearlyParamsB!$A:$A, YearlyParamsB!$I:$I, 0)), 0)</f>
        <v>8872.08002872629</v>
      </c>
      <c r="K107" s="5">
        <f t="shared" si="25"/>
        <v>8872.08002872629</v>
      </c>
      <c r="L107" s="5">
        <f t="shared" si="49"/>
        <v>4169.8776135013568</v>
      </c>
      <c r="M107" s="5">
        <f t="shared" si="36"/>
        <v>9433.9622641509432</v>
      </c>
      <c r="N107" s="5">
        <f t="shared" si="37"/>
        <v>0</v>
      </c>
      <c r="O107" s="7">
        <f t="shared" si="38"/>
        <v>0</v>
      </c>
      <c r="P107" s="7">
        <f t="shared" si="47"/>
        <v>0</v>
      </c>
      <c r="Q107" s="7">
        <f t="shared" si="48"/>
        <v>8872.08002872629</v>
      </c>
      <c r="R107" s="5">
        <f t="shared" si="39"/>
        <v>4169.8776135013568</v>
      </c>
      <c r="S107" s="5">
        <f t="shared" si="40"/>
        <v>104671.3972478947</v>
      </c>
      <c r="T107" s="5"/>
    </row>
    <row r="108" spans="1:20" x14ac:dyDescent="0.35">
      <c r="A108">
        <f t="shared" si="41"/>
        <v>107</v>
      </c>
      <c r="B108" s="13">
        <f t="shared" si="42"/>
        <v>2035</v>
      </c>
      <c r="C108">
        <f t="shared" si="43"/>
        <v>11</v>
      </c>
      <c r="D108" t="b">
        <f t="shared" si="44"/>
        <v>0</v>
      </c>
      <c r="E108" s="7">
        <f t="shared" si="45"/>
        <v>280232.66642728104</v>
      </c>
      <c r="F108" cm="1">
        <f t="array" ref="F108">IF($A108="", "", MRate(E108))</f>
        <v>0.47000000000000003</v>
      </c>
      <c r="G108" s="7">
        <f t="shared" si="46"/>
        <v>9433.9622641509432</v>
      </c>
      <c r="H108" s="7">
        <f>IF($A108="", "", _xlfn.XLOOKUP($B108, YearlyParamsB!$A:$A, YearlyParamsB!$E:$E, 0))</f>
        <v>0</v>
      </c>
      <c r="I108" s="5">
        <f t="shared" si="32"/>
        <v>33627.919971273725</v>
      </c>
      <c r="J108" s="5">
        <f>IFERROR(IF($A108="", "", _xlfn.XLOOKUP($B108, YearlyParamsB!$A:$A, YearlyParamsB!$I:$I, 0)), 0)</f>
        <v>8872.08002872629</v>
      </c>
      <c r="K108" s="5">
        <f t="shared" si="25"/>
        <v>8872.08002872629</v>
      </c>
      <c r="L108" s="5">
        <f t="shared" si="49"/>
        <v>4169.8776135013568</v>
      </c>
      <c r="M108" s="5">
        <f t="shared" si="36"/>
        <v>9433.9622641509432</v>
      </c>
      <c r="N108" s="5">
        <f t="shared" si="37"/>
        <v>0</v>
      </c>
      <c r="O108" s="7">
        <f t="shared" si="38"/>
        <v>0</v>
      </c>
      <c r="P108" s="7">
        <f t="shared" si="47"/>
        <v>0</v>
      </c>
      <c r="Q108" s="7">
        <f t="shared" si="48"/>
        <v>8872.08002872629</v>
      </c>
      <c r="R108" s="5">
        <f t="shared" si="39"/>
        <v>4169.8776135013568</v>
      </c>
      <c r="S108" s="5">
        <f t="shared" si="40"/>
        <v>104671.3972478947</v>
      </c>
      <c r="T108" s="5"/>
    </row>
    <row r="109" spans="1:20" x14ac:dyDescent="0.35">
      <c r="A109">
        <f t="shared" si="41"/>
        <v>108</v>
      </c>
      <c r="B109" s="13">
        <f t="shared" si="42"/>
        <v>2035</v>
      </c>
      <c r="C109">
        <f t="shared" si="43"/>
        <v>12</v>
      </c>
      <c r="D109" t="b">
        <f t="shared" si="44"/>
        <v>1</v>
      </c>
      <c r="E109" s="7">
        <f t="shared" si="45"/>
        <v>280232.66642728104</v>
      </c>
      <c r="F109" cm="1">
        <f t="array" ref="F109">IF($A109="", "", MRate(E109))</f>
        <v>0.47000000000000003</v>
      </c>
      <c r="G109" s="7">
        <f t="shared" si="46"/>
        <v>9433.9622641509432</v>
      </c>
      <c r="H109" s="7">
        <f>IF($A109="", "", _xlfn.XLOOKUP($B109, YearlyParamsB!$A:$A, YearlyParamsB!$E:$E, 0))</f>
        <v>0</v>
      </c>
      <c r="I109" s="5">
        <f t="shared" si="32"/>
        <v>33627.919971273725</v>
      </c>
      <c r="J109" s="5">
        <f>IFERROR(IF($A109="", "", _xlfn.XLOOKUP($B109, YearlyParamsB!$A:$A, YearlyParamsB!$I:$I, 0)), 0)</f>
        <v>8872.08002872629</v>
      </c>
      <c r="K109" s="5">
        <f t="shared" si="25"/>
        <v>8872.08002872629</v>
      </c>
      <c r="L109" s="5">
        <f t="shared" si="49"/>
        <v>4169.8776135013568</v>
      </c>
      <c r="M109" s="5">
        <f t="shared" si="36"/>
        <v>9433.9622641509432</v>
      </c>
      <c r="N109" s="5">
        <f t="shared" si="37"/>
        <v>0</v>
      </c>
      <c r="O109" s="7">
        <f t="shared" si="38"/>
        <v>0</v>
      </c>
      <c r="P109" s="7">
        <f t="shared" si="47"/>
        <v>0</v>
      </c>
      <c r="Q109" s="7">
        <f t="shared" si="48"/>
        <v>8872.08002872629</v>
      </c>
      <c r="R109" s="5">
        <f t="shared" si="39"/>
        <v>4169.8776135013568</v>
      </c>
      <c r="S109" s="5">
        <f t="shared" si="40"/>
        <v>104671.3972478947</v>
      </c>
      <c r="T109" s="5"/>
    </row>
    <row r="110" spans="1:20" x14ac:dyDescent="0.35">
      <c r="A110">
        <f t="shared" si="41"/>
        <v>109</v>
      </c>
      <c r="B110" s="13">
        <f t="shared" si="42"/>
        <v>2036</v>
      </c>
      <c r="C110">
        <f t="shared" si="43"/>
        <v>1</v>
      </c>
      <c r="D110" t="b">
        <f t="shared" si="44"/>
        <v>0</v>
      </c>
      <c r="E110" s="7">
        <f t="shared" si="45"/>
        <v>287238.48308796308</v>
      </c>
      <c r="F110" cm="1">
        <f t="array" ref="F110">IF($A110="", "", MRate(E110))</f>
        <v>0.47000000000000003</v>
      </c>
      <c r="G110" s="7">
        <f t="shared" si="46"/>
        <v>9433.9622641509432</v>
      </c>
      <c r="H110" s="7">
        <f>IF($A110="", "", _xlfn.XLOOKUP($B110, YearlyParamsB!$A:$A, YearlyParamsB!$E:$E, 0))</f>
        <v>0</v>
      </c>
      <c r="I110" s="5">
        <f t="shared" si="32"/>
        <v>34468.61797055557</v>
      </c>
      <c r="J110" s="5">
        <f>IFERROR(IF($A110="", "", _xlfn.XLOOKUP($B110, YearlyParamsB!$A:$A, YearlyParamsB!$I:$I, 0)), 0)</f>
        <v>8031.3820294444522</v>
      </c>
      <c r="K110" s="5">
        <f t="shared" si="25"/>
        <v>0</v>
      </c>
      <c r="L110" s="5">
        <f t="shared" si="49"/>
        <v>0</v>
      </c>
      <c r="M110" s="5">
        <f t="shared" si="36"/>
        <v>9433.9622641509432</v>
      </c>
      <c r="N110" s="5">
        <f t="shared" si="37"/>
        <v>8031.3820294444522</v>
      </c>
      <c r="O110" s="7">
        <f t="shared" si="38"/>
        <v>8031.3820294444522</v>
      </c>
      <c r="P110" s="7">
        <f t="shared" si="47"/>
        <v>3774.7495538388926</v>
      </c>
      <c r="Q110" s="7">
        <f t="shared" si="48"/>
        <v>8031.3820294444522</v>
      </c>
      <c r="R110" s="5">
        <f t="shared" si="39"/>
        <v>3774.7495538388926</v>
      </c>
      <c r="S110" s="5">
        <f t="shared" si="40"/>
        <v>108446.14680173359</v>
      </c>
      <c r="T110" s="5"/>
    </row>
    <row r="111" spans="1:20" x14ac:dyDescent="0.35">
      <c r="A111">
        <f t="shared" si="41"/>
        <v>110</v>
      </c>
      <c r="B111" s="13">
        <f t="shared" si="42"/>
        <v>2036</v>
      </c>
      <c r="C111">
        <f t="shared" si="43"/>
        <v>2</v>
      </c>
      <c r="D111" t="b">
        <f t="shared" si="44"/>
        <v>0</v>
      </c>
      <c r="E111" s="7">
        <f t="shared" si="45"/>
        <v>287238.48308796308</v>
      </c>
      <c r="F111" cm="1">
        <f t="array" ref="F111">IF($A111="", "", MRate(E111))</f>
        <v>0.47000000000000003</v>
      </c>
      <c r="G111" s="7">
        <f t="shared" si="46"/>
        <v>9433.9622641509432</v>
      </c>
      <c r="H111" s="7">
        <f>IF($A111="", "", _xlfn.XLOOKUP($B111, YearlyParamsB!$A:$A, YearlyParamsB!$E:$E, 0))</f>
        <v>0</v>
      </c>
      <c r="I111" s="5">
        <f t="shared" si="32"/>
        <v>34468.61797055557</v>
      </c>
      <c r="J111" s="5">
        <f>IFERROR(IF($A111="", "", _xlfn.XLOOKUP($B111, YearlyParamsB!$A:$A, YearlyParamsB!$I:$I, 0)), 0)</f>
        <v>8031.3820294444522</v>
      </c>
      <c r="K111" s="5">
        <f t="shared" si="25"/>
        <v>8031.3820294444522</v>
      </c>
      <c r="L111" s="5">
        <f t="shared" si="49"/>
        <v>3774.7495538388926</v>
      </c>
      <c r="M111" s="5">
        <f t="shared" si="36"/>
        <v>9433.9622641509432</v>
      </c>
      <c r="N111" s="5">
        <f t="shared" si="37"/>
        <v>0</v>
      </c>
      <c r="O111" s="7">
        <f t="shared" si="38"/>
        <v>0</v>
      </c>
      <c r="P111" s="7">
        <f t="shared" si="47"/>
        <v>0</v>
      </c>
      <c r="Q111" s="7">
        <f t="shared" si="48"/>
        <v>8031.3820294444522</v>
      </c>
      <c r="R111" s="5">
        <f t="shared" si="39"/>
        <v>3774.7495538388926</v>
      </c>
      <c r="S111" s="5">
        <f t="shared" si="40"/>
        <v>108446.14680173359</v>
      </c>
      <c r="T111" s="5"/>
    </row>
    <row r="112" spans="1:20" x14ac:dyDescent="0.35">
      <c r="A112">
        <f t="shared" si="41"/>
        <v>111</v>
      </c>
      <c r="B112" s="13">
        <f t="shared" si="42"/>
        <v>2036</v>
      </c>
      <c r="C112">
        <f t="shared" si="43"/>
        <v>3</v>
      </c>
      <c r="D112" t="b">
        <f t="shared" si="44"/>
        <v>0</v>
      </c>
      <c r="E112" s="7">
        <f t="shared" si="45"/>
        <v>287238.48308796308</v>
      </c>
      <c r="F112" cm="1">
        <f t="array" ref="F112">IF($A112="", "", MRate(E112))</f>
        <v>0.47000000000000003</v>
      </c>
      <c r="G112" s="7">
        <f t="shared" si="46"/>
        <v>9433.9622641509432</v>
      </c>
      <c r="H112" s="7">
        <f>IF($A112="", "", _xlfn.XLOOKUP($B112, YearlyParamsB!$A:$A, YearlyParamsB!$E:$E, 0))</f>
        <v>0</v>
      </c>
      <c r="I112" s="5">
        <f t="shared" si="32"/>
        <v>34468.61797055557</v>
      </c>
      <c r="J112" s="5">
        <f>IFERROR(IF($A112="", "", _xlfn.XLOOKUP($B112, YearlyParamsB!$A:$A, YearlyParamsB!$I:$I, 0)), 0)</f>
        <v>8031.3820294444522</v>
      </c>
      <c r="K112" s="5">
        <f t="shared" si="25"/>
        <v>8031.3820294444522</v>
      </c>
      <c r="L112" s="5">
        <f t="shared" si="49"/>
        <v>3774.7495538388926</v>
      </c>
      <c r="M112" s="5">
        <f t="shared" si="36"/>
        <v>9433.9622641509432</v>
      </c>
      <c r="N112" s="5">
        <f t="shared" si="37"/>
        <v>0</v>
      </c>
      <c r="O112" s="7">
        <f t="shared" si="38"/>
        <v>0</v>
      </c>
      <c r="P112" s="7">
        <f t="shared" si="47"/>
        <v>0</v>
      </c>
      <c r="Q112" s="7">
        <f t="shared" si="48"/>
        <v>8031.3820294444522</v>
      </c>
      <c r="R112" s="5">
        <f t="shared" si="39"/>
        <v>3774.7495538388926</v>
      </c>
      <c r="S112" s="5">
        <f t="shared" si="40"/>
        <v>108446.14680173359</v>
      </c>
      <c r="T112" s="5"/>
    </row>
    <row r="113" spans="1:20" x14ac:dyDescent="0.35">
      <c r="A113">
        <f t="shared" si="41"/>
        <v>112</v>
      </c>
      <c r="B113" s="13">
        <f t="shared" si="42"/>
        <v>2036</v>
      </c>
      <c r="C113">
        <f t="shared" si="43"/>
        <v>4</v>
      </c>
      <c r="D113" t="b">
        <f t="shared" si="44"/>
        <v>0</v>
      </c>
      <c r="E113" s="7">
        <f t="shared" si="45"/>
        <v>287238.48308796308</v>
      </c>
      <c r="F113" cm="1">
        <f t="array" ref="F113">IF($A113="", "", MRate(E113))</f>
        <v>0.47000000000000003</v>
      </c>
      <c r="G113" s="7">
        <f t="shared" si="46"/>
        <v>9433.9622641509432</v>
      </c>
      <c r="H113" s="7">
        <f>IF($A113="", "", _xlfn.XLOOKUP($B113, YearlyParamsB!$A:$A, YearlyParamsB!$E:$E, 0))</f>
        <v>0</v>
      </c>
      <c r="I113" s="5">
        <f t="shared" si="32"/>
        <v>34468.61797055557</v>
      </c>
      <c r="J113" s="5">
        <f>IFERROR(IF($A113="", "", _xlfn.XLOOKUP($B113, YearlyParamsB!$A:$A, YearlyParamsB!$I:$I, 0)), 0)</f>
        <v>8031.3820294444522</v>
      </c>
      <c r="K113" s="5">
        <f t="shared" si="25"/>
        <v>8031.3820294444522</v>
      </c>
      <c r="L113" s="5">
        <f t="shared" si="49"/>
        <v>3774.7495538388926</v>
      </c>
      <c r="M113" s="5">
        <f t="shared" si="36"/>
        <v>9433.9622641509432</v>
      </c>
      <c r="N113" s="5">
        <f t="shared" si="37"/>
        <v>0</v>
      </c>
      <c r="O113" s="7">
        <f t="shared" si="38"/>
        <v>0</v>
      </c>
      <c r="P113" s="7">
        <f t="shared" si="47"/>
        <v>0</v>
      </c>
      <c r="Q113" s="7">
        <f t="shared" si="48"/>
        <v>8031.3820294444522</v>
      </c>
      <c r="R113" s="5">
        <f t="shared" si="39"/>
        <v>3774.7495538388926</v>
      </c>
      <c r="S113" s="5">
        <f t="shared" si="40"/>
        <v>108446.14680173359</v>
      </c>
      <c r="T113" s="5"/>
    </row>
    <row r="114" spans="1:20" x14ac:dyDescent="0.35">
      <c r="A114">
        <f t="shared" si="41"/>
        <v>113</v>
      </c>
      <c r="B114" s="13">
        <f t="shared" si="42"/>
        <v>2036</v>
      </c>
      <c r="C114">
        <f t="shared" si="43"/>
        <v>5</v>
      </c>
      <c r="D114" t="b">
        <f t="shared" si="44"/>
        <v>0</v>
      </c>
      <c r="E114" s="7">
        <f t="shared" si="45"/>
        <v>287238.48308796308</v>
      </c>
      <c r="F114" cm="1">
        <f t="array" ref="F114">IF($A114="", "", MRate(E114))</f>
        <v>0.47000000000000003</v>
      </c>
      <c r="G114" s="7">
        <f t="shared" si="46"/>
        <v>9433.9622641509432</v>
      </c>
      <c r="H114" s="7">
        <f>IF($A114="", "", _xlfn.XLOOKUP($B114, YearlyParamsB!$A:$A, YearlyParamsB!$E:$E, 0))</f>
        <v>0</v>
      </c>
      <c r="I114" s="5">
        <f t="shared" si="32"/>
        <v>34468.61797055557</v>
      </c>
      <c r="J114" s="5">
        <f>IFERROR(IF($A114="", "", _xlfn.XLOOKUP($B114, YearlyParamsB!$A:$A, YearlyParamsB!$I:$I, 0)), 0)</f>
        <v>8031.3820294444522</v>
      </c>
      <c r="K114" s="5">
        <f t="shared" si="25"/>
        <v>8031.3820294444522</v>
      </c>
      <c r="L114" s="5">
        <f t="shared" si="49"/>
        <v>3774.7495538388926</v>
      </c>
      <c r="M114" s="5">
        <f t="shared" si="36"/>
        <v>9433.9622641509432</v>
      </c>
      <c r="N114" s="5">
        <f t="shared" si="37"/>
        <v>0</v>
      </c>
      <c r="O114" s="7">
        <f t="shared" si="38"/>
        <v>0</v>
      </c>
      <c r="P114" s="7">
        <f t="shared" si="47"/>
        <v>0</v>
      </c>
      <c r="Q114" s="7">
        <f t="shared" si="48"/>
        <v>8031.3820294444522</v>
      </c>
      <c r="R114" s="5">
        <f t="shared" si="39"/>
        <v>3774.7495538388926</v>
      </c>
      <c r="S114" s="5">
        <f t="shared" si="40"/>
        <v>108446.14680173359</v>
      </c>
      <c r="T114" s="5"/>
    </row>
    <row r="115" spans="1:20" x14ac:dyDescent="0.35">
      <c r="A115">
        <f t="shared" si="41"/>
        <v>114</v>
      </c>
      <c r="B115" s="13">
        <f t="shared" si="42"/>
        <v>2036</v>
      </c>
      <c r="C115">
        <f t="shared" si="43"/>
        <v>6</v>
      </c>
      <c r="D115" t="b">
        <f t="shared" si="44"/>
        <v>0</v>
      </c>
      <c r="E115" s="7">
        <f t="shared" si="45"/>
        <v>287238.48308796308</v>
      </c>
      <c r="F115" cm="1">
        <f t="array" ref="F115">IF($A115="", "", MRate(E115))</f>
        <v>0.47000000000000003</v>
      </c>
      <c r="G115" s="7">
        <f t="shared" si="46"/>
        <v>9433.9622641509432</v>
      </c>
      <c r="H115" s="7">
        <f>IF($A115="", "", _xlfn.XLOOKUP($B115, YearlyParamsB!$A:$A, YearlyParamsB!$E:$E, 0))</f>
        <v>0</v>
      </c>
      <c r="I115" s="5">
        <f t="shared" si="32"/>
        <v>34468.61797055557</v>
      </c>
      <c r="J115" s="5">
        <f>IFERROR(IF($A115="", "", _xlfn.XLOOKUP($B115, YearlyParamsB!$A:$A, YearlyParamsB!$I:$I, 0)), 0)</f>
        <v>8031.3820294444522</v>
      </c>
      <c r="K115" s="5">
        <f t="shared" si="25"/>
        <v>8031.3820294444522</v>
      </c>
      <c r="L115" s="5">
        <f t="shared" si="49"/>
        <v>3774.7495538388926</v>
      </c>
      <c r="M115" s="5">
        <f t="shared" si="36"/>
        <v>9433.9622641509432</v>
      </c>
      <c r="N115" s="5">
        <f t="shared" si="37"/>
        <v>0</v>
      </c>
      <c r="O115" s="7">
        <f t="shared" si="38"/>
        <v>0</v>
      </c>
      <c r="P115" s="7">
        <f t="shared" si="47"/>
        <v>0</v>
      </c>
      <c r="Q115" s="7">
        <f t="shared" si="48"/>
        <v>8031.3820294444522</v>
      </c>
      <c r="R115" s="5">
        <f t="shared" si="39"/>
        <v>3774.7495538388926</v>
      </c>
      <c r="S115" s="5">
        <f t="shared" si="40"/>
        <v>108446.14680173359</v>
      </c>
      <c r="T115" s="5"/>
    </row>
    <row r="116" spans="1:20" x14ac:dyDescent="0.35">
      <c r="A116">
        <f t="shared" si="41"/>
        <v>115</v>
      </c>
      <c r="B116" s="13">
        <f t="shared" si="42"/>
        <v>2036</v>
      </c>
      <c r="C116">
        <f t="shared" si="43"/>
        <v>7</v>
      </c>
      <c r="D116" t="b">
        <f t="shared" si="44"/>
        <v>0</v>
      </c>
      <c r="E116" s="7">
        <f t="shared" si="45"/>
        <v>287238.48308796308</v>
      </c>
      <c r="F116" cm="1">
        <f t="array" ref="F116">IF($A116="", "", MRate(E116))</f>
        <v>0.47000000000000003</v>
      </c>
      <c r="G116" s="7">
        <f t="shared" si="46"/>
        <v>9433.9622641509432</v>
      </c>
      <c r="H116" s="7">
        <f>IF($A116="", "", _xlfn.XLOOKUP($B116, YearlyParamsB!$A:$A, YearlyParamsB!$E:$E, 0))</f>
        <v>0</v>
      </c>
      <c r="I116" s="5">
        <f t="shared" si="32"/>
        <v>34468.61797055557</v>
      </c>
      <c r="J116" s="5">
        <f>IFERROR(IF($A116="", "", _xlfn.XLOOKUP($B116, YearlyParamsB!$A:$A, YearlyParamsB!$I:$I, 0)), 0)</f>
        <v>8031.3820294444522</v>
      </c>
      <c r="K116" s="5">
        <f t="shared" si="25"/>
        <v>8031.3820294444522</v>
      </c>
      <c r="L116" s="5">
        <f t="shared" si="49"/>
        <v>3774.7495538388926</v>
      </c>
      <c r="M116" s="5">
        <f t="shared" si="36"/>
        <v>9433.9622641509432</v>
      </c>
      <c r="N116" s="5">
        <f t="shared" si="37"/>
        <v>0</v>
      </c>
      <c r="O116" s="7">
        <f t="shared" si="38"/>
        <v>0</v>
      </c>
      <c r="P116" s="7">
        <f t="shared" si="47"/>
        <v>0</v>
      </c>
      <c r="Q116" s="7">
        <f t="shared" si="48"/>
        <v>8031.3820294444522</v>
      </c>
      <c r="R116" s="5">
        <f t="shared" si="39"/>
        <v>3774.7495538388926</v>
      </c>
      <c r="S116" s="5">
        <f t="shared" si="40"/>
        <v>108446.14680173359</v>
      </c>
      <c r="T116" s="5"/>
    </row>
    <row r="117" spans="1:20" x14ac:dyDescent="0.35">
      <c r="A117">
        <f t="shared" si="41"/>
        <v>116</v>
      </c>
      <c r="B117" s="13">
        <f t="shared" si="42"/>
        <v>2036</v>
      </c>
      <c r="C117">
        <f t="shared" si="43"/>
        <v>8</v>
      </c>
      <c r="D117" t="b">
        <f t="shared" si="44"/>
        <v>0</v>
      </c>
      <c r="E117" s="7">
        <f t="shared" si="45"/>
        <v>287238.48308796308</v>
      </c>
      <c r="F117" cm="1">
        <f t="array" ref="F117">IF($A117="", "", MRate(E117))</f>
        <v>0.47000000000000003</v>
      </c>
      <c r="G117" s="7">
        <f t="shared" si="46"/>
        <v>9433.9622641509432</v>
      </c>
      <c r="H117" s="7">
        <f>IF($A117="", "", _xlfn.XLOOKUP($B117, YearlyParamsB!$A:$A, YearlyParamsB!$E:$E, 0))</f>
        <v>0</v>
      </c>
      <c r="I117" s="5">
        <f t="shared" si="32"/>
        <v>34468.61797055557</v>
      </c>
      <c r="J117" s="5">
        <f>IFERROR(IF($A117="", "", _xlfn.XLOOKUP($B117, YearlyParamsB!$A:$A, YearlyParamsB!$I:$I, 0)), 0)</f>
        <v>8031.3820294444522</v>
      </c>
      <c r="K117" s="5">
        <f t="shared" si="25"/>
        <v>8031.3820294444522</v>
      </c>
      <c r="L117" s="5">
        <f t="shared" si="49"/>
        <v>3774.7495538388926</v>
      </c>
      <c r="M117" s="5">
        <f t="shared" si="36"/>
        <v>9433.9622641509432</v>
      </c>
      <c r="N117" s="5">
        <f t="shared" si="37"/>
        <v>0</v>
      </c>
      <c r="O117" s="7">
        <f t="shared" si="38"/>
        <v>0</v>
      </c>
      <c r="P117" s="7">
        <f t="shared" si="47"/>
        <v>0</v>
      </c>
      <c r="Q117" s="7">
        <f t="shared" si="48"/>
        <v>8031.3820294444522</v>
      </c>
      <c r="R117" s="5">
        <f t="shared" si="39"/>
        <v>3774.7495538388926</v>
      </c>
      <c r="S117" s="5">
        <f t="shared" si="40"/>
        <v>108446.14680173359</v>
      </c>
      <c r="T117" s="5"/>
    </row>
    <row r="118" spans="1:20" x14ac:dyDescent="0.35">
      <c r="A118">
        <f t="shared" si="41"/>
        <v>117</v>
      </c>
      <c r="B118" s="13">
        <f t="shared" si="42"/>
        <v>2036</v>
      </c>
      <c r="C118">
        <f t="shared" si="43"/>
        <v>9</v>
      </c>
      <c r="D118" t="b">
        <f t="shared" si="44"/>
        <v>0</v>
      </c>
      <c r="E118" s="7">
        <f t="shared" si="45"/>
        <v>287238.48308796308</v>
      </c>
      <c r="F118" cm="1">
        <f t="array" ref="F118">IF($A118="", "", MRate(E118))</f>
        <v>0.47000000000000003</v>
      </c>
      <c r="G118" s="7">
        <f t="shared" si="46"/>
        <v>9433.9622641509432</v>
      </c>
      <c r="H118" s="7">
        <f>IF($A118="", "", _xlfn.XLOOKUP($B118, YearlyParamsB!$A:$A, YearlyParamsB!$E:$E, 0))</f>
        <v>0</v>
      </c>
      <c r="I118" s="5">
        <f t="shared" si="32"/>
        <v>34468.61797055557</v>
      </c>
      <c r="J118" s="5">
        <f>IFERROR(IF($A118="", "", _xlfn.XLOOKUP($B118, YearlyParamsB!$A:$A, YearlyParamsB!$I:$I, 0)), 0)</f>
        <v>8031.3820294444522</v>
      </c>
      <c r="K118" s="5">
        <f t="shared" si="25"/>
        <v>8031.3820294444522</v>
      </c>
      <c r="L118" s="5">
        <f t="shared" si="49"/>
        <v>3774.7495538388926</v>
      </c>
      <c r="M118" s="5">
        <f t="shared" si="36"/>
        <v>9433.9622641509432</v>
      </c>
      <c r="N118" s="5">
        <f t="shared" si="37"/>
        <v>0</v>
      </c>
      <c r="O118" s="7">
        <f t="shared" si="38"/>
        <v>0</v>
      </c>
      <c r="P118" s="7">
        <f t="shared" si="47"/>
        <v>0</v>
      </c>
      <c r="Q118" s="7">
        <f t="shared" si="48"/>
        <v>8031.3820294444522</v>
      </c>
      <c r="R118" s="5">
        <f t="shared" si="39"/>
        <v>3774.7495538388926</v>
      </c>
      <c r="S118" s="5">
        <f t="shared" si="40"/>
        <v>108446.14680173359</v>
      </c>
      <c r="T118" s="5"/>
    </row>
    <row r="119" spans="1:20" x14ac:dyDescent="0.35">
      <c r="A119">
        <f t="shared" si="41"/>
        <v>118</v>
      </c>
      <c r="B119" s="13">
        <f t="shared" si="42"/>
        <v>2036</v>
      </c>
      <c r="C119">
        <f t="shared" si="43"/>
        <v>10</v>
      </c>
      <c r="D119" t="b">
        <f t="shared" si="44"/>
        <v>0</v>
      </c>
      <c r="E119" s="7">
        <f t="shared" si="45"/>
        <v>287238.48308796308</v>
      </c>
      <c r="F119" cm="1">
        <f t="array" ref="F119">IF($A119="", "", MRate(E119))</f>
        <v>0.47000000000000003</v>
      </c>
      <c r="G119" s="7">
        <f t="shared" si="46"/>
        <v>9433.9622641509432</v>
      </c>
      <c r="H119" s="7">
        <f>IF($A119="", "", _xlfn.XLOOKUP($B119, YearlyParamsB!$A:$A, YearlyParamsB!$E:$E, 0))</f>
        <v>0</v>
      </c>
      <c r="I119" s="5">
        <f t="shared" si="32"/>
        <v>34468.61797055557</v>
      </c>
      <c r="J119" s="5">
        <f>IFERROR(IF($A119="", "", _xlfn.XLOOKUP($B119, YearlyParamsB!$A:$A, YearlyParamsB!$I:$I, 0)), 0)</f>
        <v>8031.3820294444522</v>
      </c>
      <c r="K119" s="5">
        <f t="shared" si="25"/>
        <v>8031.3820294444522</v>
      </c>
      <c r="L119" s="5">
        <f t="shared" si="49"/>
        <v>3774.7495538388926</v>
      </c>
      <c r="M119" s="5">
        <f t="shared" si="36"/>
        <v>9433.9622641509432</v>
      </c>
      <c r="N119" s="5">
        <f t="shared" si="37"/>
        <v>0</v>
      </c>
      <c r="O119" s="7">
        <f t="shared" si="38"/>
        <v>0</v>
      </c>
      <c r="P119" s="7">
        <f t="shared" si="47"/>
        <v>0</v>
      </c>
      <c r="Q119" s="7">
        <f t="shared" si="48"/>
        <v>8031.3820294444522</v>
      </c>
      <c r="R119" s="5">
        <f t="shared" si="39"/>
        <v>3774.7495538388926</v>
      </c>
      <c r="S119" s="5">
        <f t="shared" si="40"/>
        <v>108446.14680173359</v>
      </c>
      <c r="T119" s="5"/>
    </row>
    <row r="120" spans="1:20" x14ac:dyDescent="0.35">
      <c r="A120">
        <f t="shared" si="41"/>
        <v>119</v>
      </c>
      <c r="B120" s="13">
        <f t="shared" si="42"/>
        <v>2036</v>
      </c>
      <c r="C120">
        <f t="shared" si="43"/>
        <v>11</v>
      </c>
      <c r="D120" t="b">
        <f t="shared" si="44"/>
        <v>0</v>
      </c>
      <c r="E120" s="7">
        <f t="shared" si="45"/>
        <v>287238.48308796308</v>
      </c>
      <c r="F120" cm="1">
        <f t="array" ref="F120">IF($A120="", "", MRate(E120))</f>
        <v>0.47000000000000003</v>
      </c>
      <c r="G120" s="7">
        <f t="shared" si="46"/>
        <v>9433.9622641509432</v>
      </c>
      <c r="H120" s="7">
        <f>IF($A120="", "", _xlfn.XLOOKUP($B120, YearlyParamsB!$A:$A, YearlyParamsB!$E:$E, 0))</f>
        <v>0</v>
      </c>
      <c r="I120" s="5">
        <f t="shared" si="32"/>
        <v>34468.61797055557</v>
      </c>
      <c r="J120" s="5">
        <f>IFERROR(IF($A120="", "", _xlfn.XLOOKUP($B120, YearlyParamsB!$A:$A, YearlyParamsB!$I:$I, 0)), 0)</f>
        <v>8031.3820294444522</v>
      </c>
      <c r="K120" s="5">
        <f t="shared" si="25"/>
        <v>8031.3820294444522</v>
      </c>
      <c r="L120" s="5">
        <f t="shared" si="49"/>
        <v>3774.7495538388926</v>
      </c>
      <c r="M120" s="5">
        <f t="shared" si="36"/>
        <v>9433.9622641509432</v>
      </c>
      <c r="N120" s="5">
        <f t="shared" si="37"/>
        <v>0</v>
      </c>
      <c r="O120" s="7">
        <f t="shared" si="38"/>
        <v>0</v>
      </c>
      <c r="P120" s="7">
        <f t="shared" si="47"/>
        <v>0</v>
      </c>
      <c r="Q120" s="7">
        <f t="shared" si="48"/>
        <v>8031.3820294444522</v>
      </c>
      <c r="R120" s="5">
        <f t="shared" si="39"/>
        <v>3774.7495538388926</v>
      </c>
      <c r="S120" s="5">
        <f t="shared" si="40"/>
        <v>108446.14680173359</v>
      </c>
      <c r="T120" s="5"/>
    </row>
    <row r="121" spans="1:20" x14ac:dyDescent="0.35">
      <c r="A121">
        <f t="shared" si="41"/>
        <v>120</v>
      </c>
      <c r="B121" s="13">
        <f t="shared" si="42"/>
        <v>2036</v>
      </c>
      <c r="C121">
        <f t="shared" si="43"/>
        <v>12</v>
      </c>
      <c r="D121" t="b">
        <f t="shared" si="44"/>
        <v>1</v>
      </c>
      <c r="E121" s="7">
        <f t="shared" si="45"/>
        <v>287238.48308796308</v>
      </c>
      <c r="F121" cm="1">
        <f t="array" ref="F121">IF($A121="", "", MRate(E121))</f>
        <v>0.47000000000000003</v>
      </c>
      <c r="G121" s="7">
        <f t="shared" si="46"/>
        <v>9433.9622641509432</v>
      </c>
      <c r="H121" s="7">
        <f>IF($A121="", "", _xlfn.XLOOKUP($B121, YearlyParamsB!$A:$A, YearlyParamsB!$E:$E, 0))</f>
        <v>0</v>
      </c>
      <c r="I121" s="5">
        <f t="shared" si="32"/>
        <v>34468.61797055557</v>
      </c>
      <c r="J121" s="5">
        <f>IFERROR(IF($A121="", "", _xlfn.XLOOKUP($B121, YearlyParamsB!$A:$A, YearlyParamsB!$I:$I, 0)), 0)</f>
        <v>8031.3820294444522</v>
      </c>
      <c r="K121" s="5">
        <f t="shared" si="25"/>
        <v>8031.3820294444522</v>
      </c>
      <c r="L121" s="5">
        <f t="shared" si="49"/>
        <v>3774.7495538388926</v>
      </c>
      <c r="M121" s="5">
        <f t="shared" si="36"/>
        <v>9433.9622641509432</v>
      </c>
      <c r="N121" s="5">
        <f t="shared" si="37"/>
        <v>0</v>
      </c>
      <c r="O121" s="7">
        <f t="shared" si="38"/>
        <v>0</v>
      </c>
      <c r="P121" s="7">
        <f t="shared" si="47"/>
        <v>0</v>
      </c>
      <c r="Q121" s="7">
        <f t="shared" si="48"/>
        <v>8031.3820294444522</v>
      </c>
      <c r="R121" s="5">
        <f t="shared" si="39"/>
        <v>3774.7495538388926</v>
      </c>
      <c r="S121" s="5">
        <f t="shared" si="40"/>
        <v>108446.14680173359</v>
      </c>
      <c r="T121" s="5"/>
    </row>
    <row r="122" spans="1:20" x14ac:dyDescent="0.35">
      <c r="A122">
        <f t="shared" si="41"/>
        <v>121</v>
      </c>
      <c r="B122" s="13">
        <f t="shared" si="42"/>
        <v>2037</v>
      </c>
      <c r="C122">
        <f t="shared" si="43"/>
        <v>1</v>
      </c>
      <c r="D122" t="b">
        <f t="shared" si="44"/>
        <v>0</v>
      </c>
      <c r="E122" s="7">
        <f t="shared" si="45"/>
        <v>294419.44516516215</v>
      </c>
      <c r="F122" cm="1">
        <f t="array" ref="F122">IF($A122="", "", MRate(E122))</f>
        <v>0.47000000000000003</v>
      </c>
      <c r="G122" s="7">
        <f t="shared" si="46"/>
        <v>9433.9622641509432</v>
      </c>
      <c r="H122" s="7">
        <f>IF($A122="", "", _xlfn.XLOOKUP($B122, YearlyParamsB!$A:$A, YearlyParamsB!$E:$E, 0))</f>
        <v>0</v>
      </c>
      <c r="I122" s="5">
        <f t="shared" si="32"/>
        <v>35330.333419819457</v>
      </c>
      <c r="J122" s="5">
        <f>IFERROR(IF($A122="", "", _xlfn.XLOOKUP($B122, YearlyParamsB!$A:$A, YearlyParamsB!$I:$I, 0)), 0)</f>
        <v>9669.6665801805648</v>
      </c>
      <c r="K122" s="5">
        <f t="shared" si="25"/>
        <v>0</v>
      </c>
      <c r="L122" s="5">
        <f t="shared" si="49"/>
        <v>0</v>
      </c>
      <c r="M122" s="5">
        <f t="shared" si="36"/>
        <v>9433.9622641509432</v>
      </c>
      <c r="N122" s="5">
        <f t="shared" si="37"/>
        <v>9669.6665801805648</v>
      </c>
      <c r="O122" s="7">
        <f t="shared" si="38"/>
        <v>9433.9622641509432</v>
      </c>
      <c r="P122" s="7">
        <f t="shared" si="47"/>
        <v>4433.9622641509432</v>
      </c>
      <c r="Q122" s="7">
        <f t="shared" si="48"/>
        <v>9433.9622641509432</v>
      </c>
      <c r="R122" s="5">
        <f>IFERROR(IF($A121="", "", IF(B122&lt;&gt;B121,P122,R121+P122)), 0)</f>
        <v>4433.9622641509432</v>
      </c>
      <c r="S122" s="5">
        <f t="shared" si="40"/>
        <v>112880.10906588454</v>
      </c>
      <c r="T122" s="5"/>
    </row>
    <row r="123" spans="1:20" x14ac:dyDescent="0.35">
      <c r="A123">
        <f t="shared" si="41"/>
        <v>122</v>
      </c>
      <c r="B123" s="13">
        <f t="shared" si="42"/>
        <v>2037</v>
      </c>
      <c r="C123">
        <f t="shared" si="43"/>
        <v>2</v>
      </c>
      <c r="D123" t="b">
        <f t="shared" si="44"/>
        <v>0</v>
      </c>
      <c r="E123" s="7">
        <f t="shared" si="45"/>
        <v>294419.44516516215</v>
      </c>
      <c r="F123" cm="1">
        <f t="array" ref="F123">IF($A123="", "", MRate(E123))</f>
        <v>0.47000000000000003</v>
      </c>
      <c r="G123" s="7">
        <f t="shared" si="46"/>
        <v>9433.9622641509432</v>
      </c>
      <c r="H123" s="7">
        <f>IF($A123="", "", _xlfn.XLOOKUP($B123, YearlyParamsB!$A:$A, YearlyParamsB!$E:$E, 0))</f>
        <v>0</v>
      </c>
      <c r="I123" s="5">
        <f t="shared" si="32"/>
        <v>35330.333419819457</v>
      </c>
      <c r="J123" s="5">
        <f>IFERROR(IF($A123="", "", _xlfn.XLOOKUP($B123, YearlyParamsB!$A:$A, YearlyParamsB!$I:$I, 0)), 0)</f>
        <v>9669.6665801805648</v>
      </c>
      <c r="K123" s="5">
        <f t="shared" si="25"/>
        <v>9433.9622641509432</v>
      </c>
      <c r="L123" s="5">
        <f t="shared" si="49"/>
        <v>4433.9622641509432</v>
      </c>
      <c r="M123" s="5">
        <f t="shared" si="36"/>
        <v>9433.9622641509432</v>
      </c>
      <c r="N123" s="5">
        <f t="shared" si="37"/>
        <v>235.70431602962162</v>
      </c>
      <c r="O123" s="7">
        <f t="shared" si="38"/>
        <v>235.70431602962162</v>
      </c>
      <c r="P123" s="7">
        <f t="shared" si="47"/>
        <v>110.78102853392217</v>
      </c>
      <c r="Q123" s="7">
        <f t="shared" si="48"/>
        <v>9669.6665801805648</v>
      </c>
      <c r="R123" s="5">
        <f t="shared" ref="R123:R164" si="50">IFERROR(IF($A122="", "", IF(B123&lt;&gt;B122,P123,R122+P123)), 0)</f>
        <v>4544.7432926848651</v>
      </c>
      <c r="S123" s="5">
        <f t="shared" si="40"/>
        <v>112990.89009441846</v>
      </c>
      <c r="T123" s="5"/>
    </row>
    <row r="124" spans="1:20" x14ac:dyDescent="0.35">
      <c r="A124">
        <f t="shared" si="41"/>
        <v>123</v>
      </c>
      <c r="B124" s="13">
        <f t="shared" si="42"/>
        <v>2037</v>
      </c>
      <c r="C124">
        <f t="shared" si="43"/>
        <v>3</v>
      </c>
      <c r="D124" t="b">
        <f t="shared" si="44"/>
        <v>0</v>
      </c>
      <c r="E124" s="7">
        <f t="shared" si="45"/>
        <v>294419.44516516215</v>
      </c>
      <c r="F124" cm="1">
        <f t="array" ref="F124">IF($A124="", "", MRate(E124))</f>
        <v>0.47000000000000003</v>
      </c>
      <c r="G124" s="7">
        <f t="shared" si="46"/>
        <v>9433.9622641509432</v>
      </c>
      <c r="H124" s="7">
        <f>IF($A124="", "", _xlfn.XLOOKUP($B124, YearlyParamsB!$A:$A, YearlyParamsB!$E:$E, 0))</f>
        <v>0</v>
      </c>
      <c r="I124" s="5">
        <f t="shared" si="32"/>
        <v>35330.333419819457</v>
      </c>
      <c r="J124" s="5">
        <f>IFERROR(IF($A124="", "", _xlfn.XLOOKUP($B124, YearlyParamsB!$A:$A, YearlyParamsB!$I:$I, 0)), 0)</f>
        <v>9669.6665801805648</v>
      </c>
      <c r="K124" s="5">
        <f t="shared" si="25"/>
        <v>9669.6665801805648</v>
      </c>
      <c r="L124" s="5">
        <f t="shared" si="49"/>
        <v>4544.7432926848651</v>
      </c>
      <c r="M124" s="5">
        <f t="shared" si="36"/>
        <v>9433.9622641509432</v>
      </c>
      <c r="N124" s="5">
        <f t="shared" si="37"/>
        <v>0</v>
      </c>
      <c r="O124" s="7">
        <f t="shared" si="38"/>
        <v>0</v>
      </c>
      <c r="P124" s="7">
        <f t="shared" si="47"/>
        <v>0</v>
      </c>
      <c r="Q124" s="7">
        <f t="shared" si="48"/>
        <v>9669.6665801805648</v>
      </c>
      <c r="R124" s="5">
        <f t="shared" si="50"/>
        <v>4544.7432926848651</v>
      </c>
      <c r="S124" s="5">
        <f t="shared" si="40"/>
        <v>112990.89009441846</v>
      </c>
      <c r="T124" s="5"/>
    </row>
    <row r="125" spans="1:20" x14ac:dyDescent="0.35">
      <c r="A125">
        <f t="shared" si="41"/>
        <v>124</v>
      </c>
      <c r="B125" s="13">
        <f t="shared" si="42"/>
        <v>2037</v>
      </c>
      <c r="C125">
        <f t="shared" si="43"/>
        <v>4</v>
      </c>
      <c r="D125" t="b">
        <f t="shared" si="44"/>
        <v>0</v>
      </c>
      <c r="E125" s="7">
        <f t="shared" si="45"/>
        <v>294419.44516516215</v>
      </c>
      <c r="F125" cm="1">
        <f t="array" ref="F125">IF($A125="", "", MRate(E125))</f>
        <v>0.47000000000000003</v>
      </c>
      <c r="G125" s="7">
        <f t="shared" si="46"/>
        <v>9433.9622641509432</v>
      </c>
      <c r="H125" s="7">
        <f>IF($A125="", "", _xlfn.XLOOKUP($B125, YearlyParamsB!$A:$A, YearlyParamsB!$E:$E, 0))</f>
        <v>0</v>
      </c>
      <c r="I125" s="5">
        <f t="shared" si="32"/>
        <v>35330.333419819457</v>
      </c>
      <c r="J125" s="5">
        <f>IFERROR(IF($A125="", "", _xlfn.XLOOKUP($B125, YearlyParamsB!$A:$A, YearlyParamsB!$I:$I, 0)), 0)</f>
        <v>9669.6665801805648</v>
      </c>
      <c r="K125" s="5">
        <f t="shared" si="25"/>
        <v>9669.6665801805648</v>
      </c>
      <c r="L125" s="5">
        <f t="shared" si="49"/>
        <v>4544.7432926848651</v>
      </c>
      <c r="M125" s="5">
        <f t="shared" si="36"/>
        <v>9433.9622641509432</v>
      </c>
      <c r="N125" s="5">
        <f t="shared" si="37"/>
        <v>0</v>
      </c>
      <c r="O125" s="7">
        <f t="shared" si="38"/>
        <v>0</v>
      </c>
      <c r="P125" s="7">
        <f t="shared" si="47"/>
        <v>0</v>
      </c>
      <c r="Q125" s="7">
        <f t="shared" si="48"/>
        <v>9669.6665801805648</v>
      </c>
      <c r="R125" s="5">
        <f t="shared" si="50"/>
        <v>4544.7432926848651</v>
      </c>
      <c r="S125" s="5">
        <f t="shared" si="40"/>
        <v>112990.89009441846</v>
      </c>
      <c r="T125" s="5"/>
    </row>
    <row r="126" spans="1:20" x14ac:dyDescent="0.35">
      <c r="A126">
        <f t="shared" si="41"/>
        <v>125</v>
      </c>
      <c r="B126" s="13">
        <f t="shared" si="42"/>
        <v>2037</v>
      </c>
      <c r="C126">
        <f t="shared" si="43"/>
        <v>5</v>
      </c>
      <c r="D126" t="b">
        <f t="shared" si="44"/>
        <v>0</v>
      </c>
      <c r="E126" s="7">
        <f t="shared" si="45"/>
        <v>294419.44516516215</v>
      </c>
      <c r="F126" cm="1">
        <f t="array" ref="F126">IF($A126="", "", MRate(E126))</f>
        <v>0.47000000000000003</v>
      </c>
      <c r="G126" s="7">
        <f t="shared" si="46"/>
        <v>9433.9622641509432</v>
      </c>
      <c r="H126" s="7">
        <f>IF($A126="", "", _xlfn.XLOOKUP($B126, YearlyParamsB!$A:$A, YearlyParamsB!$E:$E, 0))</f>
        <v>0</v>
      </c>
      <c r="I126" s="5">
        <f t="shared" si="32"/>
        <v>35330.333419819457</v>
      </c>
      <c r="J126" s="5">
        <f>IFERROR(IF($A126="", "", _xlfn.XLOOKUP($B126, YearlyParamsB!$A:$A, YearlyParamsB!$I:$I, 0)), 0)</f>
        <v>9669.6665801805648</v>
      </c>
      <c r="K126" s="5">
        <f t="shared" si="25"/>
        <v>9669.6665801805648</v>
      </c>
      <c r="L126" s="5">
        <f t="shared" si="49"/>
        <v>4544.7432926848651</v>
      </c>
      <c r="M126" s="5">
        <f t="shared" si="36"/>
        <v>9433.9622641509432</v>
      </c>
      <c r="N126" s="5">
        <f t="shared" si="37"/>
        <v>0</v>
      </c>
      <c r="O126" s="7">
        <f t="shared" si="38"/>
        <v>0</v>
      </c>
      <c r="P126" s="7">
        <f t="shared" si="47"/>
        <v>0</v>
      </c>
      <c r="Q126" s="7">
        <f t="shared" si="48"/>
        <v>9669.6665801805648</v>
      </c>
      <c r="R126" s="5">
        <f t="shared" si="50"/>
        <v>4544.7432926848651</v>
      </c>
      <c r="S126" s="5">
        <f t="shared" si="40"/>
        <v>112990.89009441846</v>
      </c>
      <c r="T126" s="5"/>
    </row>
    <row r="127" spans="1:20" x14ac:dyDescent="0.35">
      <c r="A127">
        <f t="shared" si="41"/>
        <v>126</v>
      </c>
      <c r="B127" s="13">
        <f t="shared" si="42"/>
        <v>2037</v>
      </c>
      <c r="C127">
        <f t="shared" si="43"/>
        <v>6</v>
      </c>
      <c r="D127" t="b">
        <f t="shared" si="44"/>
        <v>0</v>
      </c>
      <c r="E127" s="7">
        <f t="shared" si="45"/>
        <v>294419.44516516215</v>
      </c>
      <c r="F127" cm="1">
        <f t="array" ref="F127">IF($A127="", "", MRate(E127))</f>
        <v>0.47000000000000003</v>
      </c>
      <c r="G127" s="7">
        <f t="shared" si="46"/>
        <v>9433.9622641509432</v>
      </c>
      <c r="H127" s="7">
        <f>IF($A127="", "", _xlfn.XLOOKUP($B127, YearlyParamsB!$A:$A, YearlyParamsB!$E:$E, 0))</f>
        <v>0</v>
      </c>
      <c r="I127" s="5">
        <f t="shared" si="32"/>
        <v>35330.333419819457</v>
      </c>
      <c r="J127" s="5">
        <f>IFERROR(IF($A127="", "", _xlfn.XLOOKUP($B127, YearlyParamsB!$A:$A, YearlyParamsB!$I:$I, 0)), 0)</f>
        <v>9669.6665801805648</v>
      </c>
      <c r="K127" s="5">
        <f t="shared" ref="K127:K164" si="51">IFERROR(IF($A126="", "", IF(B127&lt;&gt;B126,0,Q126)), 0)</f>
        <v>9669.6665801805648</v>
      </c>
      <c r="L127" s="5">
        <f t="shared" si="49"/>
        <v>4544.7432926848651</v>
      </c>
      <c r="M127" s="5">
        <f t="shared" si="36"/>
        <v>9433.9622641509432</v>
      </c>
      <c r="N127" s="5">
        <f t="shared" si="37"/>
        <v>0</v>
      </c>
      <c r="O127" s="7">
        <f t="shared" si="38"/>
        <v>0</v>
      </c>
      <c r="P127" s="7">
        <f t="shared" si="47"/>
        <v>0</v>
      </c>
      <c r="Q127" s="7">
        <f t="shared" si="48"/>
        <v>9669.6665801805648</v>
      </c>
      <c r="R127" s="5">
        <f t="shared" si="50"/>
        <v>4544.7432926848651</v>
      </c>
      <c r="S127" s="5">
        <f t="shared" si="40"/>
        <v>112990.89009441846</v>
      </c>
      <c r="T127" s="5"/>
    </row>
    <row r="128" spans="1:20" x14ac:dyDescent="0.35">
      <c r="A128">
        <f t="shared" si="41"/>
        <v>127</v>
      </c>
      <c r="B128" s="13">
        <f t="shared" si="42"/>
        <v>2037</v>
      </c>
      <c r="C128">
        <f t="shared" si="43"/>
        <v>7</v>
      </c>
      <c r="D128" t="b">
        <f t="shared" si="44"/>
        <v>0</v>
      </c>
      <c r="E128" s="7">
        <f t="shared" si="45"/>
        <v>294419.44516516215</v>
      </c>
      <c r="F128" cm="1">
        <f t="array" ref="F128">IF($A128="", "", MRate(E128))</f>
        <v>0.47000000000000003</v>
      </c>
      <c r="G128" s="7">
        <f t="shared" si="46"/>
        <v>9433.9622641509432</v>
      </c>
      <c r="H128" s="7">
        <f>IF($A128="", "", _xlfn.XLOOKUP($B128, YearlyParamsB!$A:$A, YearlyParamsB!$E:$E, 0))</f>
        <v>0</v>
      </c>
      <c r="I128" s="5">
        <f t="shared" si="32"/>
        <v>35330.333419819457</v>
      </c>
      <c r="J128" s="5">
        <f>IFERROR(IF($A128="", "", _xlfn.XLOOKUP($B128, YearlyParamsB!$A:$A, YearlyParamsB!$I:$I, 0)), 0)</f>
        <v>9669.6665801805648</v>
      </c>
      <c r="K128" s="5">
        <f t="shared" si="51"/>
        <v>9669.6665801805648</v>
      </c>
      <c r="L128" s="5">
        <f t="shared" si="49"/>
        <v>4544.7432926848651</v>
      </c>
      <c r="M128" s="5">
        <f t="shared" si="36"/>
        <v>9433.9622641509432</v>
      </c>
      <c r="N128" s="5">
        <f t="shared" si="37"/>
        <v>0</v>
      </c>
      <c r="O128" s="7">
        <f t="shared" si="38"/>
        <v>0</v>
      </c>
      <c r="P128" s="7">
        <f t="shared" si="47"/>
        <v>0</v>
      </c>
      <c r="Q128" s="7">
        <f t="shared" si="48"/>
        <v>9669.6665801805648</v>
      </c>
      <c r="R128" s="5">
        <f t="shared" si="50"/>
        <v>4544.7432926848651</v>
      </c>
      <c r="S128" s="5">
        <f t="shared" si="40"/>
        <v>112990.89009441846</v>
      </c>
      <c r="T128" s="5"/>
    </row>
    <row r="129" spans="1:20" x14ac:dyDescent="0.35">
      <c r="A129">
        <f t="shared" si="41"/>
        <v>128</v>
      </c>
      <c r="B129" s="13">
        <f t="shared" si="42"/>
        <v>2037</v>
      </c>
      <c r="C129">
        <f t="shared" si="43"/>
        <v>8</v>
      </c>
      <c r="D129" t="b">
        <f t="shared" si="44"/>
        <v>0</v>
      </c>
      <c r="E129" s="7">
        <f t="shared" si="45"/>
        <v>294419.44516516215</v>
      </c>
      <c r="F129" cm="1">
        <f t="array" ref="F129">IF($A129="", "", MRate(E129))</f>
        <v>0.47000000000000003</v>
      </c>
      <c r="G129" s="7">
        <f t="shared" si="46"/>
        <v>9433.9622641509432</v>
      </c>
      <c r="H129" s="7">
        <f>IF($A129="", "", _xlfn.XLOOKUP($B129, YearlyParamsB!$A:$A, YearlyParamsB!$E:$E, 0))</f>
        <v>0</v>
      </c>
      <c r="I129" s="5">
        <f t="shared" si="32"/>
        <v>35330.333419819457</v>
      </c>
      <c r="J129" s="5">
        <f>IFERROR(IF($A129="", "", _xlfn.XLOOKUP($B129, YearlyParamsB!$A:$A, YearlyParamsB!$I:$I, 0)), 0)</f>
        <v>9669.6665801805648</v>
      </c>
      <c r="K129" s="5">
        <f t="shared" si="51"/>
        <v>9669.6665801805648</v>
      </c>
      <c r="L129" s="5">
        <f t="shared" si="49"/>
        <v>4544.7432926848651</v>
      </c>
      <c r="M129" s="5">
        <f t="shared" si="36"/>
        <v>9433.9622641509432</v>
      </c>
      <c r="N129" s="5">
        <f t="shared" si="37"/>
        <v>0</v>
      </c>
      <c r="O129" s="7">
        <f t="shared" si="38"/>
        <v>0</v>
      </c>
      <c r="P129" s="7">
        <f t="shared" si="47"/>
        <v>0</v>
      </c>
      <c r="Q129" s="7">
        <f t="shared" si="48"/>
        <v>9669.6665801805648</v>
      </c>
      <c r="R129" s="5">
        <f t="shared" si="50"/>
        <v>4544.7432926848651</v>
      </c>
      <c r="S129" s="5">
        <f t="shared" si="40"/>
        <v>112990.89009441846</v>
      </c>
      <c r="T129" s="5"/>
    </row>
    <row r="130" spans="1:20" x14ac:dyDescent="0.35">
      <c r="A130">
        <f t="shared" ref="A130:A181" si="52">IF(ROW()-1 &lt;= TotalPeriodsB, ROW()-1, "")</f>
        <v>129</v>
      </c>
      <c r="B130" s="13">
        <f t="shared" ref="B130:B181" si="53">IF(ROW()-1 &lt;= TotalPeriodsB, YEAR(StartYear) + INT((ROW()-2)/PPYB), "")</f>
        <v>2037</v>
      </c>
      <c r="C130">
        <f t="shared" ref="C130:C181" si="54">IF($A130="", "", MOD($A130-1, PPYB)+1)</f>
        <v>9</v>
      </c>
      <c r="D130" t="b">
        <f t="shared" ref="D130:D161" si="55">IF($A130="", "", C130=PPYB)</f>
        <v>0</v>
      </c>
      <c r="E130" s="7">
        <f t="shared" ref="E130:E164" si="56">IF($A130="","",IncB*(1+Inflation)^((B130 - YEAR(StartYear))))</f>
        <v>294419.44516516215</v>
      </c>
      <c r="F130" cm="1">
        <f t="array" ref="F130">IF($A130="", "", MRate(E130))</f>
        <v>0.47000000000000003</v>
      </c>
      <c r="G130" s="7">
        <f t="shared" ref="G130:G161" si="57">IF($A130="", "", AfterTaxB/(1-F130))</f>
        <v>9433.9622641509432</v>
      </c>
      <c r="H130" s="7">
        <f>IF($A130="", "", _xlfn.XLOOKUP($B130, YearlyParamsB!$A:$A, YearlyParamsB!$E:$E, 0))</f>
        <v>0</v>
      </c>
      <c r="I130" s="5">
        <f t="shared" ref="I130:I157" si="58">IF($A130="", "", E130*SGRate)</f>
        <v>35330.333419819457</v>
      </c>
      <c r="J130" s="5">
        <f>IFERROR(IF($A130="", "", _xlfn.XLOOKUP($B130, YearlyParamsB!$A:$A, YearlyParamsB!$I:$I, 0)), 0)</f>
        <v>9669.6665801805648</v>
      </c>
      <c r="K130" s="5">
        <f t="shared" si="51"/>
        <v>9669.6665801805648</v>
      </c>
      <c r="L130" s="5">
        <f t="shared" si="49"/>
        <v>4544.7432926848651</v>
      </c>
      <c r="M130" s="5">
        <f t="shared" si="36"/>
        <v>9433.9622641509432</v>
      </c>
      <c r="N130" s="5">
        <f t="shared" si="37"/>
        <v>0</v>
      </c>
      <c r="O130" s="7">
        <f t="shared" si="38"/>
        <v>0</v>
      </c>
      <c r="P130" s="7">
        <f t="shared" ref="P130:P161" si="59">IFERROR(IF($A130="", "", MIN(G130+L130/PPYB,N130)*F130 + MAX(0, MIN(G130+L130/PPYB,N130) - MIN(G130,N130))), 0)</f>
        <v>0</v>
      </c>
      <c r="Q130" s="7">
        <f t="shared" ref="Q130:Q161" si="60">IFERROR(IF($A130="", "", K130+MIN(G130+L130/PPYB,N130)), 0)</f>
        <v>9669.6665801805648</v>
      </c>
      <c r="R130" s="5">
        <f t="shared" si="50"/>
        <v>4544.7432926848651</v>
      </c>
      <c r="S130" s="5">
        <f t="shared" si="40"/>
        <v>112990.89009441846</v>
      </c>
      <c r="T130" s="5"/>
    </row>
    <row r="131" spans="1:20" x14ac:dyDescent="0.35">
      <c r="A131">
        <f t="shared" si="52"/>
        <v>130</v>
      </c>
      <c r="B131" s="13">
        <f t="shared" si="53"/>
        <v>2037</v>
      </c>
      <c r="C131">
        <f t="shared" si="54"/>
        <v>10</v>
      </c>
      <c r="D131" t="b">
        <f t="shared" si="55"/>
        <v>0</v>
      </c>
      <c r="E131" s="7">
        <f t="shared" si="56"/>
        <v>294419.44516516215</v>
      </c>
      <c r="F131" cm="1">
        <f t="array" ref="F131">IF($A131="", "", MRate(E131))</f>
        <v>0.47000000000000003</v>
      </c>
      <c r="G131" s="7">
        <f t="shared" si="57"/>
        <v>9433.9622641509432</v>
      </c>
      <c r="H131" s="7">
        <f>IF($A131="", "", _xlfn.XLOOKUP($B131, YearlyParamsB!$A:$A, YearlyParamsB!$E:$E, 0))</f>
        <v>0</v>
      </c>
      <c r="I131" s="5">
        <f t="shared" si="58"/>
        <v>35330.333419819457</v>
      </c>
      <c r="J131" s="5">
        <f>IFERROR(IF($A131="", "", _xlfn.XLOOKUP($B131, YearlyParamsB!$A:$A, YearlyParamsB!$I:$I, 0)), 0)</f>
        <v>9669.6665801805648</v>
      </c>
      <c r="K131" s="5">
        <f t="shared" si="51"/>
        <v>9669.6665801805648</v>
      </c>
      <c r="L131" s="5">
        <f t="shared" ref="L131:L162" si="61">IFERROR(IF($A130="","",IF(B131&lt;&gt;B130, 0, L130 + MIN(G130+L130/PPYB, J130-K130)*F130)), 0)</f>
        <v>4544.7432926848651</v>
      </c>
      <c r="M131" s="5">
        <f t="shared" si="36"/>
        <v>9433.9622641509432</v>
      </c>
      <c r="N131" s="5">
        <f t="shared" si="37"/>
        <v>0</v>
      </c>
      <c r="O131" s="7">
        <f t="shared" si="38"/>
        <v>0</v>
      </c>
      <c r="P131" s="7">
        <f t="shared" si="59"/>
        <v>0</v>
      </c>
      <c r="Q131" s="7">
        <f t="shared" si="60"/>
        <v>9669.6665801805648</v>
      </c>
      <c r="R131" s="5">
        <f t="shared" si="50"/>
        <v>4544.7432926848651</v>
      </c>
      <c r="S131" s="5">
        <f t="shared" si="40"/>
        <v>112990.89009441846</v>
      </c>
      <c r="T131" s="5"/>
    </row>
    <row r="132" spans="1:20" x14ac:dyDescent="0.35">
      <c r="A132">
        <f t="shared" si="52"/>
        <v>131</v>
      </c>
      <c r="B132" s="13">
        <f t="shared" si="53"/>
        <v>2037</v>
      </c>
      <c r="C132">
        <f t="shared" si="54"/>
        <v>11</v>
      </c>
      <c r="D132" t="b">
        <f t="shared" si="55"/>
        <v>0</v>
      </c>
      <c r="E132" s="7">
        <f t="shared" si="56"/>
        <v>294419.44516516215</v>
      </c>
      <c r="F132" cm="1">
        <f t="array" ref="F132">IF($A132="", "", MRate(E132))</f>
        <v>0.47000000000000003</v>
      </c>
      <c r="G132" s="7">
        <f t="shared" si="57"/>
        <v>9433.9622641509432</v>
      </c>
      <c r="H132" s="7">
        <f>IF($A132="", "", _xlfn.XLOOKUP($B132, YearlyParamsB!$A:$A, YearlyParamsB!$E:$E, 0))</f>
        <v>0</v>
      </c>
      <c r="I132" s="5">
        <f t="shared" si="58"/>
        <v>35330.333419819457</v>
      </c>
      <c r="J132" s="5">
        <f>IFERROR(IF($A132="", "", _xlfn.XLOOKUP($B132, YearlyParamsB!$A:$A, YearlyParamsB!$I:$I, 0)), 0)</f>
        <v>9669.6665801805648</v>
      </c>
      <c r="K132" s="5">
        <f t="shared" si="51"/>
        <v>9669.6665801805648</v>
      </c>
      <c r="L132" s="5">
        <f t="shared" si="61"/>
        <v>4544.7432926848651</v>
      </c>
      <c r="M132" s="5">
        <f t="shared" ref="M132:M181" si="62">IF($A132="", "", G132)</f>
        <v>9433.9622641509432</v>
      </c>
      <c r="N132" s="5">
        <f t="shared" ref="N132:N157" si="63">IFERROR(IF($A132="", "", J132-K132), 0)</f>
        <v>0</v>
      </c>
      <c r="O132" s="7">
        <f t="shared" ref="O132:O181" si="64">IFERROR(IF($A132="", "", MIN(G132,N132)), 0)</f>
        <v>0</v>
      </c>
      <c r="P132" s="7">
        <f t="shared" si="59"/>
        <v>0</v>
      </c>
      <c r="Q132" s="7">
        <f t="shared" si="60"/>
        <v>9669.6665801805648</v>
      </c>
      <c r="R132" s="5">
        <f t="shared" si="50"/>
        <v>4544.7432926848651</v>
      </c>
      <c r="S132" s="5">
        <f t="shared" si="40"/>
        <v>112990.89009441846</v>
      </c>
      <c r="T132" s="5"/>
    </row>
    <row r="133" spans="1:20" x14ac:dyDescent="0.35">
      <c r="A133">
        <f t="shared" si="52"/>
        <v>132</v>
      </c>
      <c r="B133" s="13">
        <f t="shared" si="53"/>
        <v>2037</v>
      </c>
      <c r="C133">
        <f t="shared" si="54"/>
        <v>12</v>
      </c>
      <c r="D133" t="b">
        <f t="shared" si="55"/>
        <v>1</v>
      </c>
      <c r="E133" s="7">
        <f t="shared" si="56"/>
        <v>294419.44516516215</v>
      </c>
      <c r="F133" cm="1">
        <f t="array" ref="F133">IF($A133="", "", MRate(E133))</f>
        <v>0.47000000000000003</v>
      </c>
      <c r="G133" s="7">
        <f t="shared" si="57"/>
        <v>9433.9622641509432</v>
      </c>
      <c r="H133" s="7">
        <f>IF($A133="", "", _xlfn.XLOOKUP($B133, YearlyParamsB!$A:$A, YearlyParamsB!$E:$E, 0))</f>
        <v>0</v>
      </c>
      <c r="I133" s="5">
        <f t="shared" si="58"/>
        <v>35330.333419819457</v>
      </c>
      <c r="J133" s="5">
        <f>IFERROR(IF($A133="", "", _xlfn.XLOOKUP($B133, YearlyParamsB!$A:$A, YearlyParamsB!$I:$I, 0)), 0)</f>
        <v>9669.6665801805648</v>
      </c>
      <c r="K133" s="5">
        <f t="shared" si="51"/>
        <v>9669.6665801805648</v>
      </c>
      <c r="L133" s="5">
        <f t="shared" si="61"/>
        <v>4544.7432926848651</v>
      </c>
      <c r="M133" s="5">
        <f t="shared" si="62"/>
        <v>9433.9622641509432</v>
      </c>
      <c r="N133" s="5">
        <f t="shared" si="63"/>
        <v>0</v>
      </c>
      <c r="O133" s="7">
        <f t="shared" si="64"/>
        <v>0</v>
      </c>
      <c r="P133" s="7">
        <f t="shared" si="59"/>
        <v>0</v>
      </c>
      <c r="Q133" s="7">
        <f t="shared" si="60"/>
        <v>9669.6665801805648</v>
      </c>
      <c r="R133" s="5">
        <f t="shared" si="50"/>
        <v>4544.7432926848651</v>
      </c>
      <c r="S133" s="5">
        <f t="shared" ref="S133:S157" si="65">IFERROR(IF($A133="", "", S132+P133), 0)</f>
        <v>112990.89009441846</v>
      </c>
      <c r="T133" s="5"/>
    </row>
    <row r="134" spans="1:20" x14ac:dyDescent="0.35">
      <c r="A134">
        <f t="shared" si="52"/>
        <v>133</v>
      </c>
      <c r="B134" s="13">
        <f t="shared" si="53"/>
        <v>2038</v>
      </c>
      <c r="C134">
        <f t="shared" si="54"/>
        <v>1</v>
      </c>
      <c r="D134" t="b">
        <f t="shared" si="55"/>
        <v>0</v>
      </c>
      <c r="E134" s="7">
        <f t="shared" si="56"/>
        <v>301779.93129429116</v>
      </c>
      <c r="F134" cm="1">
        <f t="array" ref="F134">IF($A134="", "", MRate(E134))</f>
        <v>0.47000000000000003</v>
      </c>
      <c r="G134" s="7">
        <f t="shared" si="57"/>
        <v>9433.9622641509432</v>
      </c>
      <c r="H134" s="7">
        <f>IF($A134="", "", _xlfn.XLOOKUP($B134, YearlyParamsB!$A:$A, YearlyParamsB!$E:$E, 0))</f>
        <v>0</v>
      </c>
      <c r="I134" s="5">
        <f t="shared" si="58"/>
        <v>36213.591755314941</v>
      </c>
      <c r="J134" s="5">
        <f>IFERROR(IF($A134="", "", _xlfn.XLOOKUP($B134, YearlyParamsB!$A:$A, YearlyParamsB!$I:$I, 0)), 0)</f>
        <v>8786.4082446850807</v>
      </c>
      <c r="K134" s="5">
        <f t="shared" si="51"/>
        <v>0</v>
      </c>
      <c r="L134" s="5">
        <f t="shared" si="61"/>
        <v>0</v>
      </c>
      <c r="M134" s="5">
        <f t="shared" si="62"/>
        <v>9433.9622641509432</v>
      </c>
      <c r="N134" s="5">
        <f t="shared" si="63"/>
        <v>8786.4082446850807</v>
      </c>
      <c r="O134" s="7">
        <f t="shared" si="64"/>
        <v>8786.4082446850807</v>
      </c>
      <c r="P134" s="7">
        <f t="shared" si="59"/>
        <v>4129.6118750019878</v>
      </c>
      <c r="Q134" s="7">
        <f t="shared" si="60"/>
        <v>8786.4082446850807</v>
      </c>
      <c r="R134" s="5">
        <f t="shared" si="50"/>
        <v>4129.6118750019878</v>
      </c>
      <c r="S134" s="5">
        <f t="shared" si="65"/>
        <v>117120.50196942044</v>
      </c>
      <c r="T134" s="5"/>
    </row>
    <row r="135" spans="1:20" x14ac:dyDescent="0.35">
      <c r="A135">
        <f t="shared" si="52"/>
        <v>134</v>
      </c>
      <c r="B135" s="13">
        <f t="shared" si="53"/>
        <v>2038</v>
      </c>
      <c r="C135">
        <f t="shared" si="54"/>
        <v>2</v>
      </c>
      <c r="D135" t="b">
        <f t="shared" si="55"/>
        <v>0</v>
      </c>
      <c r="E135" s="7">
        <f t="shared" si="56"/>
        <v>301779.93129429116</v>
      </c>
      <c r="F135" cm="1">
        <f t="array" ref="F135">IF($A135="", "", MRate(E135))</f>
        <v>0.47000000000000003</v>
      </c>
      <c r="G135" s="7">
        <f t="shared" si="57"/>
        <v>9433.9622641509432</v>
      </c>
      <c r="H135" s="7">
        <f>IF($A135="", "", _xlfn.XLOOKUP($B135, YearlyParamsB!$A:$A, YearlyParamsB!$E:$E, 0))</f>
        <v>0</v>
      </c>
      <c r="I135" s="5">
        <f t="shared" si="58"/>
        <v>36213.591755314941</v>
      </c>
      <c r="J135" s="5">
        <f>IFERROR(IF($A135="", "", _xlfn.XLOOKUP($B135, YearlyParamsB!$A:$A, YearlyParamsB!$I:$I, 0)), 0)</f>
        <v>8786.4082446850807</v>
      </c>
      <c r="K135" s="5">
        <f t="shared" si="51"/>
        <v>8786.4082446850807</v>
      </c>
      <c r="L135" s="5">
        <f t="shared" si="61"/>
        <v>4129.6118750019878</v>
      </c>
      <c r="M135" s="5">
        <f t="shared" si="62"/>
        <v>9433.9622641509432</v>
      </c>
      <c r="N135" s="5">
        <f t="shared" si="63"/>
        <v>0</v>
      </c>
      <c r="O135" s="7">
        <f t="shared" si="64"/>
        <v>0</v>
      </c>
      <c r="P135" s="7">
        <f t="shared" si="59"/>
        <v>0</v>
      </c>
      <c r="Q135" s="7">
        <f t="shared" si="60"/>
        <v>8786.4082446850807</v>
      </c>
      <c r="R135" s="5">
        <f t="shared" si="50"/>
        <v>4129.6118750019878</v>
      </c>
      <c r="S135" s="5">
        <f t="shared" si="65"/>
        <v>117120.50196942044</v>
      </c>
      <c r="T135" s="5"/>
    </row>
    <row r="136" spans="1:20" x14ac:dyDescent="0.35">
      <c r="A136">
        <f t="shared" si="52"/>
        <v>135</v>
      </c>
      <c r="B136" s="13">
        <f t="shared" si="53"/>
        <v>2038</v>
      </c>
      <c r="C136">
        <f t="shared" si="54"/>
        <v>3</v>
      </c>
      <c r="D136" t="b">
        <f t="shared" si="55"/>
        <v>0</v>
      </c>
      <c r="E136" s="7">
        <f t="shared" si="56"/>
        <v>301779.93129429116</v>
      </c>
      <c r="F136" cm="1">
        <f t="array" ref="F136">IF($A136="", "", MRate(E136))</f>
        <v>0.47000000000000003</v>
      </c>
      <c r="G136" s="7">
        <f t="shared" si="57"/>
        <v>9433.9622641509432</v>
      </c>
      <c r="H136" s="7">
        <f>IF($A136="", "", _xlfn.XLOOKUP($B136, YearlyParamsB!$A:$A, YearlyParamsB!$E:$E, 0))</f>
        <v>0</v>
      </c>
      <c r="I136" s="5">
        <f t="shared" si="58"/>
        <v>36213.591755314941</v>
      </c>
      <c r="J136" s="5">
        <f>IFERROR(IF($A136="", "", _xlfn.XLOOKUP($B136, YearlyParamsB!$A:$A, YearlyParamsB!$I:$I, 0)), 0)</f>
        <v>8786.4082446850807</v>
      </c>
      <c r="K136" s="5">
        <f t="shared" si="51"/>
        <v>8786.4082446850807</v>
      </c>
      <c r="L136" s="5">
        <f t="shared" si="61"/>
        <v>4129.6118750019878</v>
      </c>
      <c r="M136" s="5">
        <f t="shared" si="62"/>
        <v>9433.9622641509432</v>
      </c>
      <c r="N136" s="5">
        <f t="shared" si="63"/>
        <v>0</v>
      </c>
      <c r="O136" s="7">
        <f t="shared" si="64"/>
        <v>0</v>
      </c>
      <c r="P136" s="7">
        <f t="shared" si="59"/>
        <v>0</v>
      </c>
      <c r="Q136" s="7">
        <f t="shared" si="60"/>
        <v>8786.4082446850807</v>
      </c>
      <c r="R136" s="5">
        <f t="shared" si="50"/>
        <v>4129.6118750019878</v>
      </c>
      <c r="S136" s="5">
        <f t="shared" si="65"/>
        <v>117120.50196942044</v>
      </c>
      <c r="T136" s="5"/>
    </row>
    <row r="137" spans="1:20" x14ac:dyDescent="0.35">
      <c r="A137">
        <f t="shared" si="52"/>
        <v>136</v>
      </c>
      <c r="B137" s="13">
        <f t="shared" si="53"/>
        <v>2038</v>
      </c>
      <c r="C137">
        <f t="shared" si="54"/>
        <v>4</v>
      </c>
      <c r="D137" t="b">
        <f t="shared" si="55"/>
        <v>0</v>
      </c>
      <c r="E137" s="7">
        <f t="shared" si="56"/>
        <v>301779.93129429116</v>
      </c>
      <c r="F137" cm="1">
        <f t="array" ref="F137">IF($A137="", "", MRate(E137))</f>
        <v>0.47000000000000003</v>
      </c>
      <c r="G137" s="7">
        <f t="shared" si="57"/>
        <v>9433.9622641509432</v>
      </c>
      <c r="H137" s="7">
        <f>IF($A137="", "", _xlfn.XLOOKUP($B137, YearlyParamsB!$A:$A, YearlyParamsB!$E:$E, 0))</f>
        <v>0</v>
      </c>
      <c r="I137" s="5">
        <f t="shared" si="58"/>
        <v>36213.591755314941</v>
      </c>
      <c r="J137" s="5">
        <f>IFERROR(IF($A137="", "", _xlfn.XLOOKUP($B137, YearlyParamsB!$A:$A, YearlyParamsB!$I:$I, 0)), 0)</f>
        <v>8786.4082446850807</v>
      </c>
      <c r="K137" s="5">
        <f t="shared" si="51"/>
        <v>8786.4082446850807</v>
      </c>
      <c r="L137" s="5">
        <f t="shared" si="61"/>
        <v>4129.6118750019878</v>
      </c>
      <c r="M137" s="5">
        <f t="shared" si="62"/>
        <v>9433.9622641509432</v>
      </c>
      <c r="N137" s="5">
        <f t="shared" si="63"/>
        <v>0</v>
      </c>
      <c r="O137" s="7">
        <f t="shared" si="64"/>
        <v>0</v>
      </c>
      <c r="P137" s="7">
        <f t="shared" si="59"/>
        <v>0</v>
      </c>
      <c r="Q137" s="7">
        <f t="shared" si="60"/>
        <v>8786.4082446850807</v>
      </c>
      <c r="R137" s="5">
        <f t="shared" si="50"/>
        <v>4129.6118750019878</v>
      </c>
      <c r="S137" s="5">
        <f t="shared" si="65"/>
        <v>117120.50196942044</v>
      </c>
      <c r="T137" s="5"/>
    </row>
    <row r="138" spans="1:20" x14ac:dyDescent="0.35">
      <c r="A138">
        <f t="shared" si="52"/>
        <v>137</v>
      </c>
      <c r="B138" s="13">
        <f t="shared" si="53"/>
        <v>2038</v>
      </c>
      <c r="C138">
        <f t="shared" si="54"/>
        <v>5</v>
      </c>
      <c r="D138" t="b">
        <f t="shared" si="55"/>
        <v>0</v>
      </c>
      <c r="E138" s="7">
        <f t="shared" si="56"/>
        <v>301779.93129429116</v>
      </c>
      <c r="F138" cm="1">
        <f t="array" ref="F138">IF($A138="", "", MRate(E138))</f>
        <v>0.47000000000000003</v>
      </c>
      <c r="G138" s="7">
        <f t="shared" si="57"/>
        <v>9433.9622641509432</v>
      </c>
      <c r="H138" s="7">
        <f>IF($A138="", "", _xlfn.XLOOKUP($B138, YearlyParamsB!$A:$A, YearlyParamsB!$E:$E, 0))</f>
        <v>0</v>
      </c>
      <c r="I138" s="5">
        <f t="shared" si="58"/>
        <v>36213.591755314941</v>
      </c>
      <c r="J138" s="5">
        <f>IFERROR(IF($A138="", "", _xlfn.XLOOKUP($B138, YearlyParamsB!$A:$A, YearlyParamsB!$I:$I, 0)), 0)</f>
        <v>8786.4082446850807</v>
      </c>
      <c r="K138" s="5">
        <f t="shared" si="51"/>
        <v>8786.4082446850807</v>
      </c>
      <c r="L138" s="5">
        <f t="shared" si="61"/>
        <v>4129.6118750019878</v>
      </c>
      <c r="M138" s="5">
        <f t="shared" si="62"/>
        <v>9433.9622641509432</v>
      </c>
      <c r="N138" s="5">
        <f t="shared" si="63"/>
        <v>0</v>
      </c>
      <c r="O138" s="7">
        <f t="shared" si="64"/>
        <v>0</v>
      </c>
      <c r="P138" s="7">
        <f t="shared" si="59"/>
        <v>0</v>
      </c>
      <c r="Q138" s="7">
        <f t="shared" si="60"/>
        <v>8786.4082446850807</v>
      </c>
      <c r="R138" s="5">
        <f t="shared" si="50"/>
        <v>4129.6118750019878</v>
      </c>
      <c r="S138" s="5">
        <f t="shared" si="65"/>
        <v>117120.50196942044</v>
      </c>
      <c r="T138" s="5"/>
    </row>
    <row r="139" spans="1:20" x14ac:dyDescent="0.35">
      <c r="A139">
        <f t="shared" si="52"/>
        <v>138</v>
      </c>
      <c r="B139" s="13">
        <f t="shared" si="53"/>
        <v>2038</v>
      </c>
      <c r="C139">
        <f t="shared" si="54"/>
        <v>6</v>
      </c>
      <c r="D139" t="b">
        <f t="shared" si="55"/>
        <v>0</v>
      </c>
      <c r="E139" s="7">
        <f t="shared" si="56"/>
        <v>301779.93129429116</v>
      </c>
      <c r="F139" cm="1">
        <f t="array" ref="F139">IF($A139="", "", MRate(E139))</f>
        <v>0.47000000000000003</v>
      </c>
      <c r="G139" s="7">
        <f t="shared" si="57"/>
        <v>9433.9622641509432</v>
      </c>
      <c r="H139" s="7">
        <f>IF($A139="", "", _xlfn.XLOOKUP($B139, YearlyParamsB!$A:$A, YearlyParamsB!$E:$E, 0))</f>
        <v>0</v>
      </c>
      <c r="I139" s="5">
        <f t="shared" si="58"/>
        <v>36213.591755314941</v>
      </c>
      <c r="J139" s="5">
        <f>IFERROR(IF($A139="", "", _xlfn.XLOOKUP($B139, YearlyParamsB!$A:$A, YearlyParamsB!$I:$I, 0)), 0)</f>
        <v>8786.4082446850807</v>
      </c>
      <c r="K139" s="5">
        <f t="shared" si="51"/>
        <v>8786.4082446850807</v>
      </c>
      <c r="L139" s="5">
        <f t="shared" si="61"/>
        <v>4129.6118750019878</v>
      </c>
      <c r="M139" s="5">
        <f t="shared" si="62"/>
        <v>9433.9622641509432</v>
      </c>
      <c r="N139" s="5">
        <f t="shared" si="63"/>
        <v>0</v>
      </c>
      <c r="O139" s="7">
        <f t="shared" si="64"/>
        <v>0</v>
      </c>
      <c r="P139" s="7">
        <f t="shared" si="59"/>
        <v>0</v>
      </c>
      <c r="Q139" s="7">
        <f t="shared" si="60"/>
        <v>8786.4082446850807</v>
      </c>
      <c r="R139" s="5">
        <f t="shared" si="50"/>
        <v>4129.6118750019878</v>
      </c>
      <c r="S139" s="5">
        <f t="shared" si="65"/>
        <v>117120.50196942044</v>
      </c>
      <c r="T139" s="5"/>
    </row>
    <row r="140" spans="1:20" x14ac:dyDescent="0.35">
      <c r="A140">
        <f t="shared" si="52"/>
        <v>139</v>
      </c>
      <c r="B140" s="13">
        <f t="shared" si="53"/>
        <v>2038</v>
      </c>
      <c r="C140">
        <f t="shared" si="54"/>
        <v>7</v>
      </c>
      <c r="D140" t="b">
        <f t="shared" si="55"/>
        <v>0</v>
      </c>
      <c r="E140" s="7">
        <f t="shared" si="56"/>
        <v>301779.93129429116</v>
      </c>
      <c r="F140" cm="1">
        <f t="array" ref="F140">IF($A140="", "", MRate(E140))</f>
        <v>0.47000000000000003</v>
      </c>
      <c r="G140" s="7">
        <f t="shared" si="57"/>
        <v>9433.9622641509432</v>
      </c>
      <c r="H140" s="7">
        <f>IF($A140="", "", _xlfn.XLOOKUP($B140, YearlyParamsB!$A:$A, YearlyParamsB!$E:$E, 0))</f>
        <v>0</v>
      </c>
      <c r="I140" s="5">
        <f t="shared" si="58"/>
        <v>36213.591755314941</v>
      </c>
      <c r="J140" s="5">
        <f>IFERROR(IF($A140="", "", _xlfn.XLOOKUP($B140, YearlyParamsB!$A:$A, YearlyParamsB!$I:$I, 0)), 0)</f>
        <v>8786.4082446850807</v>
      </c>
      <c r="K140" s="5">
        <f t="shared" si="51"/>
        <v>8786.4082446850807</v>
      </c>
      <c r="L140" s="5">
        <f t="shared" si="61"/>
        <v>4129.6118750019878</v>
      </c>
      <c r="M140" s="5">
        <f t="shared" si="62"/>
        <v>9433.9622641509432</v>
      </c>
      <c r="N140" s="5">
        <f t="shared" si="63"/>
        <v>0</v>
      </c>
      <c r="O140" s="7">
        <f t="shared" si="64"/>
        <v>0</v>
      </c>
      <c r="P140" s="7">
        <f t="shared" si="59"/>
        <v>0</v>
      </c>
      <c r="Q140" s="7">
        <f t="shared" si="60"/>
        <v>8786.4082446850807</v>
      </c>
      <c r="R140" s="5">
        <f t="shared" si="50"/>
        <v>4129.6118750019878</v>
      </c>
      <c r="S140" s="5">
        <f t="shared" si="65"/>
        <v>117120.50196942044</v>
      </c>
      <c r="T140" s="5"/>
    </row>
    <row r="141" spans="1:20" x14ac:dyDescent="0.35">
      <c r="A141">
        <f t="shared" si="52"/>
        <v>140</v>
      </c>
      <c r="B141" s="13">
        <f t="shared" si="53"/>
        <v>2038</v>
      </c>
      <c r="C141">
        <f t="shared" si="54"/>
        <v>8</v>
      </c>
      <c r="D141" t="b">
        <f t="shared" si="55"/>
        <v>0</v>
      </c>
      <c r="E141" s="7">
        <f t="shared" si="56"/>
        <v>301779.93129429116</v>
      </c>
      <c r="F141" cm="1">
        <f t="array" ref="F141">IF($A141="", "", MRate(E141))</f>
        <v>0.47000000000000003</v>
      </c>
      <c r="G141" s="7">
        <f t="shared" si="57"/>
        <v>9433.9622641509432</v>
      </c>
      <c r="H141" s="7">
        <f>IF($A141="", "", _xlfn.XLOOKUP($B141, YearlyParamsB!$A:$A, YearlyParamsB!$E:$E, 0))</f>
        <v>0</v>
      </c>
      <c r="I141" s="5">
        <f t="shared" si="58"/>
        <v>36213.591755314941</v>
      </c>
      <c r="J141" s="5">
        <f>IFERROR(IF($A141="", "", _xlfn.XLOOKUP($B141, YearlyParamsB!$A:$A, YearlyParamsB!$I:$I, 0)), 0)</f>
        <v>8786.4082446850807</v>
      </c>
      <c r="K141" s="5">
        <f t="shared" si="51"/>
        <v>8786.4082446850807</v>
      </c>
      <c r="L141" s="5">
        <f t="shared" si="61"/>
        <v>4129.6118750019878</v>
      </c>
      <c r="M141" s="5">
        <f t="shared" si="62"/>
        <v>9433.9622641509432</v>
      </c>
      <c r="N141" s="5">
        <f t="shared" si="63"/>
        <v>0</v>
      </c>
      <c r="O141" s="7">
        <f t="shared" si="64"/>
        <v>0</v>
      </c>
      <c r="P141" s="7">
        <f t="shared" si="59"/>
        <v>0</v>
      </c>
      <c r="Q141" s="7">
        <f t="shared" si="60"/>
        <v>8786.4082446850807</v>
      </c>
      <c r="R141" s="5">
        <f t="shared" si="50"/>
        <v>4129.6118750019878</v>
      </c>
      <c r="S141" s="5">
        <f t="shared" si="65"/>
        <v>117120.50196942044</v>
      </c>
      <c r="T141" s="5"/>
    </row>
    <row r="142" spans="1:20" x14ac:dyDescent="0.35">
      <c r="A142">
        <f t="shared" si="52"/>
        <v>141</v>
      </c>
      <c r="B142" s="13">
        <f t="shared" si="53"/>
        <v>2038</v>
      </c>
      <c r="C142">
        <f t="shared" si="54"/>
        <v>9</v>
      </c>
      <c r="D142" t="b">
        <f t="shared" si="55"/>
        <v>0</v>
      </c>
      <c r="E142" s="7">
        <f t="shared" si="56"/>
        <v>301779.93129429116</v>
      </c>
      <c r="F142" cm="1">
        <f t="array" ref="F142">IF($A142="", "", MRate(E142))</f>
        <v>0.47000000000000003</v>
      </c>
      <c r="G142" s="7">
        <f t="shared" si="57"/>
        <v>9433.9622641509432</v>
      </c>
      <c r="H142" s="7">
        <f>IF($A142="", "", _xlfn.XLOOKUP($B142, YearlyParamsB!$A:$A, YearlyParamsB!$E:$E, 0))</f>
        <v>0</v>
      </c>
      <c r="I142" s="5">
        <f t="shared" si="58"/>
        <v>36213.591755314941</v>
      </c>
      <c r="J142" s="5">
        <f>IFERROR(IF($A142="", "", _xlfn.XLOOKUP($B142, YearlyParamsB!$A:$A, YearlyParamsB!$I:$I, 0)), 0)</f>
        <v>8786.4082446850807</v>
      </c>
      <c r="K142" s="5">
        <f t="shared" si="51"/>
        <v>8786.4082446850807</v>
      </c>
      <c r="L142" s="5">
        <f t="shared" si="61"/>
        <v>4129.6118750019878</v>
      </c>
      <c r="M142" s="5">
        <f t="shared" si="62"/>
        <v>9433.9622641509432</v>
      </c>
      <c r="N142" s="5">
        <f t="shared" si="63"/>
        <v>0</v>
      </c>
      <c r="O142" s="7">
        <f t="shared" si="64"/>
        <v>0</v>
      </c>
      <c r="P142" s="7">
        <f t="shared" si="59"/>
        <v>0</v>
      </c>
      <c r="Q142" s="7">
        <f t="shared" si="60"/>
        <v>8786.4082446850807</v>
      </c>
      <c r="R142" s="5">
        <f t="shared" si="50"/>
        <v>4129.6118750019878</v>
      </c>
      <c r="S142" s="5">
        <f t="shared" si="65"/>
        <v>117120.50196942044</v>
      </c>
      <c r="T142" s="5"/>
    </row>
    <row r="143" spans="1:20" x14ac:dyDescent="0.35">
      <c r="A143">
        <f t="shared" si="52"/>
        <v>142</v>
      </c>
      <c r="B143" s="13">
        <f t="shared" si="53"/>
        <v>2038</v>
      </c>
      <c r="C143">
        <f t="shared" si="54"/>
        <v>10</v>
      </c>
      <c r="D143" t="b">
        <f t="shared" si="55"/>
        <v>0</v>
      </c>
      <c r="E143" s="7">
        <f t="shared" si="56"/>
        <v>301779.93129429116</v>
      </c>
      <c r="F143" cm="1">
        <f t="array" ref="F143">IF($A143="", "", MRate(E143))</f>
        <v>0.47000000000000003</v>
      </c>
      <c r="G143" s="7">
        <f t="shared" si="57"/>
        <v>9433.9622641509432</v>
      </c>
      <c r="H143" s="7">
        <f>IF($A143="", "", _xlfn.XLOOKUP($B143, YearlyParamsB!$A:$A, YearlyParamsB!$E:$E, 0))</f>
        <v>0</v>
      </c>
      <c r="I143" s="5">
        <f t="shared" si="58"/>
        <v>36213.591755314941</v>
      </c>
      <c r="J143" s="5">
        <f>IFERROR(IF($A143="", "", _xlfn.XLOOKUP($B143, YearlyParamsB!$A:$A, YearlyParamsB!$I:$I, 0)), 0)</f>
        <v>8786.4082446850807</v>
      </c>
      <c r="K143" s="5">
        <f t="shared" si="51"/>
        <v>8786.4082446850807</v>
      </c>
      <c r="L143" s="5">
        <f t="shared" si="61"/>
        <v>4129.6118750019878</v>
      </c>
      <c r="M143" s="5">
        <f t="shared" si="62"/>
        <v>9433.9622641509432</v>
      </c>
      <c r="N143" s="5">
        <f t="shared" si="63"/>
        <v>0</v>
      </c>
      <c r="O143" s="7">
        <f t="shared" si="64"/>
        <v>0</v>
      </c>
      <c r="P143" s="7">
        <f t="shared" si="59"/>
        <v>0</v>
      </c>
      <c r="Q143" s="7">
        <f t="shared" si="60"/>
        <v>8786.4082446850807</v>
      </c>
      <c r="R143" s="5">
        <f t="shared" si="50"/>
        <v>4129.6118750019878</v>
      </c>
      <c r="S143" s="5">
        <f t="shared" si="65"/>
        <v>117120.50196942044</v>
      </c>
      <c r="T143" s="5"/>
    </row>
    <row r="144" spans="1:20" x14ac:dyDescent="0.35">
      <c r="A144">
        <f t="shared" si="52"/>
        <v>143</v>
      </c>
      <c r="B144" s="13">
        <f t="shared" si="53"/>
        <v>2038</v>
      </c>
      <c r="C144">
        <f t="shared" si="54"/>
        <v>11</v>
      </c>
      <c r="D144" t="b">
        <f t="shared" si="55"/>
        <v>0</v>
      </c>
      <c r="E144" s="7">
        <f t="shared" si="56"/>
        <v>301779.93129429116</v>
      </c>
      <c r="F144" cm="1">
        <f t="array" ref="F144">IF($A144="", "", MRate(E144))</f>
        <v>0.47000000000000003</v>
      </c>
      <c r="G144" s="7">
        <f t="shared" si="57"/>
        <v>9433.9622641509432</v>
      </c>
      <c r="H144" s="7">
        <f>IF($A144="", "", _xlfn.XLOOKUP($B144, YearlyParamsB!$A:$A, YearlyParamsB!$E:$E, 0))</f>
        <v>0</v>
      </c>
      <c r="I144" s="5">
        <f t="shared" si="58"/>
        <v>36213.591755314941</v>
      </c>
      <c r="J144" s="5">
        <f>IFERROR(IF($A144="", "", _xlfn.XLOOKUP($B144, YearlyParamsB!$A:$A, YearlyParamsB!$I:$I, 0)), 0)</f>
        <v>8786.4082446850807</v>
      </c>
      <c r="K144" s="5">
        <f t="shared" si="51"/>
        <v>8786.4082446850807</v>
      </c>
      <c r="L144" s="5">
        <f t="shared" si="61"/>
        <v>4129.6118750019878</v>
      </c>
      <c r="M144" s="5">
        <f t="shared" si="62"/>
        <v>9433.9622641509432</v>
      </c>
      <c r="N144" s="5">
        <f t="shared" si="63"/>
        <v>0</v>
      </c>
      <c r="O144" s="7">
        <f t="shared" si="64"/>
        <v>0</v>
      </c>
      <c r="P144" s="7">
        <f t="shared" si="59"/>
        <v>0</v>
      </c>
      <c r="Q144" s="7">
        <f t="shared" si="60"/>
        <v>8786.4082446850807</v>
      </c>
      <c r="R144" s="5">
        <f t="shared" si="50"/>
        <v>4129.6118750019878</v>
      </c>
      <c r="S144" s="5">
        <f t="shared" si="65"/>
        <v>117120.50196942044</v>
      </c>
      <c r="T144" s="5"/>
    </row>
    <row r="145" spans="1:20" x14ac:dyDescent="0.35">
      <c r="A145">
        <f t="shared" si="52"/>
        <v>144</v>
      </c>
      <c r="B145" s="13">
        <f t="shared" si="53"/>
        <v>2038</v>
      </c>
      <c r="C145">
        <f t="shared" si="54"/>
        <v>12</v>
      </c>
      <c r="D145" t="b">
        <f t="shared" si="55"/>
        <v>1</v>
      </c>
      <c r="E145" s="7">
        <f t="shared" si="56"/>
        <v>301779.93129429116</v>
      </c>
      <c r="F145" cm="1">
        <f t="array" ref="F145">IF($A145="", "", MRate(E145))</f>
        <v>0.47000000000000003</v>
      </c>
      <c r="G145" s="7">
        <f t="shared" si="57"/>
        <v>9433.9622641509432</v>
      </c>
      <c r="H145" s="7">
        <f>IF($A145="", "", _xlfn.XLOOKUP($B145, YearlyParamsB!$A:$A, YearlyParamsB!$E:$E, 0))</f>
        <v>0</v>
      </c>
      <c r="I145" s="5">
        <f t="shared" si="58"/>
        <v>36213.591755314941</v>
      </c>
      <c r="J145" s="5">
        <f>IFERROR(IF($A145="", "", _xlfn.XLOOKUP($B145, YearlyParamsB!$A:$A, YearlyParamsB!$I:$I, 0)), 0)</f>
        <v>8786.4082446850807</v>
      </c>
      <c r="K145" s="5">
        <f t="shared" si="51"/>
        <v>8786.4082446850807</v>
      </c>
      <c r="L145" s="5">
        <f t="shared" si="61"/>
        <v>4129.6118750019878</v>
      </c>
      <c r="M145" s="5">
        <f t="shared" si="62"/>
        <v>9433.9622641509432</v>
      </c>
      <c r="N145" s="5">
        <f t="shared" si="63"/>
        <v>0</v>
      </c>
      <c r="O145" s="7">
        <f t="shared" si="64"/>
        <v>0</v>
      </c>
      <c r="P145" s="7">
        <f t="shared" si="59"/>
        <v>0</v>
      </c>
      <c r="Q145" s="7">
        <f t="shared" si="60"/>
        <v>8786.4082446850807</v>
      </c>
      <c r="R145" s="5">
        <f t="shared" si="50"/>
        <v>4129.6118750019878</v>
      </c>
      <c r="S145" s="5">
        <f t="shared" si="65"/>
        <v>117120.50196942044</v>
      </c>
      <c r="T145" s="5"/>
    </row>
    <row r="146" spans="1:20" x14ac:dyDescent="0.35">
      <c r="A146">
        <f t="shared" si="52"/>
        <v>145</v>
      </c>
      <c r="B146" s="13">
        <f t="shared" si="53"/>
        <v>2039</v>
      </c>
      <c r="C146">
        <f t="shared" si="54"/>
        <v>1</v>
      </c>
      <c r="D146" t="b">
        <f t="shared" si="55"/>
        <v>0</v>
      </c>
      <c r="E146" s="7">
        <f t="shared" si="56"/>
        <v>309324.42957664846</v>
      </c>
      <c r="F146" cm="1">
        <f t="array" ref="F146">IF($A146="", "", MRate(E146))</f>
        <v>0.47000000000000003</v>
      </c>
      <c r="G146" s="7">
        <f t="shared" si="57"/>
        <v>9433.9622641509432</v>
      </c>
      <c r="H146" s="7">
        <f>IF($A146="", "", _xlfn.XLOOKUP($B146, YearlyParamsB!$A:$A, YearlyParamsB!$E:$E, 0))</f>
        <v>0</v>
      </c>
      <c r="I146" s="5">
        <f t="shared" si="58"/>
        <v>37118.931549197812</v>
      </c>
      <c r="J146" s="5">
        <f>IFERROR(IF($A146="", "", _xlfn.XLOOKUP($B146, YearlyParamsB!$A:$A, YearlyParamsB!$I:$I, 0)), 0)</f>
        <v>10381.068450802217</v>
      </c>
      <c r="K146" s="5">
        <f t="shared" si="51"/>
        <v>0</v>
      </c>
      <c r="L146" s="5">
        <f t="shared" si="61"/>
        <v>0</v>
      </c>
      <c r="M146" s="5">
        <f t="shared" si="62"/>
        <v>9433.9622641509432</v>
      </c>
      <c r="N146" s="5">
        <f t="shared" si="63"/>
        <v>10381.068450802217</v>
      </c>
      <c r="O146" s="7">
        <f t="shared" si="64"/>
        <v>9433.9622641509432</v>
      </c>
      <c r="P146" s="7">
        <f t="shared" si="59"/>
        <v>4433.9622641509432</v>
      </c>
      <c r="Q146" s="7">
        <f t="shared" si="60"/>
        <v>9433.9622641509432</v>
      </c>
      <c r="R146" s="5">
        <f t="shared" si="50"/>
        <v>4433.9622641509432</v>
      </c>
      <c r="S146" s="5">
        <f t="shared" si="65"/>
        <v>121554.46423357139</v>
      </c>
      <c r="T146" s="5"/>
    </row>
    <row r="147" spans="1:20" x14ac:dyDescent="0.35">
      <c r="A147">
        <f t="shared" si="52"/>
        <v>146</v>
      </c>
      <c r="B147" s="13">
        <f t="shared" si="53"/>
        <v>2039</v>
      </c>
      <c r="C147">
        <f t="shared" si="54"/>
        <v>2</v>
      </c>
      <c r="D147" t="b">
        <f t="shared" si="55"/>
        <v>0</v>
      </c>
      <c r="E147" s="7">
        <f t="shared" si="56"/>
        <v>309324.42957664846</v>
      </c>
      <c r="F147" cm="1">
        <f t="array" ref="F147">IF($A147="", "", MRate(E147))</f>
        <v>0.47000000000000003</v>
      </c>
      <c r="G147" s="7">
        <f t="shared" si="57"/>
        <v>9433.9622641509432</v>
      </c>
      <c r="H147" s="7">
        <f>IF($A147="", "", _xlfn.XLOOKUP($B147, YearlyParamsB!$A:$A, YearlyParamsB!$E:$E, 0))</f>
        <v>0</v>
      </c>
      <c r="I147" s="5">
        <f t="shared" si="58"/>
        <v>37118.931549197812</v>
      </c>
      <c r="J147" s="5">
        <f>IFERROR(IF($A147="", "", _xlfn.XLOOKUP($B147, YearlyParamsB!$A:$A, YearlyParamsB!$I:$I, 0)), 0)</f>
        <v>10381.068450802217</v>
      </c>
      <c r="K147" s="5">
        <f t="shared" si="51"/>
        <v>9433.9622641509432</v>
      </c>
      <c r="L147" s="5">
        <f t="shared" si="61"/>
        <v>4433.9622641509432</v>
      </c>
      <c r="M147" s="5">
        <f t="shared" si="62"/>
        <v>9433.9622641509432</v>
      </c>
      <c r="N147" s="5">
        <f t="shared" si="63"/>
        <v>947.10618665127367</v>
      </c>
      <c r="O147" s="7">
        <f t="shared" si="64"/>
        <v>947.10618665127367</v>
      </c>
      <c r="P147" s="7">
        <f t="shared" si="59"/>
        <v>445.13990772609867</v>
      </c>
      <c r="Q147" s="7">
        <f t="shared" si="60"/>
        <v>10381.068450802217</v>
      </c>
      <c r="R147" s="5">
        <f t="shared" si="50"/>
        <v>4879.1021718770417</v>
      </c>
      <c r="S147" s="5">
        <f t="shared" si="65"/>
        <v>121999.60414129749</v>
      </c>
      <c r="T147" s="5"/>
    </row>
    <row r="148" spans="1:20" x14ac:dyDescent="0.35">
      <c r="A148">
        <f t="shared" si="52"/>
        <v>147</v>
      </c>
      <c r="B148" s="13">
        <f t="shared" si="53"/>
        <v>2039</v>
      </c>
      <c r="C148">
        <f t="shared" si="54"/>
        <v>3</v>
      </c>
      <c r="D148" t="b">
        <f t="shared" si="55"/>
        <v>0</v>
      </c>
      <c r="E148" s="7">
        <f t="shared" si="56"/>
        <v>309324.42957664846</v>
      </c>
      <c r="F148" cm="1">
        <f t="array" ref="F148">IF($A148="", "", MRate(E148))</f>
        <v>0.47000000000000003</v>
      </c>
      <c r="G148" s="7">
        <f t="shared" si="57"/>
        <v>9433.9622641509432</v>
      </c>
      <c r="H148" s="7">
        <f>IF($A148="", "", _xlfn.XLOOKUP($B148, YearlyParamsB!$A:$A, YearlyParamsB!$E:$E, 0))</f>
        <v>0</v>
      </c>
      <c r="I148" s="5">
        <f t="shared" si="58"/>
        <v>37118.931549197812</v>
      </c>
      <c r="J148" s="5">
        <f>IFERROR(IF($A148="", "", _xlfn.XLOOKUP($B148, YearlyParamsB!$A:$A, YearlyParamsB!$I:$I, 0)), 0)</f>
        <v>10381.068450802217</v>
      </c>
      <c r="K148" s="5">
        <f t="shared" si="51"/>
        <v>10381.068450802217</v>
      </c>
      <c r="L148" s="5">
        <f t="shared" si="61"/>
        <v>4879.1021718770417</v>
      </c>
      <c r="M148" s="5">
        <f t="shared" si="62"/>
        <v>9433.9622641509432</v>
      </c>
      <c r="N148" s="5">
        <f t="shared" si="63"/>
        <v>0</v>
      </c>
      <c r="O148" s="7">
        <f t="shared" si="64"/>
        <v>0</v>
      </c>
      <c r="P148" s="7">
        <f t="shared" si="59"/>
        <v>0</v>
      </c>
      <c r="Q148" s="7">
        <f t="shared" si="60"/>
        <v>10381.068450802217</v>
      </c>
      <c r="R148" s="5">
        <f t="shared" si="50"/>
        <v>4879.1021718770417</v>
      </c>
      <c r="S148" s="5">
        <f t="shared" si="65"/>
        <v>121999.60414129749</v>
      </c>
      <c r="T148" s="5"/>
    </row>
    <row r="149" spans="1:20" x14ac:dyDescent="0.35">
      <c r="A149">
        <f t="shared" si="52"/>
        <v>148</v>
      </c>
      <c r="B149" s="13">
        <f t="shared" si="53"/>
        <v>2039</v>
      </c>
      <c r="C149">
        <f t="shared" si="54"/>
        <v>4</v>
      </c>
      <c r="D149" t="b">
        <f t="shared" si="55"/>
        <v>0</v>
      </c>
      <c r="E149" s="7">
        <f t="shared" si="56"/>
        <v>309324.42957664846</v>
      </c>
      <c r="F149" cm="1">
        <f t="array" ref="F149">IF($A149="", "", MRate(E149))</f>
        <v>0.47000000000000003</v>
      </c>
      <c r="G149" s="7">
        <f t="shared" si="57"/>
        <v>9433.9622641509432</v>
      </c>
      <c r="H149" s="7">
        <f>IF($A149="", "", _xlfn.XLOOKUP($B149, YearlyParamsB!$A:$A, YearlyParamsB!$E:$E, 0))</f>
        <v>0</v>
      </c>
      <c r="I149" s="5">
        <f t="shared" si="58"/>
        <v>37118.931549197812</v>
      </c>
      <c r="J149" s="5">
        <f>IFERROR(IF($A149="", "", _xlfn.XLOOKUP($B149, YearlyParamsB!$A:$A, YearlyParamsB!$I:$I, 0)), 0)</f>
        <v>10381.068450802217</v>
      </c>
      <c r="K149" s="5">
        <f t="shared" si="51"/>
        <v>10381.068450802217</v>
      </c>
      <c r="L149" s="5">
        <f t="shared" si="61"/>
        <v>4879.1021718770417</v>
      </c>
      <c r="M149" s="5">
        <f t="shared" si="62"/>
        <v>9433.9622641509432</v>
      </c>
      <c r="N149" s="5">
        <f t="shared" si="63"/>
        <v>0</v>
      </c>
      <c r="O149" s="7">
        <f t="shared" si="64"/>
        <v>0</v>
      </c>
      <c r="P149" s="7">
        <f t="shared" si="59"/>
        <v>0</v>
      </c>
      <c r="Q149" s="7">
        <f t="shared" si="60"/>
        <v>10381.068450802217</v>
      </c>
      <c r="R149" s="5">
        <f t="shared" si="50"/>
        <v>4879.1021718770417</v>
      </c>
      <c r="S149" s="5">
        <f t="shared" si="65"/>
        <v>121999.60414129749</v>
      </c>
      <c r="T149" s="5"/>
    </row>
    <row r="150" spans="1:20" x14ac:dyDescent="0.35">
      <c r="A150">
        <f t="shared" si="52"/>
        <v>149</v>
      </c>
      <c r="B150" s="13">
        <f t="shared" si="53"/>
        <v>2039</v>
      </c>
      <c r="C150">
        <f t="shared" si="54"/>
        <v>5</v>
      </c>
      <c r="D150" t="b">
        <f t="shared" si="55"/>
        <v>0</v>
      </c>
      <c r="E150" s="7">
        <f t="shared" si="56"/>
        <v>309324.42957664846</v>
      </c>
      <c r="F150" cm="1">
        <f t="array" ref="F150">IF($A150="", "", MRate(E150))</f>
        <v>0.47000000000000003</v>
      </c>
      <c r="G150" s="7">
        <f t="shared" si="57"/>
        <v>9433.9622641509432</v>
      </c>
      <c r="H150" s="7">
        <f>IF($A150="", "", _xlfn.XLOOKUP($B150, YearlyParamsB!$A:$A, YearlyParamsB!$E:$E, 0))</f>
        <v>0</v>
      </c>
      <c r="I150" s="5">
        <f t="shared" si="58"/>
        <v>37118.931549197812</v>
      </c>
      <c r="J150" s="5">
        <f>IFERROR(IF($A150="", "", _xlfn.XLOOKUP($B150, YearlyParamsB!$A:$A, YearlyParamsB!$I:$I, 0)), 0)</f>
        <v>10381.068450802217</v>
      </c>
      <c r="K150" s="5">
        <f t="shared" si="51"/>
        <v>10381.068450802217</v>
      </c>
      <c r="L150" s="5">
        <f t="shared" si="61"/>
        <v>4879.1021718770417</v>
      </c>
      <c r="M150" s="5">
        <f t="shared" si="62"/>
        <v>9433.9622641509432</v>
      </c>
      <c r="N150" s="5">
        <f t="shared" si="63"/>
        <v>0</v>
      </c>
      <c r="O150" s="7">
        <f t="shared" si="64"/>
        <v>0</v>
      </c>
      <c r="P150" s="7">
        <f t="shared" si="59"/>
        <v>0</v>
      </c>
      <c r="Q150" s="7">
        <f t="shared" si="60"/>
        <v>10381.068450802217</v>
      </c>
      <c r="R150" s="5">
        <f t="shared" si="50"/>
        <v>4879.1021718770417</v>
      </c>
      <c r="S150" s="5">
        <f t="shared" si="65"/>
        <v>121999.60414129749</v>
      </c>
      <c r="T150" s="5"/>
    </row>
    <row r="151" spans="1:20" x14ac:dyDescent="0.35">
      <c r="A151">
        <f t="shared" si="52"/>
        <v>150</v>
      </c>
      <c r="B151" s="13">
        <f t="shared" si="53"/>
        <v>2039</v>
      </c>
      <c r="C151">
        <f t="shared" si="54"/>
        <v>6</v>
      </c>
      <c r="D151" t="b">
        <f t="shared" si="55"/>
        <v>0</v>
      </c>
      <c r="E151" s="7">
        <f t="shared" si="56"/>
        <v>309324.42957664846</v>
      </c>
      <c r="F151" cm="1">
        <f t="array" ref="F151">IF($A151="", "", MRate(E151))</f>
        <v>0.47000000000000003</v>
      </c>
      <c r="G151" s="7">
        <f t="shared" si="57"/>
        <v>9433.9622641509432</v>
      </c>
      <c r="H151" s="7">
        <f>IF($A151="", "", _xlfn.XLOOKUP($B151, YearlyParamsB!$A:$A, YearlyParamsB!$E:$E, 0))</f>
        <v>0</v>
      </c>
      <c r="I151" s="5">
        <f t="shared" si="58"/>
        <v>37118.931549197812</v>
      </c>
      <c r="J151" s="5">
        <f>IFERROR(IF($A151="", "", _xlfn.XLOOKUP($B151, YearlyParamsB!$A:$A, YearlyParamsB!$I:$I, 0)), 0)</f>
        <v>10381.068450802217</v>
      </c>
      <c r="K151" s="5">
        <f t="shared" si="51"/>
        <v>10381.068450802217</v>
      </c>
      <c r="L151" s="5">
        <f t="shared" si="61"/>
        <v>4879.1021718770417</v>
      </c>
      <c r="M151" s="5">
        <f t="shared" si="62"/>
        <v>9433.9622641509432</v>
      </c>
      <c r="N151" s="5">
        <f t="shared" si="63"/>
        <v>0</v>
      </c>
      <c r="O151" s="7">
        <f t="shared" si="64"/>
        <v>0</v>
      </c>
      <c r="P151" s="7">
        <f t="shared" si="59"/>
        <v>0</v>
      </c>
      <c r="Q151" s="7">
        <f t="shared" si="60"/>
        <v>10381.068450802217</v>
      </c>
      <c r="R151" s="5">
        <f t="shared" si="50"/>
        <v>4879.1021718770417</v>
      </c>
      <c r="S151" s="5">
        <f t="shared" si="65"/>
        <v>121999.60414129749</v>
      </c>
      <c r="T151" s="5"/>
    </row>
    <row r="152" spans="1:20" x14ac:dyDescent="0.35">
      <c r="A152">
        <f t="shared" si="52"/>
        <v>151</v>
      </c>
      <c r="B152" s="13">
        <f t="shared" si="53"/>
        <v>2039</v>
      </c>
      <c r="C152">
        <f t="shared" si="54"/>
        <v>7</v>
      </c>
      <c r="D152" t="b">
        <f t="shared" si="55"/>
        <v>0</v>
      </c>
      <c r="E152" s="7">
        <f t="shared" si="56"/>
        <v>309324.42957664846</v>
      </c>
      <c r="F152" cm="1">
        <f t="array" ref="F152">IF($A152="", "", MRate(E152))</f>
        <v>0.47000000000000003</v>
      </c>
      <c r="G152" s="7">
        <f t="shared" si="57"/>
        <v>9433.9622641509432</v>
      </c>
      <c r="H152" s="7">
        <f>IF($A152="", "", _xlfn.XLOOKUP($B152, YearlyParamsB!$A:$A, YearlyParamsB!$E:$E, 0))</f>
        <v>0</v>
      </c>
      <c r="I152" s="5">
        <f t="shared" si="58"/>
        <v>37118.931549197812</v>
      </c>
      <c r="J152" s="5">
        <f>IFERROR(IF($A152="", "", _xlfn.XLOOKUP($B152, YearlyParamsB!$A:$A, YearlyParamsB!$I:$I, 0)), 0)</f>
        <v>10381.068450802217</v>
      </c>
      <c r="K152" s="5">
        <f t="shared" si="51"/>
        <v>10381.068450802217</v>
      </c>
      <c r="L152" s="5">
        <f t="shared" si="61"/>
        <v>4879.1021718770417</v>
      </c>
      <c r="M152" s="5">
        <f t="shared" si="62"/>
        <v>9433.9622641509432</v>
      </c>
      <c r="N152" s="5">
        <f t="shared" si="63"/>
        <v>0</v>
      </c>
      <c r="O152" s="7">
        <f t="shared" si="64"/>
        <v>0</v>
      </c>
      <c r="P152" s="7">
        <f t="shared" si="59"/>
        <v>0</v>
      </c>
      <c r="Q152" s="7">
        <f t="shared" si="60"/>
        <v>10381.068450802217</v>
      </c>
      <c r="R152" s="5">
        <f t="shared" si="50"/>
        <v>4879.1021718770417</v>
      </c>
      <c r="S152" s="5">
        <f t="shared" si="65"/>
        <v>121999.60414129749</v>
      </c>
      <c r="T152" s="5"/>
    </row>
    <row r="153" spans="1:20" x14ac:dyDescent="0.35">
      <c r="A153">
        <f t="shared" si="52"/>
        <v>152</v>
      </c>
      <c r="B153" s="13">
        <f t="shared" si="53"/>
        <v>2039</v>
      </c>
      <c r="C153">
        <f t="shared" si="54"/>
        <v>8</v>
      </c>
      <c r="D153" t="b">
        <f t="shared" si="55"/>
        <v>0</v>
      </c>
      <c r="E153" s="7">
        <f t="shared" si="56"/>
        <v>309324.42957664846</v>
      </c>
      <c r="F153" cm="1">
        <f t="array" ref="F153">IF($A153="", "", MRate(E153))</f>
        <v>0.47000000000000003</v>
      </c>
      <c r="G153" s="7">
        <f t="shared" si="57"/>
        <v>9433.9622641509432</v>
      </c>
      <c r="H153" s="7">
        <f>IF($A153="", "", _xlfn.XLOOKUP($B153, YearlyParamsB!$A:$A, YearlyParamsB!$E:$E, 0))</f>
        <v>0</v>
      </c>
      <c r="I153" s="5">
        <f t="shared" si="58"/>
        <v>37118.931549197812</v>
      </c>
      <c r="J153" s="5">
        <f>IFERROR(IF($A153="", "", _xlfn.XLOOKUP($B153, YearlyParamsB!$A:$A, YearlyParamsB!$I:$I, 0)), 0)</f>
        <v>10381.068450802217</v>
      </c>
      <c r="K153" s="5">
        <f t="shared" si="51"/>
        <v>10381.068450802217</v>
      </c>
      <c r="L153" s="5">
        <f t="shared" si="61"/>
        <v>4879.1021718770417</v>
      </c>
      <c r="M153" s="5">
        <f t="shared" si="62"/>
        <v>9433.9622641509432</v>
      </c>
      <c r="N153" s="5">
        <f t="shared" si="63"/>
        <v>0</v>
      </c>
      <c r="O153" s="7">
        <f t="shared" si="64"/>
        <v>0</v>
      </c>
      <c r="P153" s="7">
        <f t="shared" si="59"/>
        <v>0</v>
      </c>
      <c r="Q153" s="7">
        <f t="shared" si="60"/>
        <v>10381.068450802217</v>
      </c>
      <c r="R153" s="5">
        <f t="shared" si="50"/>
        <v>4879.1021718770417</v>
      </c>
      <c r="S153" s="5">
        <f t="shared" si="65"/>
        <v>121999.60414129749</v>
      </c>
      <c r="T153" s="5"/>
    </row>
    <row r="154" spans="1:20" x14ac:dyDescent="0.35">
      <c r="A154">
        <f t="shared" si="52"/>
        <v>153</v>
      </c>
      <c r="B154" s="13">
        <f t="shared" si="53"/>
        <v>2039</v>
      </c>
      <c r="C154">
        <f t="shared" si="54"/>
        <v>9</v>
      </c>
      <c r="D154" t="b">
        <f t="shared" si="55"/>
        <v>0</v>
      </c>
      <c r="E154" s="7">
        <f t="shared" si="56"/>
        <v>309324.42957664846</v>
      </c>
      <c r="F154" cm="1">
        <f t="array" ref="F154">IF($A154="", "", MRate(E154))</f>
        <v>0.47000000000000003</v>
      </c>
      <c r="G154" s="7">
        <f t="shared" si="57"/>
        <v>9433.9622641509432</v>
      </c>
      <c r="H154" s="7">
        <f>IF($A154="", "", _xlfn.XLOOKUP($B154, YearlyParamsB!$A:$A, YearlyParamsB!$E:$E, 0))</f>
        <v>0</v>
      </c>
      <c r="I154" s="5">
        <f t="shared" si="58"/>
        <v>37118.931549197812</v>
      </c>
      <c r="J154" s="5">
        <f>IFERROR(IF($A154="", "", _xlfn.XLOOKUP($B154, YearlyParamsB!$A:$A, YearlyParamsB!$I:$I, 0)), 0)</f>
        <v>10381.068450802217</v>
      </c>
      <c r="K154" s="5">
        <f t="shared" si="51"/>
        <v>10381.068450802217</v>
      </c>
      <c r="L154" s="5">
        <f t="shared" si="61"/>
        <v>4879.1021718770417</v>
      </c>
      <c r="M154" s="5">
        <f t="shared" si="62"/>
        <v>9433.9622641509432</v>
      </c>
      <c r="N154" s="5">
        <f t="shared" si="63"/>
        <v>0</v>
      </c>
      <c r="O154" s="7">
        <f t="shared" si="64"/>
        <v>0</v>
      </c>
      <c r="P154" s="7">
        <f t="shared" si="59"/>
        <v>0</v>
      </c>
      <c r="Q154" s="7">
        <f t="shared" si="60"/>
        <v>10381.068450802217</v>
      </c>
      <c r="R154" s="5">
        <f t="shared" si="50"/>
        <v>4879.1021718770417</v>
      </c>
      <c r="S154" s="5">
        <f t="shared" si="65"/>
        <v>121999.60414129749</v>
      </c>
      <c r="T154" s="5"/>
    </row>
    <row r="155" spans="1:20" x14ac:dyDescent="0.35">
      <c r="A155">
        <f t="shared" si="52"/>
        <v>154</v>
      </c>
      <c r="B155" s="13">
        <f t="shared" si="53"/>
        <v>2039</v>
      </c>
      <c r="C155">
        <f t="shared" si="54"/>
        <v>10</v>
      </c>
      <c r="D155" t="b">
        <f t="shared" si="55"/>
        <v>0</v>
      </c>
      <c r="E155" s="7">
        <f t="shared" si="56"/>
        <v>309324.42957664846</v>
      </c>
      <c r="F155" cm="1">
        <f t="array" ref="F155">IF($A155="", "", MRate(E155))</f>
        <v>0.47000000000000003</v>
      </c>
      <c r="G155" s="7">
        <f t="shared" si="57"/>
        <v>9433.9622641509432</v>
      </c>
      <c r="H155" s="7">
        <f>IF($A155="", "", _xlfn.XLOOKUP($B155, YearlyParamsB!$A:$A, YearlyParamsB!$E:$E, 0))</f>
        <v>0</v>
      </c>
      <c r="I155" s="5">
        <f t="shared" si="58"/>
        <v>37118.931549197812</v>
      </c>
      <c r="J155" s="5">
        <f>IFERROR(IF($A155="", "", _xlfn.XLOOKUP($B155, YearlyParamsB!$A:$A, YearlyParamsB!$I:$I, 0)), 0)</f>
        <v>10381.068450802217</v>
      </c>
      <c r="K155" s="5">
        <f t="shared" si="51"/>
        <v>10381.068450802217</v>
      </c>
      <c r="L155" s="5">
        <f t="shared" si="61"/>
        <v>4879.1021718770417</v>
      </c>
      <c r="M155" s="5">
        <f t="shared" si="62"/>
        <v>9433.9622641509432</v>
      </c>
      <c r="N155" s="5">
        <f t="shared" si="63"/>
        <v>0</v>
      </c>
      <c r="O155" s="7">
        <f t="shared" si="64"/>
        <v>0</v>
      </c>
      <c r="P155" s="7">
        <f t="shared" si="59"/>
        <v>0</v>
      </c>
      <c r="Q155" s="7">
        <f t="shared" si="60"/>
        <v>10381.068450802217</v>
      </c>
      <c r="R155" s="5">
        <f t="shared" si="50"/>
        <v>4879.1021718770417</v>
      </c>
      <c r="S155" s="5">
        <f t="shared" si="65"/>
        <v>121999.60414129749</v>
      </c>
      <c r="T155" s="5"/>
    </row>
    <row r="156" spans="1:20" x14ac:dyDescent="0.35">
      <c r="A156">
        <f t="shared" si="52"/>
        <v>155</v>
      </c>
      <c r="B156" s="13">
        <f t="shared" si="53"/>
        <v>2039</v>
      </c>
      <c r="C156">
        <f t="shared" si="54"/>
        <v>11</v>
      </c>
      <c r="D156" t="b">
        <f t="shared" si="55"/>
        <v>0</v>
      </c>
      <c r="E156" s="7">
        <f t="shared" si="56"/>
        <v>309324.42957664846</v>
      </c>
      <c r="F156" cm="1">
        <f t="array" ref="F156">IF($A156="", "", MRate(E156))</f>
        <v>0.47000000000000003</v>
      </c>
      <c r="G156" s="7">
        <f t="shared" si="57"/>
        <v>9433.9622641509432</v>
      </c>
      <c r="H156" s="7">
        <f>IF($A156="", "", _xlfn.XLOOKUP($B156, YearlyParamsB!$A:$A, YearlyParamsB!$E:$E, 0))</f>
        <v>0</v>
      </c>
      <c r="I156" s="5">
        <f t="shared" si="58"/>
        <v>37118.931549197812</v>
      </c>
      <c r="J156" s="5">
        <f>IFERROR(IF($A156="", "", _xlfn.XLOOKUP($B156, YearlyParamsB!$A:$A, YearlyParamsB!$I:$I, 0)), 0)</f>
        <v>10381.068450802217</v>
      </c>
      <c r="K156" s="5">
        <f t="shared" si="51"/>
        <v>10381.068450802217</v>
      </c>
      <c r="L156" s="5">
        <f t="shared" si="61"/>
        <v>4879.1021718770417</v>
      </c>
      <c r="M156" s="5">
        <f t="shared" si="62"/>
        <v>9433.9622641509432</v>
      </c>
      <c r="N156" s="5">
        <f t="shared" si="63"/>
        <v>0</v>
      </c>
      <c r="O156" s="7">
        <f t="shared" si="64"/>
        <v>0</v>
      </c>
      <c r="P156" s="7">
        <f t="shared" si="59"/>
        <v>0</v>
      </c>
      <c r="Q156" s="7">
        <f t="shared" si="60"/>
        <v>10381.068450802217</v>
      </c>
      <c r="R156" s="5">
        <f t="shared" si="50"/>
        <v>4879.1021718770417</v>
      </c>
      <c r="S156" s="5">
        <f t="shared" si="65"/>
        <v>121999.60414129749</v>
      </c>
      <c r="T156" s="5"/>
    </row>
    <row r="157" spans="1:20" x14ac:dyDescent="0.35">
      <c r="A157">
        <f t="shared" si="52"/>
        <v>156</v>
      </c>
      <c r="B157" s="13">
        <f t="shared" si="53"/>
        <v>2039</v>
      </c>
      <c r="C157">
        <f t="shared" si="54"/>
        <v>12</v>
      </c>
      <c r="D157" t="b">
        <f t="shared" si="55"/>
        <v>1</v>
      </c>
      <c r="E157" s="7">
        <f t="shared" si="56"/>
        <v>309324.42957664846</v>
      </c>
      <c r="F157" cm="1">
        <f t="array" ref="F157">IF($A157="", "", MRate(E157))</f>
        <v>0.47000000000000003</v>
      </c>
      <c r="G157" s="7">
        <f t="shared" si="57"/>
        <v>9433.9622641509432</v>
      </c>
      <c r="H157" s="7">
        <f>IF($A157="", "", _xlfn.XLOOKUP($B157, YearlyParamsB!$A:$A, YearlyParamsB!$E:$E, 0))</f>
        <v>0</v>
      </c>
      <c r="I157" s="5">
        <f t="shared" si="58"/>
        <v>37118.931549197812</v>
      </c>
      <c r="J157" s="5">
        <f>IFERROR(IF($A157="", "", _xlfn.XLOOKUP($B157, YearlyParamsB!$A:$A, YearlyParamsB!$I:$I, 0)), 0)</f>
        <v>10381.068450802217</v>
      </c>
      <c r="K157" s="5">
        <f t="shared" si="51"/>
        <v>10381.068450802217</v>
      </c>
      <c r="L157" s="5">
        <f t="shared" si="61"/>
        <v>4879.1021718770417</v>
      </c>
      <c r="M157" s="5">
        <f t="shared" si="62"/>
        <v>9433.9622641509432</v>
      </c>
      <c r="N157" s="5">
        <f t="shared" si="63"/>
        <v>0</v>
      </c>
      <c r="O157" s="7">
        <f t="shared" si="64"/>
        <v>0</v>
      </c>
      <c r="P157" s="7">
        <f t="shared" si="59"/>
        <v>0</v>
      </c>
      <c r="Q157" s="7">
        <f t="shared" si="60"/>
        <v>10381.068450802217</v>
      </c>
      <c r="R157" s="5">
        <f t="shared" si="50"/>
        <v>4879.1021718770417</v>
      </c>
      <c r="S157" s="5">
        <f t="shared" si="65"/>
        <v>121999.60414129749</v>
      </c>
      <c r="T157" s="5"/>
    </row>
    <row r="158" spans="1:20" x14ac:dyDescent="0.35">
      <c r="A158">
        <f t="shared" si="52"/>
        <v>157</v>
      </c>
      <c r="B158" s="13">
        <f t="shared" si="53"/>
        <v>2040</v>
      </c>
      <c r="C158">
        <f t="shared" si="54"/>
        <v>1</v>
      </c>
      <c r="D158" t="b">
        <f t="shared" si="55"/>
        <v>0</v>
      </c>
      <c r="E158" s="7">
        <f t="shared" si="56"/>
        <v>317057.54031606461</v>
      </c>
      <c r="F158" cm="1">
        <f t="array" ref="F158">IF($A158="", "", MRate(E158))</f>
        <v>0.47000000000000003</v>
      </c>
      <c r="G158" s="7">
        <f t="shared" si="57"/>
        <v>9433.9622641509432</v>
      </c>
      <c r="H158" s="7">
        <f>IF($A158="", "", _xlfn.XLOOKUP($B158, YearlyParamsB!$A:$A, YearlyParamsB!$E:$E, 0))</f>
        <v>0</v>
      </c>
      <c r="I158" s="5">
        <f t="shared" ref="I158:I164" si="66">IF($A158="", "", E158*SGRate)</f>
        <v>38046.904837927752</v>
      </c>
      <c r="J158" s="5">
        <f>IFERROR(IF($A158="", "", _xlfn.XLOOKUP($B158, YearlyParamsB!$A:$A, YearlyParamsB!$I:$I, 0)), 0)</f>
        <v>9453.0951620722772</v>
      </c>
      <c r="K158" s="5">
        <f t="shared" si="51"/>
        <v>0</v>
      </c>
      <c r="L158" s="5">
        <f t="shared" si="61"/>
        <v>0</v>
      </c>
      <c r="M158" s="5">
        <f t="shared" si="62"/>
        <v>9433.9622641509432</v>
      </c>
      <c r="N158" s="5">
        <f>IFERROR(IF($A158="", "", J158-K158), 0)</f>
        <v>9453.0951620722772</v>
      </c>
      <c r="O158" s="7">
        <f t="shared" si="64"/>
        <v>9433.9622641509432</v>
      </c>
      <c r="P158" s="7">
        <f t="shared" si="59"/>
        <v>4433.9622641509432</v>
      </c>
      <c r="Q158" s="7">
        <f t="shared" si="60"/>
        <v>9433.9622641509432</v>
      </c>
      <c r="R158" s="5">
        <f t="shared" si="50"/>
        <v>4433.9622641509432</v>
      </c>
      <c r="S158" s="5">
        <f>IFERROR(IF($A158="", "", S157+P158), 0)</f>
        <v>126433.56640544844</v>
      </c>
      <c r="T158" s="5"/>
    </row>
    <row r="159" spans="1:20" x14ac:dyDescent="0.35">
      <c r="A159">
        <f t="shared" si="52"/>
        <v>158</v>
      </c>
      <c r="B159" s="13">
        <f t="shared" si="53"/>
        <v>2040</v>
      </c>
      <c r="C159">
        <f t="shared" si="54"/>
        <v>2</v>
      </c>
      <c r="D159" t="b">
        <f t="shared" si="55"/>
        <v>0</v>
      </c>
      <c r="E159" s="7">
        <f t="shared" si="56"/>
        <v>317057.54031606461</v>
      </c>
      <c r="F159" cm="1">
        <f t="array" ref="F159">IF($A159="", "", MRate(E159))</f>
        <v>0.47000000000000003</v>
      </c>
      <c r="G159" s="7">
        <f t="shared" si="57"/>
        <v>9433.9622641509432</v>
      </c>
      <c r="H159" s="7">
        <f>IF($A159="", "", _xlfn.XLOOKUP($B159, YearlyParamsB!$A:$A, YearlyParamsB!$E:$E, 0))</f>
        <v>0</v>
      </c>
      <c r="I159" s="5">
        <f t="shared" si="66"/>
        <v>38046.904837927752</v>
      </c>
      <c r="J159" s="5">
        <f>IFERROR(IF($A159="", "", _xlfn.XLOOKUP($B159, YearlyParamsB!$A:$A, YearlyParamsB!$I:$I, 0)), 0)</f>
        <v>9453.0951620722772</v>
      </c>
      <c r="K159" s="5">
        <f t="shared" si="51"/>
        <v>9433.9622641509432</v>
      </c>
      <c r="L159" s="5">
        <f t="shared" si="61"/>
        <v>4433.9622641509432</v>
      </c>
      <c r="M159" s="5">
        <f t="shared" si="62"/>
        <v>9433.9622641509432</v>
      </c>
      <c r="N159" s="5">
        <f t="shared" ref="N159:N181" si="67">IFERROR(IF($A159="", "", J159-K159), 0)</f>
        <v>19.132897921334006</v>
      </c>
      <c r="O159" s="7">
        <f t="shared" si="64"/>
        <v>19.132897921334006</v>
      </c>
      <c r="P159" s="7">
        <f t="shared" si="59"/>
        <v>8.9924620230269827</v>
      </c>
      <c r="Q159" s="7">
        <f t="shared" si="60"/>
        <v>9453.0951620722772</v>
      </c>
      <c r="R159" s="5">
        <f t="shared" si="50"/>
        <v>4442.9547261739699</v>
      </c>
      <c r="S159" s="5">
        <f t="shared" ref="S159:S164" si="68">IFERROR(IF($A159="", "", S158+P159), 0)</f>
        <v>126442.55886747147</v>
      </c>
      <c r="T159" s="5"/>
    </row>
    <row r="160" spans="1:20" x14ac:dyDescent="0.35">
      <c r="A160">
        <f t="shared" si="52"/>
        <v>159</v>
      </c>
      <c r="B160" s="13">
        <f t="shared" si="53"/>
        <v>2040</v>
      </c>
      <c r="C160">
        <f t="shared" si="54"/>
        <v>3</v>
      </c>
      <c r="D160" t="b">
        <f t="shared" si="55"/>
        <v>0</v>
      </c>
      <c r="E160" s="7">
        <f t="shared" si="56"/>
        <v>317057.54031606461</v>
      </c>
      <c r="F160" cm="1">
        <f t="array" ref="F160">IF($A160="", "", MRate(E160))</f>
        <v>0.47000000000000003</v>
      </c>
      <c r="G160" s="7">
        <f t="shared" si="57"/>
        <v>9433.9622641509432</v>
      </c>
      <c r="H160" s="7">
        <f>IF($A160="", "", _xlfn.XLOOKUP($B160, YearlyParamsB!$A:$A, YearlyParamsB!$E:$E, 0))</f>
        <v>0</v>
      </c>
      <c r="I160" s="5">
        <f t="shared" si="66"/>
        <v>38046.904837927752</v>
      </c>
      <c r="J160" s="5">
        <f>IFERROR(IF($A160="", "", _xlfn.XLOOKUP($B160, YearlyParamsB!$A:$A, YearlyParamsB!$I:$I, 0)), 0)</f>
        <v>9453.0951620722772</v>
      </c>
      <c r="K160" s="5">
        <f t="shared" si="51"/>
        <v>9453.0951620722772</v>
      </c>
      <c r="L160" s="5">
        <f t="shared" si="61"/>
        <v>4442.9547261739699</v>
      </c>
      <c r="M160" s="5">
        <f t="shared" si="62"/>
        <v>9433.9622641509432</v>
      </c>
      <c r="N160" s="5">
        <f t="shared" si="67"/>
        <v>0</v>
      </c>
      <c r="O160" s="7">
        <f t="shared" si="64"/>
        <v>0</v>
      </c>
      <c r="P160" s="7">
        <f t="shared" si="59"/>
        <v>0</v>
      </c>
      <c r="Q160" s="7">
        <f t="shared" si="60"/>
        <v>9453.0951620722772</v>
      </c>
      <c r="R160" s="5">
        <f t="shared" si="50"/>
        <v>4442.9547261739699</v>
      </c>
      <c r="S160" s="5">
        <f t="shared" si="68"/>
        <v>126442.55886747147</v>
      </c>
      <c r="T160" s="5"/>
    </row>
    <row r="161" spans="1:20" x14ac:dyDescent="0.35">
      <c r="A161">
        <f t="shared" si="52"/>
        <v>160</v>
      </c>
      <c r="B161" s="13">
        <f t="shared" si="53"/>
        <v>2040</v>
      </c>
      <c r="C161">
        <f t="shared" si="54"/>
        <v>4</v>
      </c>
      <c r="D161" t="b">
        <f t="shared" si="55"/>
        <v>0</v>
      </c>
      <c r="E161" s="7">
        <f t="shared" si="56"/>
        <v>317057.54031606461</v>
      </c>
      <c r="F161" cm="1">
        <f t="array" ref="F161">IF($A161="", "", MRate(E161))</f>
        <v>0.47000000000000003</v>
      </c>
      <c r="G161" s="7">
        <f t="shared" si="57"/>
        <v>9433.9622641509432</v>
      </c>
      <c r="H161" s="7">
        <f>IF($A161="", "", _xlfn.XLOOKUP($B161, YearlyParamsB!$A:$A, YearlyParamsB!$E:$E, 0))</f>
        <v>0</v>
      </c>
      <c r="I161" s="5">
        <f t="shared" si="66"/>
        <v>38046.904837927752</v>
      </c>
      <c r="J161" s="5">
        <f>IFERROR(IF($A161="", "", _xlfn.XLOOKUP($B161, YearlyParamsB!$A:$A, YearlyParamsB!$I:$I, 0)), 0)</f>
        <v>9453.0951620722772</v>
      </c>
      <c r="K161" s="5">
        <f t="shared" si="51"/>
        <v>9453.0951620722772</v>
      </c>
      <c r="L161" s="5">
        <f t="shared" si="61"/>
        <v>4442.9547261739699</v>
      </c>
      <c r="M161" s="5">
        <f t="shared" si="62"/>
        <v>9433.9622641509432</v>
      </c>
      <c r="N161" s="5">
        <f t="shared" si="67"/>
        <v>0</v>
      </c>
      <c r="O161" s="7">
        <f t="shared" si="64"/>
        <v>0</v>
      </c>
      <c r="P161" s="7">
        <f t="shared" si="59"/>
        <v>0</v>
      </c>
      <c r="Q161" s="7">
        <f t="shared" si="60"/>
        <v>9453.0951620722772</v>
      </c>
      <c r="R161" s="5">
        <f t="shared" si="50"/>
        <v>4442.9547261739699</v>
      </c>
      <c r="S161" s="5">
        <f t="shared" si="68"/>
        <v>126442.55886747147</v>
      </c>
      <c r="T161" s="5"/>
    </row>
    <row r="162" spans="1:20" x14ac:dyDescent="0.35">
      <c r="A162">
        <f t="shared" si="52"/>
        <v>161</v>
      </c>
      <c r="B162" s="13">
        <f t="shared" si="53"/>
        <v>2040</v>
      </c>
      <c r="C162">
        <f t="shared" si="54"/>
        <v>5</v>
      </c>
      <c r="D162" t="b">
        <f t="shared" ref="D162:D181" si="69">IF($A162="", "", C162=PPYB)</f>
        <v>0</v>
      </c>
      <c r="E162" s="7">
        <f t="shared" si="56"/>
        <v>317057.54031606461</v>
      </c>
      <c r="F162" cm="1">
        <f t="array" ref="F162">IF($A162="", "", MRate(E162))</f>
        <v>0.47000000000000003</v>
      </c>
      <c r="G162" s="7">
        <f t="shared" ref="G162:G181" si="70">IF($A162="", "", AfterTaxB/(1-F162))</f>
        <v>9433.9622641509432</v>
      </c>
      <c r="H162" s="7">
        <f>IF($A162="", "", _xlfn.XLOOKUP($B162, YearlyParamsB!$A:$A, YearlyParamsB!$E:$E, 0))</f>
        <v>0</v>
      </c>
      <c r="I162" s="5">
        <f t="shared" si="66"/>
        <v>38046.904837927752</v>
      </c>
      <c r="J162" s="5">
        <f>IFERROR(IF($A162="", "", _xlfn.XLOOKUP($B162, YearlyParamsB!$A:$A, YearlyParamsB!$I:$I, 0)), 0)</f>
        <v>9453.0951620722772</v>
      </c>
      <c r="K162" s="5">
        <f t="shared" si="51"/>
        <v>9453.0951620722772</v>
      </c>
      <c r="L162" s="5">
        <f t="shared" si="61"/>
        <v>4442.9547261739699</v>
      </c>
      <c r="M162" s="5">
        <f t="shared" si="62"/>
        <v>9433.9622641509432</v>
      </c>
      <c r="N162" s="5">
        <f t="shared" si="67"/>
        <v>0</v>
      </c>
      <c r="O162" s="7">
        <f t="shared" si="64"/>
        <v>0</v>
      </c>
      <c r="P162" s="7">
        <f t="shared" ref="P162:P181" si="71">IFERROR(IF($A162="", "", MIN(G162+L162/PPYB,N162)*F162 + MAX(0, MIN(G162+L162/PPYB,N162) - MIN(G162,N162))), 0)</f>
        <v>0</v>
      </c>
      <c r="Q162" s="7">
        <f t="shared" ref="Q162:Q181" si="72">IFERROR(IF($A162="", "", K162+MIN(G162+L162/PPYB,N162)), 0)</f>
        <v>9453.0951620722772</v>
      </c>
      <c r="R162" s="5">
        <f t="shared" si="50"/>
        <v>4442.9547261739699</v>
      </c>
      <c r="S162" s="5">
        <f t="shared" si="68"/>
        <v>126442.55886747147</v>
      </c>
      <c r="T162" s="5"/>
    </row>
    <row r="163" spans="1:20" x14ac:dyDescent="0.35">
      <c r="A163">
        <f t="shared" si="52"/>
        <v>162</v>
      </c>
      <c r="B163" s="13">
        <f t="shared" si="53"/>
        <v>2040</v>
      </c>
      <c r="C163">
        <f t="shared" si="54"/>
        <v>6</v>
      </c>
      <c r="D163" t="b">
        <f t="shared" si="69"/>
        <v>0</v>
      </c>
      <c r="E163" s="7">
        <f t="shared" si="56"/>
        <v>317057.54031606461</v>
      </c>
      <c r="F163" cm="1">
        <f t="array" ref="F163">IF($A163="", "", MRate(E163))</f>
        <v>0.47000000000000003</v>
      </c>
      <c r="G163" s="7">
        <f t="shared" si="70"/>
        <v>9433.9622641509432</v>
      </c>
      <c r="H163" s="7">
        <f>IF($A163="", "", _xlfn.XLOOKUP($B163, YearlyParamsB!$A:$A, YearlyParamsB!$E:$E, 0))</f>
        <v>0</v>
      </c>
      <c r="I163" s="5">
        <f t="shared" si="66"/>
        <v>38046.904837927752</v>
      </c>
      <c r="J163" s="5">
        <f>IFERROR(IF($A163="", "", _xlfn.XLOOKUP($B163, YearlyParamsB!$A:$A, YearlyParamsB!$I:$I, 0)), 0)</f>
        <v>9453.0951620722772</v>
      </c>
      <c r="K163" s="5">
        <f t="shared" si="51"/>
        <v>9453.0951620722772</v>
      </c>
      <c r="L163" s="5">
        <f t="shared" ref="L163:L181" si="73">IFERROR(IF($A162="","",IF(B163&lt;&gt;B162, 0, L162 + MIN(G162+L162/PPYB, J162-K162)*F162)), 0)</f>
        <v>4442.9547261739699</v>
      </c>
      <c r="M163" s="5">
        <f t="shared" si="62"/>
        <v>9433.9622641509432</v>
      </c>
      <c r="N163" s="5">
        <f t="shared" si="67"/>
        <v>0</v>
      </c>
      <c r="O163" s="7">
        <f t="shared" si="64"/>
        <v>0</v>
      </c>
      <c r="P163" s="7">
        <f t="shared" si="71"/>
        <v>0</v>
      </c>
      <c r="Q163" s="7">
        <f t="shared" si="72"/>
        <v>9453.0951620722772</v>
      </c>
      <c r="R163" s="5">
        <f t="shared" si="50"/>
        <v>4442.9547261739699</v>
      </c>
      <c r="S163" s="5">
        <f t="shared" si="68"/>
        <v>126442.55886747147</v>
      </c>
      <c r="T163" s="5"/>
    </row>
    <row r="164" spans="1:20" x14ac:dyDescent="0.35">
      <c r="A164">
        <f t="shared" si="52"/>
        <v>163</v>
      </c>
      <c r="B164" s="13">
        <f t="shared" si="53"/>
        <v>2040</v>
      </c>
      <c r="C164">
        <f t="shared" si="54"/>
        <v>7</v>
      </c>
      <c r="D164" t="b">
        <f t="shared" si="69"/>
        <v>0</v>
      </c>
      <c r="E164" s="7">
        <f t="shared" si="56"/>
        <v>317057.54031606461</v>
      </c>
      <c r="F164" cm="1">
        <f t="array" ref="F164">IF($A164="", "", MRate(E164))</f>
        <v>0.47000000000000003</v>
      </c>
      <c r="G164" s="7">
        <f t="shared" si="70"/>
        <v>9433.9622641509432</v>
      </c>
      <c r="H164" s="7">
        <f>IF($A164="", "", _xlfn.XLOOKUP($B164, YearlyParamsB!$A:$A, YearlyParamsB!$E:$E, 0))</f>
        <v>0</v>
      </c>
      <c r="I164" s="5">
        <f t="shared" si="66"/>
        <v>38046.904837927752</v>
      </c>
      <c r="J164" s="5">
        <f>IFERROR(IF($A164="", "", _xlfn.XLOOKUP($B164, YearlyParamsB!$A:$A, YearlyParamsB!$I:$I, 0)), 0)</f>
        <v>9453.0951620722772</v>
      </c>
      <c r="K164" s="5">
        <f t="shared" si="51"/>
        <v>9453.0951620722772</v>
      </c>
      <c r="L164" s="5">
        <f t="shared" si="73"/>
        <v>4442.9547261739699</v>
      </c>
      <c r="M164" s="5">
        <f t="shared" si="62"/>
        <v>9433.9622641509432</v>
      </c>
      <c r="N164" s="5">
        <f t="shared" si="67"/>
        <v>0</v>
      </c>
      <c r="O164" s="7">
        <f t="shared" si="64"/>
        <v>0</v>
      </c>
      <c r="P164" s="7">
        <f t="shared" si="71"/>
        <v>0</v>
      </c>
      <c r="Q164" s="7">
        <f t="shared" si="72"/>
        <v>9453.0951620722772</v>
      </c>
      <c r="R164" s="5">
        <f t="shared" si="50"/>
        <v>4442.9547261739699</v>
      </c>
      <c r="S164" s="5">
        <f t="shared" si="68"/>
        <v>126442.55886747147</v>
      </c>
      <c r="T164" s="5"/>
    </row>
    <row r="165" spans="1:20" x14ac:dyDescent="0.35">
      <c r="A165">
        <f t="shared" si="52"/>
        <v>164</v>
      </c>
      <c r="B165" s="13">
        <f t="shared" si="53"/>
        <v>2040</v>
      </c>
      <c r="C165">
        <f t="shared" si="54"/>
        <v>8</v>
      </c>
      <c r="D165" t="b">
        <f t="shared" si="69"/>
        <v>0</v>
      </c>
      <c r="E165" s="7">
        <f t="shared" ref="E165:E181" si="74">IF($A165="","",IncB*(1+Inflation)^((B165 - YEAR(StartYear))))</f>
        <v>317057.54031606461</v>
      </c>
      <c r="F165" cm="1">
        <f t="array" ref="F165">IF($A165="", "", MRate(E165))</f>
        <v>0.47000000000000003</v>
      </c>
      <c r="G165" s="7">
        <f t="shared" si="70"/>
        <v>9433.9622641509432</v>
      </c>
      <c r="H165" s="7">
        <f>IF($A165="", "", _xlfn.XLOOKUP($B165, YearlyParamsB!$A:$A, YearlyParamsB!$E:$E, 0))</f>
        <v>0</v>
      </c>
      <c r="I165" s="5">
        <f t="shared" ref="I165:I181" si="75">IF($A165="", "", E165*SGRate)</f>
        <v>38046.904837927752</v>
      </c>
      <c r="J165" s="5">
        <f>IFERROR(IF($A165="", "", _xlfn.XLOOKUP($B165, YearlyParamsB!$A:$A, YearlyParamsB!$I:$I, 0)), 0)</f>
        <v>9453.0951620722772</v>
      </c>
      <c r="K165" s="5">
        <f t="shared" ref="K165:K181" si="76">IFERROR(IF($A164="", "", IF(B165&lt;&gt;B164,0,Q164)), 0)</f>
        <v>9453.0951620722772</v>
      </c>
      <c r="L165" s="5">
        <f t="shared" si="73"/>
        <v>4442.9547261739699</v>
      </c>
      <c r="M165" s="5">
        <f t="shared" si="62"/>
        <v>9433.9622641509432</v>
      </c>
      <c r="N165" s="5">
        <f t="shared" si="67"/>
        <v>0</v>
      </c>
      <c r="O165" s="7">
        <f t="shared" si="64"/>
        <v>0</v>
      </c>
      <c r="P165" s="7">
        <f t="shared" si="71"/>
        <v>0</v>
      </c>
      <c r="Q165" s="7">
        <f t="shared" si="72"/>
        <v>9453.0951620722772</v>
      </c>
      <c r="R165" s="5">
        <f t="shared" ref="R165:R181" si="77">IFERROR(IF($A164="", "", IF(B165&lt;&gt;B164,P165,R164+P165)), 0)</f>
        <v>4442.9547261739699</v>
      </c>
      <c r="S165" s="5">
        <f t="shared" ref="S165:S181" si="78">IFERROR(IF($A165="", "", S164+P165), 0)</f>
        <v>126442.55886747147</v>
      </c>
      <c r="T165" s="5"/>
    </row>
    <row r="166" spans="1:20" x14ac:dyDescent="0.35">
      <c r="A166">
        <f t="shared" si="52"/>
        <v>165</v>
      </c>
      <c r="B166" s="13">
        <f t="shared" si="53"/>
        <v>2040</v>
      </c>
      <c r="C166">
        <f t="shared" si="54"/>
        <v>9</v>
      </c>
      <c r="D166" t="b">
        <f t="shared" si="69"/>
        <v>0</v>
      </c>
      <c r="E166" s="7">
        <f t="shared" si="74"/>
        <v>317057.54031606461</v>
      </c>
      <c r="F166" cm="1">
        <f t="array" ref="F166">IF($A166="", "", MRate(E166))</f>
        <v>0.47000000000000003</v>
      </c>
      <c r="G166" s="7">
        <f t="shared" si="70"/>
        <v>9433.9622641509432</v>
      </c>
      <c r="H166" s="7">
        <f>IF($A166="", "", _xlfn.XLOOKUP($B166, YearlyParamsB!$A:$A, YearlyParamsB!$E:$E, 0))</f>
        <v>0</v>
      </c>
      <c r="I166" s="5">
        <f t="shared" si="75"/>
        <v>38046.904837927752</v>
      </c>
      <c r="J166" s="5">
        <f>IFERROR(IF($A166="", "", _xlfn.XLOOKUP($B166, YearlyParamsB!$A:$A, YearlyParamsB!$I:$I, 0)), 0)</f>
        <v>9453.0951620722772</v>
      </c>
      <c r="K166" s="5">
        <f t="shared" si="76"/>
        <v>9453.0951620722772</v>
      </c>
      <c r="L166" s="5">
        <f t="shared" si="73"/>
        <v>4442.9547261739699</v>
      </c>
      <c r="M166" s="5">
        <f t="shared" si="62"/>
        <v>9433.9622641509432</v>
      </c>
      <c r="N166" s="5">
        <f t="shared" si="67"/>
        <v>0</v>
      </c>
      <c r="O166" s="7">
        <f t="shared" si="64"/>
        <v>0</v>
      </c>
      <c r="P166" s="7">
        <f t="shared" si="71"/>
        <v>0</v>
      </c>
      <c r="Q166" s="7">
        <f t="shared" si="72"/>
        <v>9453.0951620722772</v>
      </c>
      <c r="R166" s="5">
        <f t="shared" si="77"/>
        <v>4442.9547261739699</v>
      </c>
      <c r="S166" s="5">
        <f t="shared" si="78"/>
        <v>126442.55886747147</v>
      </c>
      <c r="T166" s="5"/>
    </row>
    <row r="167" spans="1:20" x14ac:dyDescent="0.35">
      <c r="A167">
        <f t="shared" si="52"/>
        <v>166</v>
      </c>
      <c r="B167" s="13">
        <f t="shared" si="53"/>
        <v>2040</v>
      </c>
      <c r="C167">
        <f t="shared" si="54"/>
        <v>10</v>
      </c>
      <c r="D167" t="b">
        <f t="shared" si="69"/>
        <v>0</v>
      </c>
      <c r="E167" s="7">
        <f t="shared" si="74"/>
        <v>317057.54031606461</v>
      </c>
      <c r="F167" cm="1">
        <f t="array" ref="F167">IF($A167="", "", MRate(E167))</f>
        <v>0.47000000000000003</v>
      </c>
      <c r="G167" s="7">
        <f t="shared" si="70"/>
        <v>9433.9622641509432</v>
      </c>
      <c r="H167" s="7">
        <f>IF($A167="", "", _xlfn.XLOOKUP($B167, YearlyParamsB!$A:$A, YearlyParamsB!$E:$E, 0))</f>
        <v>0</v>
      </c>
      <c r="I167" s="5">
        <f t="shared" si="75"/>
        <v>38046.904837927752</v>
      </c>
      <c r="J167" s="5">
        <f>IFERROR(IF($A167="", "", _xlfn.XLOOKUP($B167, YearlyParamsB!$A:$A, YearlyParamsB!$I:$I, 0)), 0)</f>
        <v>9453.0951620722772</v>
      </c>
      <c r="K167" s="5">
        <f t="shared" si="76"/>
        <v>9453.0951620722772</v>
      </c>
      <c r="L167" s="5">
        <f t="shared" si="73"/>
        <v>4442.9547261739699</v>
      </c>
      <c r="M167" s="5">
        <f t="shared" si="62"/>
        <v>9433.9622641509432</v>
      </c>
      <c r="N167" s="5">
        <f t="shared" si="67"/>
        <v>0</v>
      </c>
      <c r="O167" s="7">
        <f t="shared" si="64"/>
        <v>0</v>
      </c>
      <c r="P167" s="7">
        <f t="shared" si="71"/>
        <v>0</v>
      </c>
      <c r="Q167" s="7">
        <f t="shared" si="72"/>
        <v>9453.0951620722772</v>
      </c>
      <c r="R167" s="5">
        <f t="shared" si="77"/>
        <v>4442.9547261739699</v>
      </c>
      <c r="S167" s="5">
        <f t="shared" si="78"/>
        <v>126442.55886747147</v>
      </c>
      <c r="T167" s="5"/>
    </row>
    <row r="168" spans="1:20" x14ac:dyDescent="0.35">
      <c r="A168">
        <f t="shared" si="52"/>
        <v>167</v>
      </c>
      <c r="B168" s="13">
        <f t="shared" si="53"/>
        <v>2040</v>
      </c>
      <c r="C168">
        <f t="shared" si="54"/>
        <v>11</v>
      </c>
      <c r="D168" t="b">
        <f t="shared" si="69"/>
        <v>0</v>
      </c>
      <c r="E168" s="7">
        <f t="shared" si="74"/>
        <v>317057.54031606461</v>
      </c>
      <c r="F168" cm="1">
        <f t="array" ref="F168">IF($A168="", "", MRate(E168))</f>
        <v>0.47000000000000003</v>
      </c>
      <c r="G168" s="7">
        <f t="shared" si="70"/>
        <v>9433.9622641509432</v>
      </c>
      <c r="H168" s="7">
        <f>IF($A168="", "", _xlfn.XLOOKUP($B168, YearlyParamsB!$A:$A, YearlyParamsB!$E:$E, 0))</f>
        <v>0</v>
      </c>
      <c r="I168" s="5">
        <f t="shared" si="75"/>
        <v>38046.904837927752</v>
      </c>
      <c r="J168" s="5">
        <f>IFERROR(IF($A168="", "", _xlfn.XLOOKUP($B168, YearlyParamsB!$A:$A, YearlyParamsB!$I:$I, 0)), 0)</f>
        <v>9453.0951620722772</v>
      </c>
      <c r="K168" s="5">
        <f t="shared" si="76"/>
        <v>9453.0951620722772</v>
      </c>
      <c r="L168" s="5">
        <f t="shared" si="73"/>
        <v>4442.9547261739699</v>
      </c>
      <c r="M168" s="5">
        <f t="shared" si="62"/>
        <v>9433.9622641509432</v>
      </c>
      <c r="N168" s="5">
        <f t="shared" si="67"/>
        <v>0</v>
      </c>
      <c r="O168" s="7">
        <f t="shared" si="64"/>
        <v>0</v>
      </c>
      <c r="P168" s="7">
        <f t="shared" si="71"/>
        <v>0</v>
      </c>
      <c r="Q168" s="7">
        <f t="shared" si="72"/>
        <v>9453.0951620722772</v>
      </c>
      <c r="R168" s="5">
        <f t="shared" si="77"/>
        <v>4442.9547261739699</v>
      </c>
      <c r="S168" s="5">
        <f t="shared" si="78"/>
        <v>126442.55886747147</v>
      </c>
      <c r="T168" s="5"/>
    </row>
    <row r="169" spans="1:20" x14ac:dyDescent="0.35">
      <c r="A169">
        <f t="shared" si="52"/>
        <v>168</v>
      </c>
      <c r="B169" s="13">
        <f t="shared" si="53"/>
        <v>2040</v>
      </c>
      <c r="C169">
        <f t="shared" si="54"/>
        <v>12</v>
      </c>
      <c r="D169" t="b">
        <f t="shared" si="69"/>
        <v>1</v>
      </c>
      <c r="E169" s="7">
        <f t="shared" si="74"/>
        <v>317057.54031606461</v>
      </c>
      <c r="F169" cm="1">
        <f t="array" ref="F169">IF($A169="", "", MRate(E169))</f>
        <v>0.47000000000000003</v>
      </c>
      <c r="G169" s="7">
        <f t="shared" si="70"/>
        <v>9433.9622641509432</v>
      </c>
      <c r="H169" s="7">
        <f>IF($A169="", "", _xlfn.XLOOKUP($B169, YearlyParamsB!$A:$A, YearlyParamsB!$E:$E, 0))</f>
        <v>0</v>
      </c>
      <c r="I169" s="5">
        <f t="shared" si="75"/>
        <v>38046.904837927752</v>
      </c>
      <c r="J169" s="5">
        <f>IFERROR(IF($A169="", "", _xlfn.XLOOKUP($B169, YearlyParamsB!$A:$A, YearlyParamsB!$I:$I, 0)), 0)</f>
        <v>9453.0951620722772</v>
      </c>
      <c r="K169" s="5">
        <f t="shared" si="76"/>
        <v>9453.0951620722772</v>
      </c>
      <c r="L169" s="5">
        <f t="shared" si="73"/>
        <v>4442.9547261739699</v>
      </c>
      <c r="M169" s="5">
        <f t="shared" si="62"/>
        <v>9433.9622641509432</v>
      </c>
      <c r="N169" s="5">
        <f t="shared" si="67"/>
        <v>0</v>
      </c>
      <c r="O169" s="7">
        <f t="shared" si="64"/>
        <v>0</v>
      </c>
      <c r="P169" s="7">
        <f t="shared" si="71"/>
        <v>0</v>
      </c>
      <c r="Q169" s="7">
        <f t="shared" si="72"/>
        <v>9453.0951620722772</v>
      </c>
      <c r="R169" s="5">
        <f t="shared" si="77"/>
        <v>4442.9547261739699</v>
      </c>
      <c r="S169" s="5">
        <f t="shared" si="78"/>
        <v>126442.55886747147</v>
      </c>
      <c r="T169" s="5"/>
    </row>
    <row r="170" spans="1:20" x14ac:dyDescent="0.35">
      <c r="A170">
        <f t="shared" si="52"/>
        <v>169</v>
      </c>
      <c r="B170" s="13">
        <f t="shared" si="53"/>
        <v>2041</v>
      </c>
      <c r="C170">
        <f t="shared" si="54"/>
        <v>1</v>
      </c>
      <c r="D170" t="b">
        <f t="shared" si="69"/>
        <v>0</v>
      </c>
      <c r="E170" s="7">
        <f t="shared" si="74"/>
        <v>324983.97882396623</v>
      </c>
      <c r="F170" cm="1">
        <f t="array" ref="F170">IF($A170="", "", MRate(E170))</f>
        <v>0.47000000000000003</v>
      </c>
      <c r="G170" s="7">
        <f t="shared" si="70"/>
        <v>9433.9622641509432</v>
      </c>
      <c r="H170" s="7">
        <f>IF($A170="", "", _xlfn.XLOOKUP($B170, YearlyParamsB!$A:$A, YearlyParamsB!$E:$E, 0))</f>
        <v>0</v>
      </c>
      <c r="I170" s="5">
        <f t="shared" si="75"/>
        <v>38998.077458875945</v>
      </c>
      <c r="J170" s="5">
        <f>IFERROR(IF($A170="", "", _xlfn.XLOOKUP($B170, YearlyParamsB!$A:$A, YearlyParamsB!$I:$I, 0)), 0)</f>
        <v>11001.922541124091</v>
      </c>
      <c r="K170" s="5">
        <f t="shared" si="76"/>
        <v>0</v>
      </c>
      <c r="L170" s="5">
        <f t="shared" si="73"/>
        <v>0</v>
      </c>
      <c r="M170" s="5">
        <f t="shared" si="62"/>
        <v>9433.9622641509432</v>
      </c>
      <c r="N170" s="5">
        <f t="shared" si="67"/>
        <v>11001.922541124091</v>
      </c>
      <c r="O170" s="7">
        <f t="shared" si="64"/>
        <v>9433.9622641509432</v>
      </c>
      <c r="P170" s="7">
        <f t="shared" si="71"/>
        <v>4433.9622641509432</v>
      </c>
      <c r="Q170" s="7">
        <f t="shared" si="72"/>
        <v>9433.9622641509432</v>
      </c>
      <c r="R170" s="5">
        <f t="shared" si="77"/>
        <v>4433.9622641509432</v>
      </c>
      <c r="S170" s="5">
        <f t="shared" si="78"/>
        <v>130876.52113162242</v>
      </c>
      <c r="T170" s="5"/>
    </row>
    <row r="171" spans="1:20" x14ac:dyDescent="0.35">
      <c r="A171">
        <f t="shared" si="52"/>
        <v>170</v>
      </c>
      <c r="B171" s="13">
        <f t="shared" si="53"/>
        <v>2041</v>
      </c>
      <c r="C171">
        <f t="shared" si="54"/>
        <v>2</v>
      </c>
      <c r="D171" t="b">
        <f t="shared" si="69"/>
        <v>0</v>
      </c>
      <c r="E171" s="7">
        <f t="shared" si="74"/>
        <v>324983.97882396623</v>
      </c>
      <c r="F171" cm="1">
        <f t="array" ref="F171">IF($A171="", "", MRate(E171))</f>
        <v>0.47000000000000003</v>
      </c>
      <c r="G171" s="7">
        <f t="shared" si="70"/>
        <v>9433.9622641509432</v>
      </c>
      <c r="H171" s="7">
        <f>IF($A171="", "", _xlfn.XLOOKUP($B171, YearlyParamsB!$A:$A, YearlyParamsB!$E:$E, 0))</f>
        <v>0</v>
      </c>
      <c r="I171" s="5">
        <f t="shared" si="75"/>
        <v>38998.077458875945</v>
      </c>
      <c r="J171" s="5">
        <f>IFERROR(IF($A171="", "", _xlfn.XLOOKUP($B171, YearlyParamsB!$A:$A, YearlyParamsB!$I:$I, 0)), 0)</f>
        <v>11001.922541124091</v>
      </c>
      <c r="K171" s="5">
        <f t="shared" si="76"/>
        <v>9433.9622641509432</v>
      </c>
      <c r="L171" s="5">
        <f t="shared" si="73"/>
        <v>4433.9622641509432</v>
      </c>
      <c r="M171" s="5">
        <f t="shared" si="62"/>
        <v>9433.9622641509432</v>
      </c>
      <c r="N171" s="5">
        <f t="shared" si="67"/>
        <v>1567.9602769731482</v>
      </c>
      <c r="O171" s="7">
        <f t="shared" si="64"/>
        <v>1567.9602769731482</v>
      </c>
      <c r="P171" s="7">
        <f t="shared" si="71"/>
        <v>736.94133017737965</v>
      </c>
      <c r="Q171" s="7">
        <f t="shared" si="72"/>
        <v>11001.922541124091</v>
      </c>
      <c r="R171" s="5">
        <f t="shared" si="77"/>
        <v>5170.9035943283225</v>
      </c>
      <c r="S171" s="5">
        <f t="shared" si="78"/>
        <v>131613.46246179979</v>
      </c>
      <c r="T171" s="5"/>
    </row>
    <row r="172" spans="1:20" x14ac:dyDescent="0.35">
      <c r="A172">
        <f t="shared" si="52"/>
        <v>171</v>
      </c>
      <c r="B172" s="13">
        <f t="shared" si="53"/>
        <v>2041</v>
      </c>
      <c r="C172">
        <f t="shared" si="54"/>
        <v>3</v>
      </c>
      <c r="D172" t="b">
        <f t="shared" si="69"/>
        <v>0</v>
      </c>
      <c r="E172" s="7">
        <f t="shared" si="74"/>
        <v>324983.97882396623</v>
      </c>
      <c r="F172" cm="1">
        <f t="array" ref="F172">IF($A172="", "", MRate(E172))</f>
        <v>0.47000000000000003</v>
      </c>
      <c r="G172" s="7">
        <f t="shared" si="70"/>
        <v>9433.9622641509432</v>
      </c>
      <c r="H172" s="7">
        <f>IF($A172="", "", _xlfn.XLOOKUP($B172, YearlyParamsB!$A:$A, YearlyParamsB!$E:$E, 0))</f>
        <v>0</v>
      </c>
      <c r="I172" s="5">
        <f t="shared" si="75"/>
        <v>38998.077458875945</v>
      </c>
      <c r="J172" s="5">
        <f>IFERROR(IF($A172="", "", _xlfn.XLOOKUP($B172, YearlyParamsB!$A:$A, YearlyParamsB!$I:$I, 0)), 0)</f>
        <v>11001.922541124091</v>
      </c>
      <c r="K172" s="5">
        <f t="shared" si="76"/>
        <v>11001.922541124091</v>
      </c>
      <c r="L172" s="5">
        <f t="shared" si="73"/>
        <v>5170.9035943283225</v>
      </c>
      <c r="M172" s="5">
        <f t="shared" si="62"/>
        <v>9433.9622641509432</v>
      </c>
      <c r="N172" s="5">
        <f t="shared" si="67"/>
        <v>0</v>
      </c>
      <c r="O172" s="7">
        <f t="shared" si="64"/>
        <v>0</v>
      </c>
      <c r="P172" s="7">
        <f t="shared" si="71"/>
        <v>0</v>
      </c>
      <c r="Q172" s="7">
        <f t="shared" si="72"/>
        <v>11001.922541124091</v>
      </c>
      <c r="R172" s="5">
        <f t="shared" si="77"/>
        <v>5170.9035943283225</v>
      </c>
      <c r="S172" s="5">
        <f t="shared" si="78"/>
        <v>131613.46246179979</v>
      </c>
      <c r="T172" s="5"/>
    </row>
    <row r="173" spans="1:20" x14ac:dyDescent="0.35">
      <c r="A173">
        <f t="shared" si="52"/>
        <v>172</v>
      </c>
      <c r="B173" s="13">
        <f t="shared" si="53"/>
        <v>2041</v>
      </c>
      <c r="C173">
        <f t="shared" si="54"/>
        <v>4</v>
      </c>
      <c r="D173" t="b">
        <f t="shared" si="69"/>
        <v>0</v>
      </c>
      <c r="E173" s="7">
        <f t="shared" si="74"/>
        <v>324983.97882396623</v>
      </c>
      <c r="F173" cm="1">
        <f t="array" ref="F173">IF($A173="", "", MRate(E173))</f>
        <v>0.47000000000000003</v>
      </c>
      <c r="G173" s="7">
        <f t="shared" si="70"/>
        <v>9433.9622641509432</v>
      </c>
      <c r="H173" s="7">
        <f>IF($A173="", "", _xlfn.XLOOKUP($B173, YearlyParamsB!$A:$A, YearlyParamsB!$E:$E, 0))</f>
        <v>0</v>
      </c>
      <c r="I173" s="5">
        <f t="shared" si="75"/>
        <v>38998.077458875945</v>
      </c>
      <c r="J173" s="5">
        <f>IFERROR(IF($A173="", "", _xlfn.XLOOKUP($B173, YearlyParamsB!$A:$A, YearlyParamsB!$I:$I, 0)), 0)</f>
        <v>11001.922541124091</v>
      </c>
      <c r="K173" s="5">
        <f t="shared" si="76"/>
        <v>11001.922541124091</v>
      </c>
      <c r="L173" s="5">
        <f t="shared" si="73"/>
        <v>5170.9035943283225</v>
      </c>
      <c r="M173" s="5">
        <f t="shared" si="62"/>
        <v>9433.9622641509432</v>
      </c>
      <c r="N173" s="5">
        <f t="shared" si="67"/>
        <v>0</v>
      </c>
      <c r="O173" s="7">
        <f t="shared" si="64"/>
        <v>0</v>
      </c>
      <c r="P173" s="7">
        <f t="shared" si="71"/>
        <v>0</v>
      </c>
      <c r="Q173" s="7">
        <f t="shared" si="72"/>
        <v>11001.922541124091</v>
      </c>
      <c r="R173" s="5">
        <f t="shared" si="77"/>
        <v>5170.9035943283225</v>
      </c>
      <c r="S173" s="5">
        <f t="shared" si="78"/>
        <v>131613.46246179979</v>
      </c>
      <c r="T173" s="5"/>
    </row>
    <row r="174" spans="1:20" x14ac:dyDescent="0.35">
      <c r="A174">
        <f t="shared" si="52"/>
        <v>173</v>
      </c>
      <c r="B174" s="13">
        <f t="shared" si="53"/>
        <v>2041</v>
      </c>
      <c r="C174">
        <f t="shared" si="54"/>
        <v>5</v>
      </c>
      <c r="D174" t="b">
        <f t="shared" si="69"/>
        <v>0</v>
      </c>
      <c r="E174" s="7">
        <f t="shared" si="74"/>
        <v>324983.97882396623</v>
      </c>
      <c r="F174" cm="1">
        <f t="array" ref="F174">IF($A174="", "", MRate(E174))</f>
        <v>0.47000000000000003</v>
      </c>
      <c r="G174" s="7">
        <f t="shared" si="70"/>
        <v>9433.9622641509432</v>
      </c>
      <c r="H174" s="7">
        <f>IF($A174="", "", _xlfn.XLOOKUP($B174, YearlyParamsB!$A:$A, YearlyParamsB!$E:$E, 0))</f>
        <v>0</v>
      </c>
      <c r="I174" s="5">
        <f t="shared" si="75"/>
        <v>38998.077458875945</v>
      </c>
      <c r="J174" s="5">
        <f>IFERROR(IF($A174="", "", _xlfn.XLOOKUP($B174, YearlyParamsB!$A:$A, YearlyParamsB!$I:$I, 0)), 0)</f>
        <v>11001.922541124091</v>
      </c>
      <c r="K174" s="5">
        <f t="shared" si="76"/>
        <v>11001.922541124091</v>
      </c>
      <c r="L174" s="5">
        <f t="shared" si="73"/>
        <v>5170.9035943283225</v>
      </c>
      <c r="M174" s="5">
        <f t="shared" si="62"/>
        <v>9433.9622641509432</v>
      </c>
      <c r="N174" s="5">
        <f t="shared" si="67"/>
        <v>0</v>
      </c>
      <c r="O174" s="7">
        <f t="shared" si="64"/>
        <v>0</v>
      </c>
      <c r="P174" s="7">
        <f t="shared" si="71"/>
        <v>0</v>
      </c>
      <c r="Q174" s="7">
        <f t="shared" si="72"/>
        <v>11001.922541124091</v>
      </c>
      <c r="R174" s="5">
        <f t="shared" si="77"/>
        <v>5170.9035943283225</v>
      </c>
      <c r="S174" s="5">
        <f t="shared" si="78"/>
        <v>131613.46246179979</v>
      </c>
      <c r="T174" s="5"/>
    </row>
    <row r="175" spans="1:20" x14ac:dyDescent="0.35">
      <c r="A175">
        <f t="shared" si="52"/>
        <v>174</v>
      </c>
      <c r="B175" s="13">
        <f t="shared" si="53"/>
        <v>2041</v>
      </c>
      <c r="C175">
        <f t="shared" si="54"/>
        <v>6</v>
      </c>
      <c r="D175" t="b">
        <f t="shared" si="69"/>
        <v>0</v>
      </c>
      <c r="E175" s="7">
        <f t="shared" si="74"/>
        <v>324983.97882396623</v>
      </c>
      <c r="F175" cm="1">
        <f t="array" ref="F175">IF($A175="", "", MRate(E175))</f>
        <v>0.47000000000000003</v>
      </c>
      <c r="G175" s="7">
        <f t="shared" si="70"/>
        <v>9433.9622641509432</v>
      </c>
      <c r="H175" s="7">
        <f>IF($A175="", "", _xlfn.XLOOKUP($B175, YearlyParamsB!$A:$A, YearlyParamsB!$E:$E, 0))</f>
        <v>0</v>
      </c>
      <c r="I175" s="5">
        <f t="shared" si="75"/>
        <v>38998.077458875945</v>
      </c>
      <c r="J175" s="5">
        <f>IFERROR(IF($A175="", "", _xlfn.XLOOKUP($B175, YearlyParamsB!$A:$A, YearlyParamsB!$I:$I, 0)), 0)</f>
        <v>11001.922541124091</v>
      </c>
      <c r="K175" s="5">
        <f t="shared" si="76"/>
        <v>11001.922541124091</v>
      </c>
      <c r="L175" s="5">
        <f t="shared" si="73"/>
        <v>5170.9035943283225</v>
      </c>
      <c r="M175" s="5">
        <f t="shared" si="62"/>
        <v>9433.9622641509432</v>
      </c>
      <c r="N175" s="5">
        <f t="shared" si="67"/>
        <v>0</v>
      </c>
      <c r="O175" s="7">
        <f t="shared" si="64"/>
        <v>0</v>
      </c>
      <c r="P175" s="7">
        <f t="shared" si="71"/>
        <v>0</v>
      </c>
      <c r="Q175" s="7">
        <f t="shared" si="72"/>
        <v>11001.922541124091</v>
      </c>
      <c r="R175" s="5">
        <f t="shared" si="77"/>
        <v>5170.9035943283225</v>
      </c>
      <c r="S175" s="5">
        <f t="shared" si="78"/>
        <v>131613.46246179979</v>
      </c>
      <c r="T175" s="5"/>
    </row>
    <row r="176" spans="1:20" x14ac:dyDescent="0.35">
      <c r="A176">
        <f t="shared" si="52"/>
        <v>175</v>
      </c>
      <c r="B176" s="13">
        <f t="shared" si="53"/>
        <v>2041</v>
      </c>
      <c r="C176">
        <f t="shared" si="54"/>
        <v>7</v>
      </c>
      <c r="D176" t="b">
        <f t="shared" si="69"/>
        <v>0</v>
      </c>
      <c r="E176" s="7">
        <f t="shared" si="74"/>
        <v>324983.97882396623</v>
      </c>
      <c r="F176" cm="1">
        <f t="array" ref="F176">IF($A176="", "", MRate(E176))</f>
        <v>0.47000000000000003</v>
      </c>
      <c r="G176" s="7">
        <f t="shared" si="70"/>
        <v>9433.9622641509432</v>
      </c>
      <c r="H176" s="7">
        <f>IF($A176="", "", _xlfn.XLOOKUP($B176, YearlyParamsB!$A:$A, YearlyParamsB!$E:$E, 0))</f>
        <v>0</v>
      </c>
      <c r="I176" s="5">
        <f t="shared" si="75"/>
        <v>38998.077458875945</v>
      </c>
      <c r="J176" s="5">
        <f>IFERROR(IF($A176="", "", _xlfn.XLOOKUP($B176, YearlyParamsB!$A:$A, YearlyParamsB!$I:$I, 0)), 0)</f>
        <v>11001.922541124091</v>
      </c>
      <c r="K176" s="5">
        <f t="shared" si="76"/>
        <v>11001.922541124091</v>
      </c>
      <c r="L176" s="5">
        <f t="shared" si="73"/>
        <v>5170.9035943283225</v>
      </c>
      <c r="M176" s="5">
        <f t="shared" si="62"/>
        <v>9433.9622641509432</v>
      </c>
      <c r="N176" s="5">
        <f t="shared" si="67"/>
        <v>0</v>
      </c>
      <c r="O176" s="7">
        <f t="shared" si="64"/>
        <v>0</v>
      </c>
      <c r="P176" s="7">
        <f t="shared" si="71"/>
        <v>0</v>
      </c>
      <c r="Q176" s="7">
        <f t="shared" si="72"/>
        <v>11001.922541124091</v>
      </c>
      <c r="R176" s="5">
        <f t="shared" si="77"/>
        <v>5170.9035943283225</v>
      </c>
      <c r="S176" s="5">
        <f t="shared" si="78"/>
        <v>131613.46246179979</v>
      </c>
      <c r="T176" s="5"/>
    </row>
    <row r="177" spans="1:20" x14ac:dyDescent="0.35">
      <c r="A177">
        <f t="shared" si="52"/>
        <v>176</v>
      </c>
      <c r="B177" s="13">
        <f t="shared" si="53"/>
        <v>2041</v>
      </c>
      <c r="C177">
        <f t="shared" si="54"/>
        <v>8</v>
      </c>
      <c r="D177" t="b">
        <f t="shared" si="69"/>
        <v>0</v>
      </c>
      <c r="E177" s="7">
        <f t="shared" si="74"/>
        <v>324983.97882396623</v>
      </c>
      <c r="F177" cm="1">
        <f t="array" ref="F177">IF($A177="", "", MRate(E177))</f>
        <v>0.47000000000000003</v>
      </c>
      <c r="G177" s="7">
        <f t="shared" si="70"/>
        <v>9433.9622641509432</v>
      </c>
      <c r="H177" s="7">
        <f>IF($A177="", "", _xlfn.XLOOKUP($B177, YearlyParamsB!$A:$A, YearlyParamsB!$E:$E, 0))</f>
        <v>0</v>
      </c>
      <c r="I177" s="5">
        <f t="shared" si="75"/>
        <v>38998.077458875945</v>
      </c>
      <c r="J177" s="5">
        <f>IFERROR(IF($A177="", "", _xlfn.XLOOKUP($B177, YearlyParamsB!$A:$A, YearlyParamsB!$I:$I, 0)), 0)</f>
        <v>11001.922541124091</v>
      </c>
      <c r="K177" s="5">
        <f t="shared" si="76"/>
        <v>11001.922541124091</v>
      </c>
      <c r="L177" s="5">
        <f t="shared" si="73"/>
        <v>5170.9035943283225</v>
      </c>
      <c r="M177" s="5">
        <f t="shared" si="62"/>
        <v>9433.9622641509432</v>
      </c>
      <c r="N177" s="5">
        <f t="shared" si="67"/>
        <v>0</v>
      </c>
      <c r="O177" s="7">
        <f t="shared" si="64"/>
        <v>0</v>
      </c>
      <c r="P177" s="7">
        <f t="shared" si="71"/>
        <v>0</v>
      </c>
      <c r="Q177" s="7">
        <f t="shared" si="72"/>
        <v>11001.922541124091</v>
      </c>
      <c r="R177" s="5">
        <f t="shared" si="77"/>
        <v>5170.9035943283225</v>
      </c>
      <c r="S177" s="5">
        <f t="shared" si="78"/>
        <v>131613.46246179979</v>
      </c>
      <c r="T177" s="5"/>
    </row>
    <row r="178" spans="1:20" x14ac:dyDescent="0.35">
      <c r="A178">
        <f t="shared" si="52"/>
        <v>177</v>
      </c>
      <c r="B178" s="13">
        <f t="shared" si="53"/>
        <v>2041</v>
      </c>
      <c r="C178">
        <f t="shared" si="54"/>
        <v>9</v>
      </c>
      <c r="D178" t="b">
        <f t="shared" si="69"/>
        <v>0</v>
      </c>
      <c r="E178" s="7">
        <f t="shared" si="74"/>
        <v>324983.97882396623</v>
      </c>
      <c r="F178" cm="1">
        <f t="array" ref="F178">IF($A178="", "", MRate(E178))</f>
        <v>0.47000000000000003</v>
      </c>
      <c r="G178" s="7">
        <f t="shared" si="70"/>
        <v>9433.9622641509432</v>
      </c>
      <c r="H178" s="7">
        <f>IF($A178="", "", _xlfn.XLOOKUP($B178, YearlyParamsB!$A:$A, YearlyParamsB!$E:$E, 0))</f>
        <v>0</v>
      </c>
      <c r="I178" s="5">
        <f t="shared" si="75"/>
        <v>38998.077458875945</v>
      </c>
      <c r="J178" s="5">
        <f>IFERROR(IF($A178="", "", _xlfn.XLOOKUP($B178, YearlyParamsB!$A:$A, YearlyParamsB!$I:$I, 0)), 0)</f>
        <v>11001.922541124091</v>
      </c>
      <c r="K178" s="5">
        <f t="shared" si="76"/>
        <v>11001.922541124091</v>
      </c>
      <c r="L178" s="5">
        <f t="shared" si="73"/>
        <v>5170.9035943283225</v>
      </c>
      <c r="M178" s="5">
        <f t="shared" si="62"/>
        <v>9433.9622641509432</v>
      </c>
      <c r="N178" s="5">
        <f t="shared" si="67"/>
        <v>0</v>
      </c>
      <c r="O178" s="7">
        <f t="shared" si="64"/>
        <v>0</v>
      </c>
      <c r="P178" s="7">
        <f t="shared" si="71"/>
        <v>0</v>
      </c>
      <c r="Q178" s="7">
        <f t="shared" si="72"/>
        <v>11001.922541124091</v>
      </c>
      <c r="R178" s="5">
        <f t="shared" si="77"/>
        <v>5170.9035943283225</v>
      </c>
      <c r="S178" s="5">
        <f t="shared" si="78"/>
        <v>131613.46246179979</v>
      </c>
      <c r="T178" s="5"/>
    </row>
    <row r="179" spans="1:20" x14ac:dyDescent="0.35">
      <c r="A179">
        <f t="shared" si="52"/>
        <v>178</v>
      </c>
      <c r="B179" s="13">
        <f t="shared" si="53"/>
        <v>2041</v>
      </c>
      <c r="C179">
        <f t="shared" si="54"/>
        <v>10</v>
      </c>
      <c r="D179" t="b">
        <f t="shared" si="69"/>
        <v>0</v>
      </c>
      <c r="E179" s="7">
        <f t="shared" si="74"/>
        <v>324983.97882396623</v>
      </c>
      <c r="F179" cm="1">
        <f t="array" ref="F179">IF($A179="", "", MRate(E179))</f>
        <v>0.47000000000000003</v>
      </c>
      <c r="G179" s="7">
        <f t="shared" si="70"/>
        <v>9433.9622641509432</v>
      </c>
      <c r="H179" s="7">
        <f>IF($A179="", "", _xlfn.XLOOKUP($B179, YearlyParamsB!$A:$A, YearlyParamsB!$E:$E, 0))</f>
        <v>0</v>
      </c>
      <c r="I179" s="5">
        <f t="shared" si="75"/>
        <v>38998.077458875945</v>
      </c>
      <c r="J179" s="5">
        <f>IFERROR(IF($A179="", "", _xlfn.XLOOKUP($B179, YearlyParamsB!$A:$A, YearlyParamsB!$I:$I, 0)), 0)</f>
        <v>11001.922541124091</v>
      </c>
      <c r="K179" s="5">
        <f t="shared" si="76"/>
        <v>11001.922541124091</v>
      </c>
      <c r="L179" s="5">
        <f t="shared" si="73"/>
        <v>5170.9035943283225</v>
      </c>
      <c r="M179" s="5">
        <f t="shared" si="62"/>
        <v>9433.9622641509432</v>
      </c>
      <c r="N179" s="5">
        <f t="shared" si="67"/>
        <v>0</v>
      </c>
      <c r="O179" s="7">
        <f t="shared" si="64"/>
        <v>0</v>
      </c>
      <c r="P179" s="7">
        <f t="shared" si="71"/>
        <v>0</v>
      </c>
      <c r="Q179" s="7">
        <f t="shared" si="72"/>
        <v>11001.922541124091</v>
      </c>
      <c r="R179" s="5">
        <f t="shared" si="77"/>
        <v>5170.9035943283225</v>
      </c>
      <c r="S179" s="5">
        <f t="shared" si="78"/>
        <v>131613.46246179979</v>
      </c>
      <c r="T179" s="5"/>
    </row>
    <row r="180" spans="1:20" x14ac:dyDescent="0.35">
      <c r="A180">
        <f t="shared" si="52"/>
        <v>179</v>
      </c>
      <c r="B180" s="13">
        <f t="shared" si="53"/>
        <v>2041</v>
      </c>
      <c r="C180">
        <f t="shared" si="54"/>
        <v>11</v>
      </c>
      <c r="D180" t="b">
        <f t="shared" si="69"/>
        <v>0</v>
      </c>
      <c r="E180" s="7">
        <f t="shared" si="74"/>
        <v>324983.97882396623</v>
      </c>
      <c r="F180" cm="1">
        <f t="array" ref="F180">IF($A180="", "", MRate(E180))</f>
        <v>0.47000000000000003</v>
      </c>
      <c r="G180" s="7">
        <f t="shared" si="70"/>
        <v>9433.9622641509432</v>
      </c>
      <c r="H180" s="7">
        <f>IF($A180="", "", _xlfn.XLOOKUP($B180, YearlyParamsB!$A:$A, YearlyParamsB!$E:$E, 0))</f>
        <v>0</v>
      </c>
      <c r="I180" s="5">
        <f t="shared" si="75"/>
        <v>38998.077458875945</v>
      </c>
      <c r="J180" s="5">
        <f>IFERROR(IF($A180="", "", _xlfn.XLOOKUP($B180, YearlyParamsB!$A:$A, YearlyParamsB!$I:$I, 0)), 0)</f>
        <v>11001.922541124091</v>
      </c>
      <c r="K180" s="5">
        <f t="shared" si="76"/>
        <v>11001.922541124091</v>
      </c>
      <c r="L180" s="5">
        <f t="shared" si="73"/>
        <v>5170.9035943283225</v>
      </c>
      <c r="M180" s="5">
        <f t="shared" si="62"/>
        <v>9433.9622641509432</v>
      </c>
      <c r="N180" s="5">
        <f t="shared" si="67"/>
        <v>0</v>
      </c>
      <c r="O180" s="7">
        <f t="shared" si="64"/>
        <v>0</v>
      </c>
      <c r="P180" s="7">
        <f t="shared" si="71"/>
        <v>0</v>
      </c>
      <c r="Q180" s="7">
        <f t="shared" si="72"/>
        <v>11001.922541124091</v>
      </c>
      <c r="R180" s="5">
        <f t="shared" si="77"/>
        <v>5170.9035943283225</v>
      </c>
      <c r="S180" s="5">
        <f t="shared" si="78"/>
        <v>131613.46246179979</v>
      </c>
      <c r="T180" s="5"/>
    </row>
    <row r="181" spans="1:20" x14ac:dyDescent="0.35">
      <c r="A181">
        <f t="shared" si="52"/>
        <v>180</v>
      </c>
      <c r="B181" s="13">
        <f t="shared" si="53"/>
        <v>2041</v>
      </c>
      <c r="C181">
        <f t="shared" si="54"/>
        <v>12</v>
      </c>
      <c r="D181" t="b">
        <f t="shared" si="69"/>
        <v>1</v>
      </c>
      <c r="E181" s="7">
        <f t="shared" si="74"/>
        <v>324983.97882396623</v>
      </c>
      <c r="F181" cm="1">
        <f t="array" ref="F181">IF($A181="", "", MRate(E181))</f>
        <v>0.47000000000000003</v>
      </c>
      <c r="G181" s="7">
        <f t="shared" si="70"/>
        <v>9433.9622641509432</v>
      </c>
      <c r="H181" s="7">
        <f>IF($A181="", "", _xlfn.XLOOKUP($B181, YearlyParamsB!$A:$A, YearlyParamsB!$E:$E, 0))</f>
        <v>0</v>
      </c>
      <c r="I181" s="5">
        <f t="shared" si="75"/>
        <v>38998.077458875945</v>
      </c>
      <c r="J181" s="5">
        <f>IFERROR(IF($A181="", "", _xlfn.XLOOKUP($B181, YearlyParamsB!$A:$A, YearlyParamsB!$I:$I, 0)), 0)</f>
        <v>11001.922541124091</v>
      </c>
      <c r="K181" s="5">
        <f t="shared" si="76"/>
        <v>11001.922541124091</v>
      </c>
      <c r="L181" s="5">
        <f t="shared" si="73"/>
        <v>5170.9035943283225</v>
      </c>
      <c r="M181" s="5">
        <f t="shared" si="62"/>
        <v>9433.9622641509432</v>
      </c>
      <c r="N181" s="5">
        <f t="shared" si="67"/>
        <v>0</v>
      </c>
      <c r="O181" s="7">
        <f t="shared" si="64"/>
        <v>0</v>
      </c>
      <c r="P181" s="7">
        <f t="shared" si="71"/>
        <v>0</v>
      </c>
      <c r="Q181" s="7">
        <f t="shared" si="72"/>
        <v>11001.922541124091</v>
      </c>
      <c r="R181" s="5">
        <f t="shared" si="77"/>
        <v>5170.9035943283225</v>
      </c>
      <c r="S181" s="5">
        <f t="shared" si="78"/>
        <v>131613.46246179979</v>
      </c>
      <c r="T181" s="5"/>
    </row>
    <row r="182" spans="1:20" x14ac:dyDescent="0.35">
      <c r="E182"/>
      <c r="G182"/>
      <c r="H182"/>
      <c r="I182"/>
      <c r="J182"/>
      <c r="K182"/>
      <c r="L182"/>
      <c r="M182"/>
      <c r="N182"/>
      <c r="O182"/>
      <c r="P182"/>
      <c r="Q182"/>
      <c r="R182"/>
    </row>
    <row r="183" spans="1:20" x14ac:dyDescent="0.35">
      <c r="E183"/>
      <c r="G183"/>
      <c r="H183"/>
      <c r="I183"/>
      <c r="J183"/>
      <c r="K183"/>
      <c r="L183"/>
      <c r="M183"/>
      <c r="N183"/>
      <c r="O183"/>
      <c r="P183"/>
      <c r="Q183"/>
      <c r="R183"/>
    </row>
    <row r="184" spans="1:20" x14ac:dyDescent="0.35">
      <c r="E184"/>
      <c r="G184"/>
      <c r="H184"/>
      <c r="I184"/>
      <c r="J184"/>
      <c r="K184"/>
      <c r="L184"/>
      <c r="M184"/>
      <c r="N184"/>
      <c r="O184"/>
      <c r="P184"/>
      <c r="Q184"/>
      <c r="R184"/>
    </row>
    <row r="185" spans="1:20" x14ac:dyDescent="0.35">
      <c r="E185"/>
      <c r="G185"/>
      <c r="H185"/>
      <c r="I185"/>
      <c r="J185"/>
      <c r="K185"/>
      <c r="L185"/>
      <c r="M185"/>
      <c r="N185"/>
      <c r="O185"/>
      <c r="P185"/>
      <c r="Q185"/>
      <c r="R185"/>
    </row>
    <row r="186" spans="1:20" x14ac:dyDescent="0.35">
      <c r="E186"/>
      <c r="G186"/>
      <c r="H186"/>
      <c r="I186"/>
      <c r="J186"/>
      <c r="K186"/>
      <c r="L186"/>
      <c r="M186"/>
      <c r="N186"/>
      <c r="O186"/>
      <c r="P186"/>
      <c r="Q186"/>
      <c r="R186"/>
    </row>
    <row r="187" spans="1:20" x14ac:dyDescent="0.35">
      <c r="E187"/>
      <c r="G187"/>
      <c r="H187"/>
      <c r="I187"/>
      <c r="J187"/>
      <c r="K187"/>
      <c r="L187"/>
      <c r="M187"/>
      <c r="N187"/>
      <c r="O187"/>
      <c r="P187"/>
      <c r="Q187"/>
      <c r="R187"/>
    </row>
    <row r="188" spans="1:20" x14ac:dyDescent="0.35">
      <c r="E188"/>
      <c r="G188"/>
      <c r="H188"/>
      <c r="I188"/>
      <c r="J188"/>
      <c r="K188"/>
      <c r="L188"/>
      <c r="M188"/>
      <c r="N188"/>
      <c r="O188"/>
      <c r="P188"/>
      <c r="Q188"/>
      <c r="R188"/>
    </row>
    <row r="189" spans="1:20" x14ac:dyDescent="0.35">
      <c r="E189"/>
      <c r="G189"/>
      <c r="H189"/>
      <c r="I189"/>
      <c r="J189"/>
      <c r="K189"/>
      <c r="L189"/>
      <c r="M189"/>
      <c r="N189"/>
      <c r="O189"/>
      <c r="P189"/>
      <c r="Q189"/>
      <c r="R189"/>
    </row>
    <row r="190" spans="1:20" x14ac:dyDescent="0.35">
      <c r="E190"/>
      <c r="G190"/>
      <c r="H190"/>
      <c r="I190"/>
      <c r="J190"/>
      <c r="K190"/>
      <c r="L190"/>
      <c r="M190"/>
      <c r="N190"/>
      <c r="O190"/>
      <c r="P190"/>
      <c r="Q190"/>
      <c r="R190"/>
    </row>
    <row r="191" spans="1:20" x14ac:dyDescent="0.35">
      <c r="E191"/>
      <c r="G191"/>
      <c r="H191"/>
      <c r="I191"/>
      <c r="J191"/>
      <c r="K191"/>
      <c r="L191"/>
      <c r="M191"/>
      <c r="N191"/>
      <c r="O191"/>
      <c r="P191"/>
      <c r="Q191"/>
      <c r="R191"/>
    </row>
    <row r="192" spans="1:20" x14ac:dyDescent="0.35">
      <c r="E192"/>
      <c r="G192"/>
      <c r="H192"/>
      <c r="I192"/>
      <c r="J192"/>
      <c r="K192"/>
      <c r="L192"/>
      <c r="M192"/>
      <c r="N192"/>
      <c r="O192"/>
      <c r="P192"/>
      <c r="Q192"/>
      <c r="R192"/>
    </row>
    <row r="193" spans="5:18" x14ac:dyDescent="0.35">
      <c r="E193"/>
      <c r="G193"/>
      <c r="H193"/>
      <c r="I193"/>
      <c r="J193"/>
      <c r="K193"/>
      <c r="L193"/>
      <c r="M193"/>
      <c r="N193"/>
      <c r="O193"/>
      <c r="P193"/>
      <c r="Q193"/>
      <c r="R193"/>
    </row>
    <row r="194" spans="5:18" x14ac:dyDescent="0.35">
      <c r="E194"/>
      <c r="G194"/>
      <c r="H194"/>
      <c r="I194"/>
      <c r="J194"/>
      <c r="K194"/>
      <c r="L194"/>
      <c r="M194"/>
      <c r="N194"/>
      <c r="O194"/>
      <c r="P194"/>
      <c r="Q194"/>
      <c r="R194"/>
    </row>
    <row r="195" spans="5:18" x14ac:dyDescent="0.35">
      <c r="E195"/>
      <c r="G195"/>
      <c r="H195"/>
      <c r="I195"/>
      <c r="J195"/>
      <c r="K195"/>
      <c r="L195"/>
      <c r="M195"/>
      <c r="N195"/>
      <c r="O195"/>
      <c r="P195"/>
      <c r="Q195"/>
      <c r="R195"/>
    </row>
    <row r="196" spans="5:18" x14ac:dyDescent="0.35">
      <c r="E196"/>
      <c r="G196"/>
      <c r="H196"/>
      <c r="I196"/>
      <c r="J196"/>
      <c r="K196"/>
      <c r="L196"/>
      <c r="M196"/>
      <c r="N196"/>
      <c r="O196"/>
      <c r="P196"/>
      <c r="Q196"/>
      <c r="R196"/>
    </row>
    <row r="197" spans="5:18" x14ac:dyDescent="0.35">
      <c r="E197"/>
      <c r="G197"/>
      <c r="H197"/>
      <c r="I197"/>
      <c r="J197"/>
      <c r="K197"/>
      <c r="L197"/>
      <c r="M197"/>
      <c r="N197"/>
      <c r="O197"/>
      <c r="P197"/>
      <c r="Q197"/>
      <c r="R197"/>
    </row>
    <row r="198" spans="5:18" x14ac:dyDescent="0.35">
      <c r="E198"/>
      <c r="G198"/>
      <c r="H198"/>
      <c r="I198"/>
      <c r="J198"/>
      <c r="K198"/>
      <c r="L198"/>
      <c r="M198"/>
      <c r="N198"/>
      <c r="O198"/>
      <c r="P198"/>
      <c r="Q198"/>
      <c r="R198"/>
    </row>
    <row r="199" spans="5:18" x14ac:dyDescent="0.35">
      <c r="E199"/>
      <c r="G199"/>
      <c r="H199"/>
      <c r="I199"/>
      <c r="J199"/>
      <c r="K199"/>
      <c r="L199"/>
      <c r="M199"/>
      <c r="N199"/>
      <c r="O199"/>
      <c r="P199"/>
      <c r="Q199"/>
      <c r="R199"/>
    </row>
    <row r="200" spans="5:18" x14ac:dyDescent="0.35">
      <c r="E200"/>
      <c r="G200"/>
      <c r="H200"/>
      <c r="I200"/>
      <c r="J200"/>
      <c r="K200"/>
      <c r="L200"/>
      <c r="M200"/>
      <c r="N200"/>
      <c r="O200"/>
      <c r="P200"/>
      <c r="Q200"/>
      <c r="R200"/>
    </row>
    <row r="201" spans="5:18" x14ac:dyDescent="0.35">
      <c r="E201"/>
      <c r="G201"/>
      <c r="H201"/>
      <c r="I201"/>
      <c r="J201"/>
      <c r="K201"/>
      <c r="L201"/>
      <c r="M201"/>
      <c r="N201"/>
      <c r="O201"/>
      <c r="P201"/>
      <c r="Q201"/>
      <c r="R201"/>
    </row>
    <row r="202" spans="5:18" x14ac:dyDescent="0.35">
      <c r="E202"/>
      <c r="G202"/>
      <c r="H202"/>
      <c r="I202"/>
      <c r="J202"/>
      <c r="K202"/>
      <c r="L202"/>
      <c r="M202"/>
      <c r="N202"/>
      <c r="O202"/>
      <c r="P202"/>
      <c r="Q202"/>
      <c r="R202"/>
    </row>
    <row r="203" spans="5:18" x14ac:dyDescent="0.35">
      <c r="E203"/>
      <c r="G203"/>
      <c r="H203"/>
      <c r="I203"/>
      <c r="J203"/>
      <c r="K203"/>
      <c r="L203"/>
      <c r="M203"/>
      <c r="N203"/>
      <c r="O203"/>
      <c r="P203"/>
      <c r="Q203"/>
      <c r="R203"/>
    </row>
    <row r="204" spans="5:18" x14ac:dyDescent="0.35">
      <c r="E204"/>
      <c r="G204"/>
      <c r="H204"/>
      <c r="I204"/>
      <c r="J204"/>
      <c r="K204"/>
      <c r="L204"/>
      <c r="M204"/>
      <c r="N204"/>
      <c r="O204"/>
      <c r="P204"/>
      <c r="Q204"/>
      <c r="R204"/>
    </row>
    <row r="205" spans="5:18" x14ac:dyDescent="0.35">
      <c r="E205"/>
      <c r="G205"/>
      <c r="H205"/>
      <c r="I205"/>
      <c r="J205"/>
      <c r="K205"/>
      <c r="L205"/>
      <c r="M205"/>
      <c r="N205"/>
      <c r="O205"/>
      <c r="P205"/>
      <c r="Q205"/>
      <c r="R205"/>
    </row>
    <row r="206" spans="5:18" x14ac:dyDescent="0.35">
      <c r="E206"/>
      <c r="G206"/>
      <c r="H206"/>
      <c r="I206"/>
      <c r="J206"/>
      <c r="K206"/>
      <c r="L206"/>
      <c r="M206"/>
      <c r="N206"/>
      <c r="O206"/>
      <c r="P206"/>
      <c r="Q206"/>
      <c r="R206"/>
    </row>
    <row r="207" spans="5:18" x14ac:dyDescent="0.35">
      <c r="E207"/>
      <c r="G207"/>
      <c r="H207"/>
      <c r="I207"/>
      <c r="J207"/>
      <c r="K207"/>
      <c r="L207"/>
      <c r="M207"/>
      <c r="N207"/>
      <c r="O207"/>
      <c r="P207"/>
      <c r="Q207"/>
      <c r="R207"/>
    </row>
    <row r="208" spans="5:18" x14ac:dyDescent="0.35">
      <c r="E208"/>
      <c r="G208"/>
      <c r="H208"/>
      <c r="I208"/>
      <c r="J208"/>
      <c r="K208"/>
      <c r="L208"/>
      <c r="M208"/>
      <c r="N208"/>
      <c r="O208"/>
      <c r="P208"/>
      <c r="Q208"/>
      <c r="R208"/>
    </row>
    <row r="209" spans="5:18" x14ac:dyDescent="0.35">
      <c r="E209"/>
      <c r="G209"/>
      <c r="H209"/>
      <c r="I209"/>
      <c r="J209"/>
      <c r="K209"/>
      <c r="L209"/>
      <c r="M209"/>
      <c r="N209"/>
      <c r="O209"/>
      <c r="P209"/>
      <c r="Q209"/>
      <c r="R209"/>
    </row>
    <row r="210" spans="5:18" x14ac:dyDescent="0.35">
      <c r="E210"/>
      <c r="G210"/>
      <c r="H210"/>
      <c r="I210"/>
      <c r="J210"/>
      <c r="K210"/>
      <c r="L210"/>
      <c r="M210"/>
      <c r="N210"/>
      <c r="O210"/>
      <c r="P210"/>
      <c r="Q210"/>
      <c r="R210"/>
    </row>
    <row r="211" spans="5:18" x14ac:dyDescent="0.35">
      <c r="E211"/>
      <c r="G211"/>
      <c r="H211"/>
      <c r="I211"/>
      <c r="J211"/>
      <c r="K211"/>
      <c r="L211"/>
      <c r="M211"/>
      <c r="N211"/>
      <c r="O211"/>
      <c r="P211"/>
      <c r="Q211"/>
      <c r="R211"/>
    </row>
    <row r="212" spans="5:18" x14ac:dyDescent="0.35">
      <c r="E212"/>
      <c r="G212"/>
      <c r="H212"/>
      <c r="I212"/>
      <c r="J212"/>
      <c r="K212"/>
      <c r="L212"/>
      <c r="M212"/>
      <c r="N212"/>
      <c r="O212"/>
      <c r="P212"/>
      <c r="Q212"/>
      <c r="R212"/>
    </row>
    <row r="213" spans="5:18" x14ac:dyDescent="0.35">
      <c r="E213"/>
      <c r="G213"/>
      <c r="H213"/>
      <c r="I213"/>
      <c r="J213"/>
      <c r="K213"/>
      <c r="L213"/>
      <c r="M213"/>
      <c r="N213"/>
      <c r="O213"/>
      <c r="P213"/>
      <c r="Q213"/>
      <c r="R213"/>
    </row>
    <row r="214" spans="5:18" x14ac:dyDescent="0.35">
      <c r="E214"/>
      <c r="G214"/>
      <c r="H214"/>
      <c r="I214"/>
      <c r="J214"/>
      <c r="K214"/>
      <c r="L214"/>
      <c r="M214"/>
      <c r="N214"/>
      <c r="O214"/>
      <c r="P214"/>
      <c r="Q214"/>
      <c r="R214"/>
    </row>
    <row r="215" spans="5:18" x14ac:dyDescent="0.35">
      <c r="E215"/>
      <c r="G215"/>
      <c r="H215"/>
      <c r="I215"/>
      <c r="J215"/>
      <c r="K215"/>
      <c r="L215"/>
      <c r="M215"/>
      <c r="N215"/>
      <c r="O215"/>
      <c r="P215"/>
      <c r="Q215"/>
      <c r="R215"/>
    </row>
    <row r="216" spans="5:18" x14ac:dyDescent="0.35">
      <c r="E216"/>
      <c r="G216"/>
      <c r="H216"/>
      <c r="I216"/>
      <c r="J216"/>
      <c r="K216"/>
      <c r="L216"/>
      <c r="M216"/>
      <c r="N216"/>
      <c r="O216"/>
      <c r="P216"/>
      <c r="Q216"/>
      <c r="R216"/>
    </row>
    <row r="217" spans="5:18" x14ac:dyDescent="0.35">
      <c r="E217"/>
      <c r="G217"/>
      <c r="H217"/>
      <c r="I217"/>
      <c r="J217"/>
      <c r="K217"/>
      <c r="L217"/>
      <c r="M217"/>
      <c r="N217"/>
      <c r="O217"/>
      <c r="P217"/>
      <c r="Q217"/>
      <c r="R217"/>
    </row>
    <row r="218" spans="5:18" x14ac:dyDescent="0.35">
      <c r="E218"/>
      <c r="G218"/>
      <c r="H218"/>
      <c r="I218"/>
      <c r="J218"/>
      <c r="K218"/>
      <c r="L218"/>
      <c r="M218"/>
      <c r="N218"/>
      <c r="O218"/>
      <c r="P218"/>
      <c r="Q218"/>
      <c r="R218"/>
    </row>
    <row r="219" spans="5:18" x14ac:dyDescent="0.35">
      <c r="E219"/>
      <c r="G219"/>
      <c r="H219"/>
      <c r="I219"/>
      <c r="J219"/>
      <c r="K219"/>
      <c r="L219"/>
      <c r="M219"/>
      <c r="N219"/>
      <c r="O219"/>
      <c r="P219"/>
      <c r="Q219"/>
      <c r="R219"/>
    </row>
    <row r="220" spans="5:18" x14ac:dyDescent="0.35">
      <c r="E220"/>
      <c r="G220"/>
      <c r="H220"/>
      <c r="I220"/>
      <c r="J220"/>
      <c r="K220"/>
      <c r="L220"/>
      <c r="M220"/>
      <c r="N220"/>
      <c r="O220"/>
      <c r="P220"/>
      <c r="Q220"/>
      <c r="R220"/>
    </row>
    <row r="221" spans="5:18" x14ac:dyDescent="0.35">
      <c r="E221"/>
      <c r="G221"/>
      <c r="H221"/>
      <c r="I221"/>
      <c r="J221"/>
      <c r="K221"/>
      <c r="L221"/>
      <c r="M221"/>
      <c r="N221"/>
      <c r="O221"/>
      <c r="P221"/>
      <c r="Q221"/>
      <c r="R221"/>
    </row>
    <row r="222" spans="5:18" x14ac:dyDescent="0.35">
      <c r="E222"/>
      <c r="G222"/>
      <c r="H222"/>
      <c r="I222"/>
      <c r="J222"/>
      <c r="K222"/>
      <c r="L222"/>
      <c r="M222"/>
      <c r="N222"/>
      <c r="O222"/>
      <c r="P222"/>
      <c r="Q222"/>
      <c r="R222"/>
    </row>
    <row r="223" spans="5:18" x14ac:dyDescent="0.35">
      <c r="E223"/>
      <c r="G223"/>
      <c r="H223"/>
      <c r="I223"/>
      <c r="J223"/>
      <c r="K223"/>
      <c r="L223"/>
      <c r="M223"/>
      <c r="N223"/>
      <c r="O223"/>
      <c r="P223"/>
      <c r="Q223"/>
      <c r="R223"/>
    </row>
    <row r="224" spans="5:18" x14ac:dyDescent="0.35">
      <c r="E224"/>
      <c r="G224"/>
      <c r="H224"/>
      <c r="I224"/>
      <c r="J224"/>
      <c r="K224"/>
      <c r="L224"/>
      <c r="M224"/>
      <c r="N224"/>
      <c r="O224"/>
      <c r="P224"/>
      <c r="Q224"/>
      <c r="R224"/>
    </row>
    <row r="225" spans="5:18" x14ac:dyDescent="0.35">
      <c r="E225"/>
      <c r="G225"/>
      <c r="H225"/>
      <c r="I225"/>
      <c r="J225"/>
      <c r="K225"/>
      <c r="L225"/>
      <c r="M225"/>
      <c r="N225"/>
      <c r="O225"/>
      <c r="P225"/>
      <c r="Q225"/>
      <c r="R225"/>
    </row>
    <row r="226" spans="5:18" x14ac:dyDescent="0.35">
      <c r="E226"/>
      <c r="G226"/>
      <c r="H226"/>
      <c r="I226"/>
      <c r="J226"/>
      <c r="K226"/>
      <c r="L226"/>
      <c r="M226"/>
      <c r="N226"/>
      <c r="O226"/>
      <c r="P226"/>
      <c r="Q226"/>
      <c r="R226"/>
    </row>
    <row r="227" spans="5:18" x14ac:dyDescent="0.35">
      <c r="E227"/>
      <c r="G227"/>
      <c r="H227"/>
      <c r="I227"/>
      <c r="J227"/>
      <c r="K227"/>
      <c r="L227"/>
      <c r="M227"/>
      <c r="N227"/>
      <c r="O227"/>
      <c r="P227"/>
      <c r="Q227"/>
      <c r="R227"/>
    </row>
    <row r="228" spans="5:18" x14ac:dyDescent="0.35">
      <c r="E228"/>
      <c r="G228"/>
      <c r="H228"/>
      <c r="I228"/>
      <c r="J228"/>
      <c r="K228"/>
      <c r="L228"/>
      <c r="M228"/>
      <c r="N228"/>
      <c r="O228"/>
      <c r="P228"/>
      <c r="Q228"/>
      <c r="R228"/>
    </row>
    <row r="229" spans="5:18" x14ac:dyDescent="0.35">
      <c r="E229"/>
      <c r="G229"/>
      <c r="H229"/>
      <c r="I229"/>
      <c r="J229"/>
      <c r="K229"/>
      <c r="L229"/>
      <c r="M229"/>
      <c r="N229"/>
      <c r="O229"/>
      <c r="P229"/>
      <c r="Q229"/>
      <c r="R229"/>
    </row>
    <row r="230" spans="5:18" x14ac:dyDescent="0.35">
      <c r="E230"/>
      <c r="G230"/>
      <c r="H230"/>
      <c r="I230"/>
      <c r="J230"/>
      <c r="K230"/>
      <c r="L230"/>
      <c r="M230"/>
      <c r="N230"/>
      <c r="O230"/>
      <c r="P230"/>
      <c r="Q230"/>
      <c r="R230"/>
    </row>
    <row r="231" spans="5:18" x14ac:dyDescent="0.35">
      <c r="E231"/>
      <c r="G231"/>
      <c r="H231"/>
      <c r="I231"/>
      <c r="J231"/>
      <c r="K231"/>
      <c r="L231"/>
      <c r="M231"/>
      <c r="N231"/>
      <c r="O231"/>
      <c r="P231"/>
      <c r="Q231"/>
      <c r="R231"/>
    </row>
    <row r="232" spans="5:18" x14ac:dyDescent="0.35">
      <c r="E232"/>
      <c r="G232"/>
      <c r="H232"/>
      <c r="I232"/>
      <c r="J232"/>
      <c r="K232"/>
      <c r="L232"/>
      <c r="M232"/>
      <c r="N232"/>
      <c r="O232"/>
      <c r="P232"/>
      <c r="Q232"/>
      <c r="R232"/>
    </row>
    <row r="233" spans="5:18" x14ac:dyDescent="0.35">
      <c r="E233"/>
      <c r="G233"/>
      <c r="H233"/>
      <c r="I233"/>
      <c r="J233"/>
      <c r="K233"/>
      <c r="L233"/>
      <c r="M233"/>
      <c r="N233"/>
      <c r="O233"/>
      <c r="P233"/>
      <c r="Q233"/>
      <c r="R233"/>
    </row>
    <row r="234" spans="5:18" x14ac:dyDescent="0.35">
      <c r="E234"/>
      <c r="G234"/>
      <c r="H234"/>
      <c r="I234"/>
      <c r="J234"/>
      <c r="K234"/>
      <c r="L234"/>
      <c r="M234"/>
      <c r="N234"/>
      <c r="O234"/>
      <c r="P234"/>
      <c r="Q234"/>
      <c r="R234"/>
    </row>
    <row r="235" spans="5:18" x14ac:dyDescent="0.35">
      <c r="E235"/>
      <c r="G235"/>
      <c r="H235"/>
      <c r="I235"/>
      <c r="J235"/>
      <c r="K235"/>
      <c r="L235"/>
      <c r="M235"/>
      <c r="N235"/>
      <c r="O235"/>
      <c r="P235"/>
      <c r="Q235"/>
      <c r="R235"/>
    </row>
    <row r="236" spans="5:18" x14ac:dyDescent="0.35">
      <c r="E236"/>
      <c r="G236"/>
      <c r="H236"/>
      <c r="I236"/>
      <c r="J236"/>
      <c r="K236"/>
      <c r="L236"/>
      <c r="M236"/>
      <c r="N236"/>
      <c r="O236"/>
      <c r="P236"/>
      <c r="Q236"/>
      <c r="R236"/>
    </row>
    <row r="237" spans="5:18" x14ac:dyDescent="0.35">
      <c r="E237"/>
      <c r="G237"/>
      <c r="H237"/>
      <c r="I237"/>
      <c r="J237"/>
      <c r="K237"/>
      <c r="L237"/>
      <c r="M237"/>
      <c r="N237"/>
      <c r="O237"/>
      <c r="P237"/>
      <c r="Q237"/>
      <c r="R237"/>
    </row>
    <row r="238" spans="5:18" x14ac:dyDescent="0.35">
      <c r="E238"/>
      <c r="G238"/>
      <c r="H238"/>
      <c r="I238"/>
      <c r="J238"/>
      <c r="K238"/>
      <c r="L238"/>
      <c r="M238"/>
      <c r="N238"/>
      <c r="O238"/>
      <c r="P238"/>
      <c r="Q238"/>
      <c r="R238"/>
    </row>
    <row r="239" spans="5:18" x14ac:dyDescent="0.35">
      <c r="E239"/>
      <c r="G239"/>
      <c r="H239"/>
      <c r="I239"/>
      <c r="J239"/>
      <c r="K239"/>
      <c r="L239"/>
      <c r="M239"/>
      <c r="N239"/>
      <c r="O239"/>
      <c r="P239"/>
      <c r="Q239"/>
      <c r="R239"/>
    </row>
    <row r="240" spans="5:18" x14ac:dyDescent="0.35">
      <c r="E240"/>
      <c r="G240"/>
      <c r="H240"/>
      <c r="I240"/>
      <c r="J240"/>
      <c r="K240"/>
      <c r="L240"/>
      <c r="M240"/>
      <c r="N240"/>
      <c r="O240"/>
      <c r="P240"/>
      <c r="Q240"/>
      <c r="R240"/>
    </row>
    <row r="241" spans="5:18" x14ac:dyDescent="0.35">
      <c r="E241"/>
      <c r="G241"/>
      <c r="H241"/>
      <c r="I241"/>
      <c r="J241"/>
      <c r="K241"/>
      <c r="L241"/>
      <c r="M241"/>
      <c r="N241"/>
      <c r="O241"/>
      <c r="P241"/>
      <c r="Q241"/>
      <c r="R241"/>
    </row>
    <row r="242" spans="5:18" x14ac:dyDescent="0.35">
      <c r="E242"/>
      <c r="G242"/>
      <c r="H242"/>
      <c r="I242"/>
      <c r="J242"/>
      <c r="K242"/>
      <c r="L242"/>
      <c r="M242"/>
      <c r="N242"/>
      <c r="O242"/>
      <c r="P242"/>
      <c r="Q242"/>
      <c r="R242"/>
    </row>
    <row r="243" spans="5:18" x14ac:dyDescent="0.35">
      <c r="E243"/>
      <c r="G243"/>
      <c r="H243"/>
      <c r="I243"/>
      <c r="J243"/>
      <c r="K243"/>
      <c r="L243"/>
      <c r="M243"/>
      <c r="N243"/>
      <c r="O243"/>
      <c r="P243"/>
      <c r="Q243"/>
      <c r="R243"/>
    </row>
    <row r="244" spans="5:18" x14ac:dyDescent="0.35">
      <c r="E244"/>
      <c r="G244"/>
      <c r="H244"/>
      <c r="I244"/>
      <c r="J244"/>
      <c r="K244"/>
      <c r="L244"/>
      <c r="M244"/>
      <c r="N244"/>
      <c r="O244"/>
      <c r="P244"/>
      <c r="Q244"/>
      <c r="R244"/>
    </row>
    <row r="245" spans="5:18" x14ac:dyDescent="0.35">
      <c r="E245"/>
      <c r="G245"/>
      <c r="H245"/>
      <c r="I245"/>
      <c r="J245"/>
      <c r="K245"/>
      <c r="L245"/>
      <c r="M245"/>
      <c r="N245"/>
      <c r="O245"/>
      <c r="P245"/>
      <c r="Q245"/>
      <c r="R245"/>
    </row>
    <row r="246" spans="5:18" x14ac:dyDescent="0.35">
      <c r="E246"/>
      <c r="G246"/>
      <c r="H246"/>
      <c r="I246"/>
      <c r="J246"/>
      <c r="K246"/>
      <c r="L246"/>
      <c r="M246"/>
      <c r="N246"/>
      <c r="O246"/>
      <c r="P246"/>
      <c r="Q246"/>
      <c r="R246"/>
    </row>
    <row r="247" spans="5:18" x14ac:dyDescent="0.35">
      <c r="E247"/>
      <c r="G247"/>
      <c r="H247"/>
      <c r="I247"/>
      <c r="J247"/>
      <c r="K247"/>
      <c r="L247"/>
      <c r="M247"/>
      <c r="N247"/>
      <c r="O247"/>
      <c r="P247"/>
      <c r="Q247"/>
      <c r="R247"/>
    </row>
    <row r="248" spans="5:18" x14ac:dyDescent="0.35">
      <c r="E248"/>
      <c r="G248"/>
      <c r="H248"/>
      <c r="I248"/>
      <c r="J248"/>
      <c r="K248"/>
      <c r="L248"/>
      <c r="M248"/>
      <c r="N248"/>
      <c r="O248"/>
      <c r="P248"/>
      <c r="Q248"/>
      <c r="R248"/>
    </row>
    <row r="249" spans="5:18" x14ac:dyDescent="0.35">
      <c r="E249"/>
      <c r="G249"/>
      <c r="H249"/>
      <c r="I249"/>
      <c r="J249"/>
      <c r="K249"/>
      <c r="L249"/>
      <c r="M249"/>
      <c r="N249"/>
      <c r="O249"/>
      <c r="P249"/>
      <c r="Q249"/>
      <c r="R249"/>
    </row>
    <row r="250" spans="5:18" x14ac:dyDescent="0.35">
      <c r="E250"/>
      <c r="G250"/>
      <c r="H250"/>
      <c r="I250"/>
      <c r="J250"/>
      <c r="K250"/>
      <c r="L250"/>
      <c r="M250"/>
      <c r="N250"/>
      <c r="O250"/>
      <c r="P250"/>
      <c r="Q250"/>
      <c r="R250"/>
    </row>
    <row r="251" spans="5:18" x14ac:dyDescent="0.35">
      <c r="E251"/>
      <c r="G251"/>
      <c r="H251"/>
      <c r="I251"/>
      <c r="J251"/>
      <c r="K251"/>
      <c r="L251"/>
      <c r="M251"/>
      <c r="N251"/>
      <c r="O251"/>
      <c r="P251"/>
      <c r="Q251"/>
      <c r="R251"/>
    </row>
    <row r="252" spans="5:18" x14ac:dyDescent="0.35">
      <c r="E252"/>
      <c r="G252"/>
      <c r="H252"/>
      <c r="I252"/>
      <c r="J252"/>
      <c r="K252"/>
      <c r="L252"/>
      <c r="M252"/>
      <c r="N252"/>
      <c r="O252"/>
      <c r="P252"/>
      <c r="Q252"/>
      <c r="R252"/>
    </row>
    <row r="253" spans="5:18" x14ac:dyDescent="0.35">
      <c r="E253"/>
      <c r="G253"/>
      <c r="H253"/>
      <c r="I253"/>
      <c r="J253"/>
      <c r="K253"/>
      <c r="L253"/>
      <c r="M253"/>
      <c r="N253"/>
      <c r="O253"/>
      <c r="P253"/>
      <c r="Q253"/>
      <c r="R253"/>
    </row>
    <row r="254" spans="5:18" x14ac:dyDescent="0.35">
      <c r="E254"/>
      <c r="G254"/>
      <c r="H254"/>
      <c r="I254"/>
      <c r="J254"/>
      <c r="K254"/>
      <c r="L254"/>
      <c r="M254"/>
      <c r="N254"/>
      <c r="O254"/>
      <c r="P254"/>
      <c r="Q254"/>
      <c r="R254"/>
    </row>
    <row r="255" spans="5:18" x14ac:dyDescent="0.35">
      <c r="E255"/>
      <c r="G255"/>
      <c r="H255"/>
      <c r="I255"/>
      <c r="J255"/>
      <c r="K255"/>
      <c r="L255"/>
      <c r="M255"/>
      <c r="N255"/>
      <c r="O255"/>
      <c r="P255"/>
      <c r="Q255"/>
      <c r="R255"/>
    </row>
    <row r="256" spans="5:18" x14ac:dyDescent="0.35">
      <c r="E256"/>
      <c r="G256"/>
      <c r="H256"/>
      <c r="I256"/>
      <c r="J256"/>
      <c r="K256"/>
      <c r="L256"/>
      <c r="M256"/>
      <c r="N256"/>
      <c r="O256"/>
      <c r="P256"/>
      <c r="Q256"/>
      <c r="R256"/>
    </row>
    <row r="257" spans="5:18" x14ac:dyDescent="0.35">
      <c r="E257"/>
      <c r="G257"/>
      <c r="H257"/>
      <c r="I257"/>
      <c r="J257"/>
      <c r="K257"/>
      <c r="L257"/>
      <c r="M257"/>
      <c r="N257"/>
      <c r="O257"/>
      <c r="P257"/>
      <c r="Q257"/>
      <c r="R257"/>
    </row>
    <row r="258" spans="5:18" x14ac:dyDescent="0.35">
      <c r="E258"/>
      <c r="G258"/>
      <c r="H258"/>
      <c r="I258"/>
      <c r="J258"/>
      <c r="K258"/>
      <c r="L258"/>
      <c r="M258"/>
      <c r="N258"/>
      <c r="O258"/>
      <c r="P258"/>
      <c r="Q258"/>
      <c r="R258"/>
    </row>
    <row r="259" spans="5:18" x14ac:dyDescent="0.35">
      <c r="E259"/>
      <c r="G259"/>
      <c r="H259"/>
      <c r="I259"/>
      <c r="J259"/>
      <c r="K259"/>
      <c r="L259"/>
      <c r="M259"/>
      <c r="N259"/>
      <c r="O259"/>
      <c r="P259"/>
      <c r="Q259"/>
      <c r="R259"/>
    </row>
    <row r="260" spans="5:18" x14ac:dyDescent="0.35">
      <c r="E260"/>
      <c r="G260"/>
      <c r="H260"/>
      <c r="I260"/>
      <c r="J260"/>
      <c r="K260"/>
      <c r="L260"/>
      <c r="M260"/>
      <c r="N260"/>
      <c r="O260"/>
      <c r="P260"/>
      <c r="Q260"/>
      <c r="R260"/>
    </row>
    <row r="261" spans="5:18" x14ac:dyDescent="0.35">
      <c r="E261"/>
      <c r="G261"/>
      <c r="H261"/>
      <c r="I261"/>
      <c r="J261"/>
      <c r="K261"/>
      <c r="L261"/>
      <c r="M261"/>
      <c r="N261"/>
      <c r="O261"/>
      <c r="P261"/>
      <c r="Q261"/>
      <c r="R261"/>
    </row>
    <row r="262" spans="5:18" x14ac:dyDescent="0.35">
      <c r="E262"/>
      <c r="G262"/>
      <c r="H262"/>
      <c r="I262"/>
      <c r="J262"/>
      <c r="K262"/>
      <c r="L262"/>
      <c r="M262"/>
      <c r="N262"/>
      <c r="O262"/>
      <c r="P262"/>
      <c r="Q262"/>
      <c r="R262"/>
    </row>
    <row r="263" spans="5:18" x14ac:dyDescent="0.35">
      <c r="E263"/>
      <c r="G263"/>
      <c r="H263"/>
      <c r="I263"/>
      <c r="J263"/>
      <c r="K263"/>
      <c r="L263"/>
      <c r="M263"/>
      <c r="N263"/>
      <c r="O263"/>
      <c r="P263"/>
      <c r="Q263"/>
      <c r="R263"/>
    </row>
    <row r="264" spans="5:18" x14ac:dyDescent="0.35">
      <c r="E264"/>
      <c r="G264"/>
      <c r="H264"/>
      <c r="I264"/>
      <c r="J264"/>
      <c r="K264"/>
      <c r="L264"/>
      <c r="M264"/>
      <c r="N264"/>
      <c r="O264"/>
      <c r="P264"/>
      <c r="Q264"/>
      <c r="R264"/>
    </row>
    <row r="265" spans="5:18" x14ac:dyDescent="0.35">
      <c r="E265"/>
      <c r="G265"/>
      <c r="H265"/>
      <c r="I265"/>
      <c r="J265"/>
      <c r="K265"/>
      <c r="L265"/>
      <c r="M265"/>
      <c r="N265"/>
      <c r="O265"/>
      <c r="P265"/>
      <c r="Q265"/>
      <c r="R265"/>
    </row>
    <row r="266" spans="5:18" x14ac:dyDescent="0.35">
      <c r="E266"/>
      <c r="G266"/>
      <c r="H266"/>
      <c r="I266"/>
      <c r="J266"/>
      <c r="K266"/>
      <c r="L266"/>
      <c r="M266"/>
      <c r="N266"/>
      <c r="O266"/>
      <c r="P266"/>
      <c r="Q266"/>
      <c r="R266"/>
    </row>
    <row r="267" spans="5:18" x14ac:dyDescent="0.35">
      <c r="E267"/>
      <c r="G267"/>
      <c r="H267"/>
      <c r="I267"/>
      <c r="J267"/>
      <c r="K267"/>
      <c r="L267"/>
      <c r="M267"/>
      <c r="N267"/>
      <c r="O267"/>
      <c r="P267"/>
      <c r="Q267"/>
      <c r="R267"/>
    </row>
    <row r="268" spans="5:18" x14ac:dyDescent="0.35">
      <c r="E268"/>
      <c r="G268"/>
      <c r="H268"/>
      <c r="I268"/>
      <c r="J268"/>
      <c r="K268"/>
      <c r="L268"/>
      <c r="M268"/>
      <c r="N268"/>
      <c r="O268"/>
      <c r="P268"/>
      <c r="Q268"/>
      <c r="R268"/>
    </row>
    <row r="269" spans="5:18" x14ac:dyDescent="0.35">
      <c r="E269"/>
      <c r="G269"/>
      <c r="H269"/>
      <c r="I269"/>
      <c r="J269"/>
      <c r="K269"/>
      <c r="L269"/>
      <c r="M269"/>
      <c r="N269"/>
      <c r="O269"/>
      <c r="P269"/>
      <c r="Q269"/>
      <c r="R269"/>
    </row>
    <row r="270" spans="5:18" x14ac:dyDescent="0.35">
      <c r="E270"/>
      <c r="G270"/>
      <c r="H270"/>
      <c r="I270"/>
      <c r="J270"/>
      <c r="K270"/>
      <c r="L270"/>
      <c r="M270"/>
      <c r="N270"/>
      <c r="O270"/>
      <c r="P270"/>
      <c r="Q270"/>
      <c r="R270"/>
    </row>
    <row r="271" spans="5:18" x14ac:dyDescent="0.35">
      <c r="E271"/>
      <c r="G271"/>
      <c r="H271"/>
      <c r="I271"/>
      <c r="J271"/>
      <c r="K271"/>
      <c r="L271"/>
      <c r="M271"/>
      <c r="N271"/>
      <c r="O271"/>
      <c r="P271"/>
      <c r="Q271"/>
      <c r="R271"/>
    </row>
    <row r="272" spans="5:18" x14ac:dyDescent="0.35">
      <c r="E272"/>
      <c r="G272"/>
      <c r="H272"/>
      <c r="I272"/>
      <c r="J272"/>
      <c r="K272"/>
      <c r="L272"/>
      <c r="M272"/>
      <c r="N272"/>
      <c r="O272"/>
      <c r="P272"/>
      <c r="Q272"/>
      <c r="R272"/>
    </row>
    <row r="273" spans="5:18" x14ac:dyDescent="0.35">
      <c r="E273"/>
      <c r="G273"/>
      <c r="H273"/>
      <c r="I273"/>
      <c r="J273"/>
      <c r="K273"/>
      <c r="L273"/>
      <c r="M273"/>
      <c r="N273"/>
      <c r="O273"/>
      <c r="P273"/>
      <c r="Q273"/>
      <c r="R273"/>
    </row>
    <row r="274" spans="5:18" x14ac:dyDescent="0.35">
      <c r="E274"/>
      <c r="G274"/>
      <c r="H274"/>
      <c r="I274"/>
      <c r="J274"/>
      <c r="K274"/>
      <c r="L274"/>
      <c r="M274"/>
      <c r="N274"/>
      <c r="O274"/>
      <c r="P274"/>
      <c r="Q274"/>
      <c r="R274"/>
    </row>
    <row r="275" spans="5:18" x14ac:dyDescent="0.35">
      <c r="E275"/>
      <c r="G275"/>
      <c r="H275"/>
      <c r="I275"/>
      <c r="J275"/>
      <c r="K275"/>
      <c r="L275"/>
      <c r="M275"/>
      <c r="N275"/>
      <c r="O275"/>
      <c r="P275"/>
      <c r="Q275"/>
      <c r="R275"/>
    </row>
    <row r="276" spans="5:18" x14ac:dyDescent="0.35">
      <c r="E276"/>
      <c r="G276"/>
      <c r="H276"/>
      <c r="I276"/>
      <c r="J276"/>
      <c r="K276"/>
      <c r="L276"/>
      <c r="M276"/>
      <c r="N276"/>
      <c r="O276"/>
      <c r="P276"/>
      <c r="Q276"/>
      <c r="R276"/>
    </row>
    <row r="277" spans="5:18" x14ac:dyDescent="0.35">
      <c r="E277"/>
      <c r="G277"/>
      <c r="H277"/>
      <c r="I277"/>
      <c r="J277"/>
      <c r="K277"/>
      <c r="L277"/>
      <c r="M277"/>
      <c r="N277"/>
      <c r="O277"/>
      <c r="P277"/>
      <c r="Q277"/>
      <c r="R277"/>
    </row>
    <row r="278" spans="5:18" x14ac:dyDescent="0.35">
      <c r="E278"/>
      <c r="G278"/>
      <c r="H278"/>
      <c r="I278"/>
      <c r="J278"/>
      <c r="K278"/>
      <c r="L278"/>
      <c r="M278"/>
      <c r="N278"/>
      <c r="O278"/>
      <c r="P278"/>
      <c r="Q278"/>
      <c r="R278"/>
    </row>
    <row r="279" spans="5:18" x14ac:dyDescent="0.35">
      <c r="E279"/>
      <c r="G279"/>
      <c r="H279"/>
      <c r="I279"/>
      <c r="J279"/>
      <c r="K279"/>
      <c r="L279"/>
      <c r="M279"/>
      <c r="N279"/>
      <c r="O279"/>
      <c r="P279"/>
      <c r="Q279"/>
      <c r="R279"/>
    </row>
    <row r="280" spans="5:18" x14ac:dyDescent="0.35">
      <c r="E280"/>
      <c r="G280"/>
      <c r="H280"/>
      <c r="I280"/>
      <c r="J280"/>
      <c r="K280"/>
      <c r="L280"/>
      <c r="M280"/>
      <c r="N280"/>
      <c r="O280"/>
      <c r="P280"/>
      <c r="Q280"/>
      <c r="R280"/>
    </row>
    <row r="281" spans="5:18" x14ac:dyDescent="0.35">
      <c r="E281"/>
      <c r="G281"/>
      <c r="H281"/>
      <c r="I281"/>
      <c r="J281"/>
      <c r="K281"/>
      <c r="L281"/>
      <c r="M281"/>
      <c r="N281"/>
      <c r="O281"/>
      <c r="P281"/>
      <c r="Q281"/>
      <c r="R281"/>
    </row>
    <row r="282" spans="5:18" x14ac:dyDescent="0.35">
      <c r="E282"/>
      <c r="G282"/>
      <c r="H282"/>
      <c r="I282"/>
      <c r="J282"/>
      <c r="K282"/>
      <c r="L282"/>
      <c r="M282"/>
      <c r="N282"/>
      <c r="O282"/>
      <c r="P282"/>
      <c r="Q282"/>
      <c r="R282"/>
    </row>
    <row r="283" spans="5:18" x14ac:dyDescent="0.35">
      <c r="E283"/>
      <c r="G283"/>
      <c r="H283"/>
      <c r="I283"/>
      <c r="J283"/>
      <c r="K283"/>
      <c r="L283"/>
      <c r="M283"/>
      <c r="N283"/>
      <c r="O283"/>
      <c r="P283"/>
      <c r="Q283"/>
      <c r="R283"/>
    </row>
    <row r="284" spans="5:18" x14ac:dyDescent="0.35">
      <c r="E284"/>
      <c r="G284"/>
      <c r="H284"/>
      <c r="I284"/>
      <c r="J284"/>
      <c r="K284"/>
      <c r="L284"/>
      <c r="M284"/>
      <c r="N284"/>
      <c r="O284"/>
      <c r="P284"/>
      <c r="Q284"/>
      <c r="R284"/>
    </row>
    <row r="285" spans="5:18" x14ac:dyDescent="0.35">
      <c r="E285"/>
      <c r="G285"/>
      <c r="H285"/>
      <c r="I285"/>
      <c r="J285"/>
      <c r="K285"/>
      <c r="L285"/>
      <c r="M285"/>
      <c r="N285"/>
      <c r="O285"/>
      <c r="P285"/>
      <c r="Q285"/>
      <c r="R285"/>
    </row>
    <row r="286" spans="5:18" x14ac:dyDescent="0.35">
      <c r="E286"/>
      <c r="G286"/>
      <c r="H286"/>
      <c r="I286"/>
      <c r="J286"/>
      <c r="K286"/>
      <c r="L286"/>
      <c r="M286"/>
      <c r="N286"/>
      <c r="O286"/>
      <c r="P286"/>
      <c r="Q286"/>
      <c r="R286"/>
    </row>
    <row r="287" spans="5:18" x14ac:dyDescent="0.35">
      <c r="E287"/>
      <c r="G287"/>
      <c r="H287"/>
      <c r="I287"/>
      <c r="J287"/>
      <c r="K287"/>
      <c r="L287"/>
      <c r="M287"/>
      <c r="N287"/>
      <c r="O287"/>
      <c r="P287"/>
      <c r="Q287"/>
      <c r="R287"/>
    </row>
    <row r="288" spans="5:18" x14ac:dyDescent="0.35">
      <c r="E288"/>
      <c r="G288"/>
      <c r="H288"/>
      <c r="I288"/>
      <c r="J288"/>
      <c r="K288"/>
      <c r="L288"/>
      <c r="M288"/>
      <c r="N288"/>
      <c r="O288"/>
      <c r="P288"/>
      <c r="Q288"/>
      <c r="R288"/>
    </row>
    <row r="289" spans="5:18" x14ac:dyDescent="0.35">
      <c r="E289"/>
      <c r="G289"/>
      <c r="H289"/>
      <c r="I289"/>
      <c r="J289"/>
      <c r="K289"/>
      <c r="L289"/>
      <c r="M289"/>
      <c r="N289"/>
      <c r="O289"/>
      <c r="P289"/>
      <c r="Q289"/>
      <c r="R289"/>
    </row>
    <row r="290" spans="5:18" x14ac:dyDescent="0.35">
      <c r="E290"/>
      <c r="G290"/>
      <c r="H290"/>
      <c r="I290"/>
      <c r="J290"/>
      <c r="K290"/>
      <c r="L290"/>
      <c r="M290"/>
      <c r="N290"/>
      <c r="O290"/>
      <c r="P290"/>
      <c r="Q290"/>
      <c r="R290"/>
    </row>
    <row r="291" spans="5:18" x14ac:dyDescent="0.35">
      <c r="E291"/>
      <c r="G291"/>
      <c r="H291"/>
      <c r="I291"/>
      <c r="J291"/>
      <c r="K291"/>
      <c r="L291"/>
      <c r="M291"/>
      <c r="N291"/>
      <c r="O291"/>
      <c r="P291"/>
      <c r="Q291"/>
      <c r="R291"/>
    </row>
    <row r="292" spans="5:18" x14ac:dyDescent="0.35">
      <c r="E292"/>
      <c r="G292"/>
      <c r="H292"/>
      <c r="I292"/>
      <c r="J292"/>
      <c r="K292"/>
      <c r="L292"/>
      <c r="M292"/>
      <c r="N292"/>
      <c r="O292"/>
      <c r="P292"/>
      <c r="Q292"/>
      <c r="R292"/>
    </row>
    <row r="293" spans="5:18" x14ac:dyDescent="0.35">
      <c r="E293"/>
      <c r="G293"/>
      <c r="H293"/>
      <c r="I293"/>
      <c r="J293"/>
      <c r="K293"/>
      <c r="L293"/>
      <c r="M293"/>
      <c r="N293"/>
      <c r="O293"/>
      <c r="P293"/>
      <c r="Q293"/>
      <c r="R293"/>
    </row>
    <row r="294" spans="5:18" x14ac:dyDescent="0.35">
      <c r="E294"/>
      <c r="G294"/>
      <c r="H294"/>
      <c r="I294"/>
      <c r="J294"/>
      <c r="K294"/>
      <c r="L294"/>
      <c r="M294"/>
      <c r="N294"/>
      <c r="O294"/>
      <c r="P294"/>
      <c r="Q294"/>
      <c r="R294"/>
    </row>
    <row r="295" spans="5:18" x14ac:dyDescent="0.35">
      <c r="E295"/>
      <c r="G295"/>
      <c r="H295"/>
      <c r="I295"/>
      <c r="J295"/>
      <c r="K295"/>
      <c r="L295"/>
      <c r="M295"/>
      <c r="N295"/>
      <c r="O295"/>
      <c r="P295"/>
      <c r="Q295"/>
      <c r="R295"/>
    </row>
    <row r="296" spans="5:18" x14ac:dyDescent="0.35">
      <c r="E296"/>
      <c r="G296"/>
      <c r="H296"/>
      <c r="I296"/>
      <c r="J296"/>
      <c r="K296"/>
      <c r="L296"/>
      <c r="M296"/>
      <c r="N296"/>
      <c r="O296"/>
      <c r="P296"/>
      <c r="Q296"/>
      <c r="R296"/>
    </row>
    <row r="297" spans="5:18" x14ac:dyDescent="0.35">
      <c r="E297"/>
      <c r="G297"/>
      <c r="H297"/>
      <c r="I297"/>
      <c r="J297"/>
      <c r="K297"/>
      <c r="L297"/>
      <c r="M297"/>
      <c r="N297"/>
      <c r="O297"/>
      <c r="P297"/>
      <c r="Q297"/>
      <c r="R297"/>
    </row>
    <row r="298" spans="5:18" x14ac:dyDescent="0.35">
      <c r="E298"/>
      <c r="G298"/>
      <c r="H298"/>
      <c r="I298"/>
      <c r="J298"/>
      <c r="K298"/>
      <c r="L298"/>
      <c r="M298"/>
      <c r="N298"/>
      <c r="O298"/>
      <c r="P298"/>
      <c r="Q298"/>
      <c r="R298"/>
    </row>
    <row r="299" spans="5:18" x14ac:dyDescent="0.35">
      <c r="E299"/>
      <c r="G299"/>
      <c r="H299"/>
      <c r="I299"/>
      <c r="J299"/>
      <c r="K299"/>
      <c r="L299"/>
      <c r="M299"/>
      <c r="N299"/>
      <c r="O299"/>
      <c r="P299"/>
      <c r="Q299"/>
      <c r="R299"/>
    </row>
    <row r="300" spans="5:18" x14ac:dyDescent="0.35">
      <c r="E300"/>
      <c r="G300"/>
      <c r="H300"/>
      <c r="I300"/>
      <c r="J300"/>
      <c r="K300"/>
      <c r="L300"/>
      <c r="M300"/>
      <c r="N300"/>
      <c r="O300"/>
      <c r="P300"/>
      <c r="Q300"/>
      <c r="R300"/>
    </row>
    <row r="301" spans="5:18" x14ac:dyDescent="0.35">
      <c r="E301"/>
      <c r="G301"/>
      <c r="H301"/>
      <c r="I301"/>
      <c r="J301"/>
      <c r="K301"/>
      <c r="L301"/>
      <c r="M301"/>
      <c r="N301"/>
      <c r="O301"/>
      <c r="P301"/>
      <c r="Q301"/>
      <c r="R301"/>
    </row>
    <row r="302" spans="5:18" x14ac:dyDescent="0.35">
      <c r="E302"/>
      <c r="G302"/>
      <c r="H302"/>
      <c r="I302"/>
      <c r="J302"/>
      <c r="K302"/>
      <c r="L302"/>
      <c r="M302"/>
      <c r="N302"/>
      <c r="O302"/>
      <c r="P302"/>
      <c r="Q302"/>
      <c r="R302"/>
    </row>
    <row r="303" spans="5:18" x14ac:dyDescent="0.35">
      <c r="E303"/>
      <c r="G303"/>
      <c r="H303"/>
      <c r="I303"/>
      <c r="J303"/>
      <c r="K303"/>
      <c r="L303"/>
      <c r="M303"/>
      <c r="N303"/>
      <c r="O303"/>
      <c r="P303"/>
      <c r="Q303"/>
      <c r="R303"/>
    </row>
    <row r="304" spans="5:18" x14ac:dyDescent="0.35">
      <c r="E304"/>
      <c r="G304"/>
      <c r="H304"/>
      <c r="I304"/>
      <c r="J304"/>
      <c r="K304"/>
      <c r="L304"/>
      <c r="M304"/>
      <c r="N304"/>
      <c r="O304"/>
      <c r="P304"/>
      <c r="Q304"/>
      <c r="R304"/>
    </row>
    <row r="305" spans="5:18" x14ac:dyDescent="0.35">
      <c r="E305"/>
      <c r="G305"/>
      <c r="H305"/>
      <c r="I305"/>
      <c r="J305"/>
      <c r="K305"/>
      <c r="L305"/>
      <c r="M305"/>
      <c r="N305"/>
      <c r="O305"/>
      <c r="P305"/>
      <c r="Q305"/>
      <c r="R305"/>
    </row>
    <row r="306" spans="5:18" x14ac:dyDescent="0.35">
      <c r="E306"/>
      <c r="G306"/>
      <c r="H306"/>
      <c r="I306"/>
      <c r="J306"/>
      <c r="K306"/>
      <c r="L306"/>
      <c r="M306"/>
      <c r="N306"/>
      <c r="O306"/>
      <c r="P306"/>
      <c r="Q306"/>
      <c r="R306"/>
    </row>
    <row r="307" spans="5:18" x14ac:dyDescent="0.35">
      <c r="E307"/>
      <c r="G307"/>
      <c r="H307"/>
      <c r="I307"/>
      <c r="J307"/>
      <c r="K307"/>
      <c r="L307"/>
      <c r="M307"/>
      <c r="N307"/>
      <c r="O307"/>
      <c r="P307"/>
      <c r="Q307"/>
      <c r="R307"/>
    </row>
    <row r="308" spans="5:18" x14ac:dyDescent="0.35">
      <c r="E308"/>
      <c r="G308"/>
      <c r="H308"/>
      <c r="I308"/>
      <c r="J308"/>
      <c r="K308"/>
      <c r="L308"/>
      <c r="M308"/>
      <c r="N308"/>
      <c r="O308"/>
      <c r="P308"/>
      <c r="Q308"/>
      <c r="R308"/>
    </row>
    <row r="309" spans="5:18" x14ac:dyDescent="0.35">
      <c r="E309"/>
      <c r="G309"/>
      <c r="H309"/>
      <c r="I309"/>
      <c r="J309"/>
      <c r="K309"/>
      <c r="L309"/>
      <c r="M309"/>
      <c r="N309"/>
      <c r="O309"/>
      <c r="P309"/>
      <c r="Q309"/>
      <c r="R309"/>
    </row>
    <row r="310" spans="5:18" x14ac:dyDescent="0.35">
      <c r="E310"/>
      <c r="G310"/>
      <c r="H310"/>
      <c r="I310"/>
      <c r="J310"/>
      <c r="K310"/>
      <c r="L310"/>
      <c r="M310"/>
      <c r="N310"/>
      <c r="O310"/>
      <c r="P310"/>
      <c r="Q310"/>
      <c r="R310"/>
    </row>
    <row r="311" spans="5:18" x14ac:dyDescent="0.35">
      <c r="E311"/>
      <c r="G311"/>
      <c r="H311"/>
      <c r="I311"/>
      <c r="J311"/>
      <c r="K311"/>
      <c r="L311"/>
      <c r="M311"/>
      <c r="N311"/>
      <c r="O311"/>
      <c r="P311"/>
      <c r="Q311"/>
      <c r="R311"/>
    </row>
    <row r="312" spans="5:18" x14ac:dyDescent="0.35">
      <c r="E312"/>
      <c r="G312"/>
      <c r="H312"/>
      <c r="I312"/>
      <c r="J312"/>
      <c r="K312"/>
      <c r="L312"/>
      <c r="M312"/>
      <c r="N312"/>
      <c r="O312"/>
      <c r="P312"/>
      <c r="Q312"/>
      <c r="R312"/>
    </row>
    <row r="313" spans="5:18" x14ac:dyDescent="0.35">
      <c r="E313"/>
      <c r="G313"/>
      <c r="H313"/>
      <c r="I313"/>
      <c r="J313"/>
      <c r="K313"/>
      <c r="L313"/>
      <c r="M313"/>
      <c r="N313"/>
      <c r="O313"/>
      <c r="P313"/>
      <c r="Q313"/>
      <c r="R313"/>
    </row>
    <row r="314" spans="5:18" x14ac:dyDescent="0.35">
      <c r="E314"/>
      <c r="G314"/>
      <c r="H314"/>
      <c r="I314"/>
      <c r="J314"/>
      <c r="K314"/>
      <c r="L314"/>
      <c r="M314"/>
      <c r="N314"/>
      <c r="O314"/>
      <c r="P314"/>
      <c r="Q314"/>
      <c r="R314"/>
    </row>
    <row r="315" spans="5:18" x14ac:dyDescent="0.35">
      <c r="E315"/>
      <c r="G315"/>
      <c r="H315"/>
      <c r="I315"/>
      <c r="J315"/>
      <c r="K315"/>
      <c r="L315"/>
      <c r="M315"/>
      <c r="N315"/>
      <c r="O315"/>
      <c r="P315"/>
      <c r="Q315"/>
      <c r="R315"/>
    </row>
    <row r="316" spans="5:18" x14ac:dyDescent="0.35">
      <c r="E316"/>
      <c r="G316"/>
      <c r="H316"/>
      <c r="I316"/>
      <c r="J316"/>
      <c r="K316"/>
      <c r="L316"/>
      <c r="M316"/>
      <c r="N316"/>
      <c r="O316"/>
      <c r="P316"/>
      <c r="Q316"/>
      <c r="R316"/>
    </row>
    <row r="317" spans="5:18" x14ac:dyDescent="0.35">
      <c r="E317"/>
      <c r="G317"/>
      <c r="H317"/>
      <c r="I317"/>
      <c r="J317"/>
      <c r="K317"/>
      <c r="L317"/>
      <c r="M317"/>
      <c r="N317"/>
      <c r="O317"/>
      <c r="P317"/>
      <c r="Q317"/>
      <c r="R317"/>
    </row>
    <row r="318" spans="5:18" x14ac:dyDescent="0.35">
      <c r="E318"/>
      <c r="G318"/>
      <c r="H318"/>
      <c r="I318"/>
      <c r="J318"/>
      <c r="K318"/>
      <c r="L318"/>
      <c r="M318"/>
      <c r="N318"/>
      <c r="O318"/>
      <c r="P318"/>
      <c r="Q318"/>
      <c r="R318"/>
    </row>
    <row r="319" spans="5:18" x14ac:dyDescent="0.35">
      <c r="E319"/>
      <c r="G319"/>
      <c r="H319"/>
      <c r="I319"/>
      <c r="J319"/>
      <c r="K319"/>
      <c r="L319"/>
      <c r="M319"/>
      <c r="N319"/>
      <c r="O319"/>
      <c r="P319"/>
      <c r="Q319"/>
      <c r="R319"/>
    </row>
    <row r="320" spans="5:18" x14ac:dyDescent="0.35">
      <c r="E320"/>
      <c r="G320"/>
      <c r="H320"/>
      <c r="I320"/>
      <c r="J320"/>
      <c r="K320"/>
      <c r="L320"/>
      <c r="M320"/>
      <c r="N320"/>
      <c r="O320"/>
      <c r="P320"/>
      <c r="Q320"/>
      <c r="R320"/>
    </row>
    <row r="321" spans="5:18" x14ac:dyDescent="0.35">
      <c r="E321"/>
      <c r="G321"/>
      <c r="H321"/>
      <c r="I321"/>
      <c r="J321"/>
      <c r="K321"/>
      <c r="L321"/>
      <c r="M321"/>
      <c r="N321"/>
      <c r="O321"/>
      <c r="P321"/>
      <c r="Q321"/>
      <c r="R321"/>
    </row>
    <row r="322" spans="5:18" x14ac:dyDescent="0.35">
      <c r="E322"/>
      <c r="G322"/>
      <c r="H322"/>
      <c r="I322"/>
      <c r="J322"/>
      <c r="K322"/>
      <c r="L322"/>
      <c r="M322"/>
      <c r="N322"/>
      <c r="O322"/>
      <c r="P322"/>
      <c r="Q322"/>
      <c r="R322"/>
    </row>
    <row r="323" spans="5:18" x14ac:dyDescent="0.35">
      <c r="E323"/>
      <c r="G323"/>
      <c r="H323"/>
      <c r="I323"/>
      <c r="J323"/>
      <c r="K323"/>
      <c r="L323"/>
      <c r="M323"/>
      <c r="N323"/>
      <c r="O323"/>
      <c r="P323"/>
      <c r="Q323"/>
      <c r="R323"/>
    </row>
    <row r="324" spans="5:18" x14ac:dyDescent="0.35">
      <c r="E324"/>
      <c r="G324"/>
      <c r="H324"/>
      <c r="I324"/>
      <c r="J324"/>
      <c r="K324"/>
      <c r="L324"/>
      <c r="M324"/>
      <c r="N324"/>
      <c r="O324"/>
      <c r="P324"/>
      <c r="Q324"/>
      <c r="R324"/>
    </row>
    <row r="325" spans="5:18" x14ac:dyDescent="0.35">
      <c r="E325"/>
      <c r="G325"/>
      <c r="H325"/>
      <c r="I325"/>
      <c r="J325"/>
      <c r="K325"/>
      <c r="L325"/>
      <c r="M325"/>
      <c r="N325"/>
      <c r="O325"/>
      <c r="P325"/>
      <c r="Q325"/>
      <c r="R325"/>
    </row>
    <row r="326" spans="5:18" x14ac:dyDescent="0.35">
      <c r="E326"/>
      <c r="G326"/>
      <c r="H326"/>
      <c r="I326"/>
      <c r="J326"/>
      <c r="K326"/>
      <c r="L326"/>
      <c r="M326"/>
      <c r="N326"/>
      <c r="O326"/>
      <c r="P326"/>
      <c r="Q326"/>
      <c r="R326"/>
    </row>
    <row r="327" spans="5:18" x14ac:dyDescent="0.35">
      <c r="E327"/>
      <c r="G327"/>
      <c r="H327"/>
      <c r="I327"/>
      <c r="J327"/>
      <c r="K327"/>
      <c r="L327"/>
      <c r="M327"/>
      <c r="N327"/>
      <c r="O327"/>
      <c r="P327"/>
      <c r="Q327"/>
      <c r="R327"/>
    </row>
    <row r="328" spans="5:18" x14ac:dyDescent="0.35">
      <c r="E328"/>
      <c r="G328"/>
      <c r="H328"/>
      <c r="I328"/>
      <c r="J328"/>
      <c r="K328"/>
      <c r="L328"/>
      <c r="M328"/>
      <c r="N328"/>
      <c r="O328"/>
      <c r="P328"/>
      <c r="Q328"/>
      <c r="R328"/>
    </row>
    <row r="329" spans="5:18" x14ac:dyDescent="0.35">
      <c r="E329"/>
      <c r="G329"/>
      <c r="H329"/>
      <c r="I329"/>
      <c r="J329"/>
      <c r="K329"/>
      <c r="L329"/>
      <c r="M329"/>
      <c r="N329"/>
      <c r="O329"/>
      <c r="P329"/>
      <c r="Q329"/>
      <c r="R329"/>
    </row>
    <row r="330" spans="5:18" x14ac:dyDescent="0.35">
      <c r="E330"/>
      <c r="G330"/>
      <c r="H330"/>
      <c r="I330"/>
      <c r="J330"/>
      <c r="K330"/>
      <c r="L330"/>
      <c r="M330"/>
      <c r="N330"/>
      <c r="O330"/>
      <c r="P330"/>
      <c r="Q330"/>
      <c r="R330"/>
    </row>
    <row r="331" spans="5:18" x14ac:dyDescent="0.35">
      <c r="E331"/>
      <c r="G331"/>
      <c r="H331"/>
      <c r="I331"/>
      <c r="J331"/>
      <c r="K331"/>
      <c r="L331"/>
      <c r="M331"/>
      <c r="N331"/>
      <c r="O331"/>
      <c r="P331"/>
      <c r="Q331"/>
      <c r="R331"/>
    </row>
    <row r="332" spans="5:18" x14ac:dyDescent="0.35">
      <c r="E332"/>
      <c r="G332"/>
      <c r="H332"/>
      <c r="I332"/>
      <c r="J332"/>
      <c r="K332"/>
      <c r="L332"/>
      <c r="M332"/>
      <c r="N332"/>
      <c r="O332"/>
      <c r="P332"/>
      <c r="Q332"/>
      <c r="R332"/>
    </row>
    <row r="333" spans="5:18" x14ac:dyDescent="0.35">
      <c r="E333"/>
      <c r="G333"/>
      <c r="H333"/>
      <c r="I333"/>
      <c r="J333"/>
      <c r="K333"/>
      <c r="L333"/>
      <c r="M333"/>
      <c r="N333"/>
      <c r="O333"/>
      <c r="P333"/>
      <c r="Q333"/>
      <c r="R333"/>
    </row>
    <row r="334" spans="5:18" x14ac:dyDescent="0.35">
      <c r="E334"/>
      <c r="G334"/>
      <c r="H334"/>
      <c r="I334"/>
      <c r="J334"/>
      <c r="K334"/>
      <c r="L334"/>
      <c r="M334"/>
      <c r="N334"/>
      <c r="O334"/>
      <c r="P334"/>
      <c r="Q334"/>
      <c r="R334"/>
    </row>
    <row r="335" spans="5:18" x14ac:dyDescent="0.35">
      <c r="E335"/>
      <c r="G335"/>
      <c r="H335"/>
      <c r="I335"/>
      <c r="J335"/>
      <c r="K335"/>
      <c r="L335"/>
      <c r="M335"/>
      <c r="N335"/>
      <c r="O335"/>
      <c r="P335"/>
      <c r="Q335"/>
      <c r="R335"/>
    </row>
    <row r="336" spans="5:18" x14ac:dyDescent="0.35">
      <c r="E336"/>
      <c r="G336"/>
      <c r="H336"/>
      <c r="I336"/>
      <c r="J336"/>
      <c r="K336"/>
      <c r="L336"/>
      <c r="M336"/>
      <c r="N336"/>
      <c r="O336"/>
      <c r="P336"/>
      <c r="Q336"/>
      <c r="R336"/>
    </row>
    <row r="337" spans="5:18" x14ac:dyDescent="0.35">
      <c r="E337"/>
      <c r="G337"/>
      <c r="H337"/>
      <c r="I337"/>
      <c r="J337"/>
      <c r="K337"/>
      <c r="L337"/>
      <c r="M337"/>
      <c r="N337"/>
      <c r="O337"/>
      <c r="P337"/>
      <c r="Q337"/>
      <c r="R337"/>
    </row>
    <row r="338" spans="5:18" x14ac:dyDescent="0.35">
      <c r="E338"/>
      <c r="G338"/>
      <c r="H338"/>
      <c r="I338"/>
      <c r="J338"/>
      <c r="K338"/>
      <c r="L338"/>
      <c r="M338"/>
      <c r="N338"/>
      <c r="O338"/>
      <c r="P338"/>
      <c r="Q338"/>
      <c r="R338"/>
    </row>
    <row r="339" spans="5:18" x14ac:dyDescent="0.35">
      <c r="E339"/>
      <c r="G339"/>
      <c r="H339"/>
      <c r="I339"/>
      <c r="J339"/>
      <c r="K339"/>
      <c r="L339"/>
      <c r="M339"/>
      <c r="N339"/>
      <c r="O339"/>
      <c r="P339"/>
      <c r="Q339"/>
      <c r="R339"/>
    </row>
    <row r="340" spans="5:18" x14ac:dyDescent="0.35">
      <c r="E340"/>
      <c r="G340"/>
      <c r="H340"/>
      <c r="I340"/>
      <c r="J340"/>
      <c r="K340"/>
      <c r="L340"/>
      <c r="M340"/>
      <c r="N340"/>
      <c r="O340"/>
      <c r="P340"/>
      <c r="Q340"/>
      <c r="R340"/>
    </row>
    <row r="341" spans="5:18" x14ac:dyDescent="0.35">
      <c r="E341"/>
      <c r="G341"/>
      <c r="H341"/>
      <c r="I341"/>
      <c r="J341"/>
      <c r="K341"/>
      <c r="L341"/>
      <c r="M341"/>
      <c r="N341"/>
      <c r="O341"/>
      <c r="P341"/>
      <c r="Q341"/>
      <c r="R341"/>
    </row>
    <row r="342" spans="5:18" x14ac:dyDescent="0.35">
      <c r="E342"/>
      <c r="G342"/>
      <c r="H342"/>
      <c r="I342"/>
      <c r="J342"/>
      <c r="K342"/>
      <c r="L342"/>
      <c r="M342"/>
      <c r="N342"/>
      <c r="O342"/>
      <c r="P342"/>
      <c r="Q342"/>
      <c r="R342"/>
    </row>
    <row r="343" spans="5:18" x14ac:dyDescent="0.35">
      <c r="E343"/>
      <c r="G343"/>
      <c r="H343"/>
      <c r="I343"/>
      <c r="J343"/>
      <c r="K343"/>
      <c r="L343"/>
      <c r="M343"/>
      <c r="N343"/>
      <c r="O343"/>
      <c r="P343"/>
      <c r="Q343"/>
      <c r="R343"/>
    </row>
    <row r="344" spans="5:18" x14ac:dyDescent="0.35">
      <c r="E344"/>
      <c r="G344"/>
      <c r="H344"/>
      <c r="I344"/>
      <c r="J344"/>
      <c r="K344"/>
      <c r="L344"/>
      <c r="M344"/>
      <c r="N344"/>
      <c r="O344"/>
      <c r="P344"/>
      <c r="Q344"/>
      <c r="R344"/>
    </row>
    <row r="345" spans="5:18" x14ac:dyDescent="0.35">
      <c r="E345"/>
      <c r="G345"/>
      <c r="H345"/>
      <c r="I345"/>
      <c r="J345"/>
      <c r="K345"/>
      <c r="L345"/>
      <c r="M345"/>
      <c r="N345"/>
      <c r="O345"/>
      <c r="P345"/>
      <c r="Q345"/>
      <c r="R345"/>
    </row>
  </sheetData>
  <conditionalFormatting sqref="AI17">
    <cfRule type="notContainsBlanks" dxfId="0" priority="1">
      <formula>LEN(TRIM(AI17))&gt;0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C0B1-458E-421C-B9C7-D422AD0BD4EB}">
  <sheetPr>
    <tabColor rgb="FF0077B6"/>
  </sheetPr>
  <dimension ref="A1:AY279"/>
  <sheetViews>
    <sheetView topLeftCell="O1" workbookViewId="0">
      <pane ySplit="3" topLeftCell="A157" activePane="bottomLeft" state="frozen"/>
      <selection activeCell="F54" sqref="F54"/>
      <selection pane="bottomLeft" activeCell="W196" sqref="W196"/>
    </sheetView>
  </sheetViews>
  <sheetFormatPr defaultColWidth="8.26953125" defaultRowHeight="14.5" x14ac:dyDescent="0.35"/>
  <cols>
    <col min="1" max="1" width="8.453125" bestFit="1" customWidth="1"/>
    <col min="2" max="2" width="6.81640625" bestFit="1" customWidth="1"/>
    <col min="3" max="3" width="13.81640625" bestFit="1" customWidth="1"/>
    <col min="4" max="4" width="16.90625" style="5" bestFit="1" customWidth="1"/>
    <col min="5" max="5" width="19.26953125" style="5" bestFit="1" customWidth="1"/>
    <col min="6" max="6" width="17.26953125" style="5" bestFit="1" customWidth="1"/>
    <col min="7" max="7" width="9.90625" style="5" bestFit="1" customWidth="1"/>
    <col min="8" max="8" width="14.54296875" style="5" bestFit="1" customWidth="1"/>
    <col min="9" max="9" width="10.6328125" style="5" bestFit="1" customWidth="1"/>
    <col min="10" max="10" width="16.1796875" style="5" bestFit="1" customWidth="1"/>
    <col min="11" max="11" width="14.6328125" style="5" bestFit="1" customWidth="1"/>
    <col min="12" max="12" width="24.6328125" bestFit="1" customWidth="1"/>
    <col min="13" max="13" width="19.453125" bestFit="1" customWidth="1"/>
    <col min="14" max="14" width="21.26953125" bestFit="1" customWidth="1"/>
    <col min="15" max="15" width="10.81640625" style="13" bestFit="1" customWidth="1"/>
    <col min="17" max="17" width="8.453125" bestFit="1" customWidth="1"/>
    <col min="18" max="18" width="6.81640625" bestFit="1" customWidth="1"/>
    <col min="19" max="19" width="13.81640625" bestFit="1" customWidth="1"/>
    <col min="20" max="20" width="16.90625" style="5" bestFit="1" customWidth="1"/>
    <col min="21" max="21" width="9.90625" style="5" bestFit="1" customWidth="1"/>
    <col min="22" max="22" width="14.54296875" style="5" bestFit="1" customWidth="1"/>
    <col min="23" max="23" width="10.6328125" style="5" bestFit="1" customWidth="1"/>
    <col min="24" max="24" width="16.1796875" style="5" bestFit="1" customWidth="1"/>
    <col min="25" max="25" width="19.453125" style="5" bestFit="1" customWidth="1"/>
    <col min="26" max="26" width="21.26953125" style="5" bestFit="1" customWidth="1"/>
    <col min="27" max="27" width="10.81640625" style="13" bestFit="1" customWidth="1"/>
    <col min="29" max="29" width="8.453125" bestFit="1" customWidth="1"/>
    <col min="30" max="30" width="6.81640625" bestFit="1" customWidth="1"/>
    <col min="31" max="31" width="13.81640625" bestFit="1" customWidth="1"/>
    <col min="32" max="32" width="16.90625" bestFit="1" customWidth="1"/>
    <col min="33" max="33" width="9.90625" bestFit="1" customWidth="1"/>
    <col min="34" max="34" width="14.54296875" bestFit="1" customWidth="1"/>
    <col min="35" max="35" width="10.6328125" bestFit="1" customWidth="1"/>
    <col min="36" max="36" width="16.1796875" bestFit="1" customWidth="1"/>
    <col min="37" max="37" width="19.453125" bestFit="1" customWidth="1"/>
    <col min="38" max="38" width="21.26953125" bestFit="1" customWidth="1"/>
    <col min="39" max="39" width="10.81640625" style="13" bestFit="1" customWidth="1"/>
    <col min="42" max="42" width="36.6328125" bestFit="1" customWidth="1"/>
    <col min="44" max="44" width="11.81640625" bestFit="1" customWidth="1"/>
    <col min="46" max="46" width="23.6328125" bestFit="1" customWidth="1"/>
    <col min="48" max="48" width="20.81640625" bestFit="1" customWidth="1"/>
    <col min="50" max="50" width="15.90625" bestFit="1" customWidth="1"/>
    <col min="51" max="51" width="10.36328125" customWidth="1"/>
  </cols>
  <sheetData>
    <row r="1" spans="1:51" ht="16" x14ac:dyDescent="0.4">
      <c r="A1" s="271" t="s">
        <v>89</v>
      </c>
      <c r="B1" s="271"/>
      <c r="C1" s="271"/>
      <c r="D1" s="271"/>
      <c r="E1" s="271"/>
      <c r="AP1" s="190" t="s">
        <v>95</v>
      </c>
      <c r="AQ1" s="165"/>
      <c r="AR1" s="165"/>
      <c r="AS1" s="189"/>
      <c r="AT1" s="189"/>
      <c r="AU1" s="189"/>
      <c r="AV1" s="189"/>
      <c r="AW1" s="165"/>
      <c r="AX1" s="165"/>
      <c r="AY1" s="165"/>
    </row>
    <row r="2" spans="1:51" ht="16.5" thickBot="1" x14ac:dyDescent="0.45">
      <c r="Q2" s="272" t="s">
        <v>87</v>
      </c>
      <c r="R2" s="272"/>
      <c r="S2" s="272"/>
      <c r="T2" s="272"/>
      <c r="AC2" s="273" t="s">
        <v>88</v>
      </c>
      <c r="AD2" s="273"/>
      <c r="AE2" s="273"/>
      <c r="AF2" s="273"/>
      <c r="AS2" s="5"/>
      <c r="AT2" s="5"/>
      <c r="AU2" s="5"/>
      <c r="AV2" s="5"/>
      <c r="AX2" s="1" t="s">
        <v>35</v>
      </c>
      <c r="AY2" s="1">
        <f>_xlfn.XLOOKUP(FreqA,FreqLookup[Frequency],FreqLookup[PeriodsPerYear])</f>
        <v>12</v>
      </c>
    </row>
    <row r="3" spans="1:51" ht="29" x14ac:dyDescent="0.35">
      <c r="A3" s="117" t="s">
        <v>22</v>
      </c>
      <c r="B3" s="117" t="s">
        <v>23</v>
      </c>
      <c r="C3" s="117" t="s">
        <v>24</v>
      </c>
      <c r="D3" s="118" t="s">
        <v>55</v>
      </c>
      <c r="E3" s="118" t="s">
        <v>51</v>
      </c>
      <c r="F3" s="118" t="s">
        <v>56</v>
      </c>
      <c r="G3" s="118" t="s">
        <v>57</v>
      </c>
      <c r="H3" s="118" t="s">
        <v>58</v>
      </c>
      <c r="I3" s="118" t="s">
        <v>59</v>
      </c>
      <c r="J3" s="118" t="s">
        <v>60</v>
      </c>
      <c r="K3" s="118" t="s">
        <v>61</v>
      </c>
      <c r="L3" s="118" t="s">
        <v>81</v>
      </c>
      <c r="M3" s="118" t="s">
        <v>167</v>
      </c>
      <c r="N3" s="118" t="s">
        <v>168</v>
      </c>
      <c r="O3" s="119" t="s">
        <v>169</v>
      </c>
      <c r="Q3" s="120" t="s">
        <v>22</v>
      </c>
      <c r="R3" s="120" t="s">
        <v>23</v>
      </c>
      <c r="S3" s="120" t="s">
        <v>24</v>
      </c>
      <c r="T3" s="121" t="s">
        <v>55</v>
      </c>
      <c r="U3" s="121" t="s">
        <v>57</v>
      </c>
      <c r="V3" s="121" t="s">
        <v>58</v>
      </c>
      <c r="W3" s="121" t="s">
        <v>59</v>
      </c>
      <c r="X3" s="121" t="s">
        <v>60</v>
      </c>
      <c r="Y3" s="121" t="s">
        <v>167</v>
      </c>
      <c r="Z3" s="121" t="s">
        <v>168</v>
      </c>
      <c r="AA3" s="122" t="s">
        <v>169</v>
      </c>
      <c r="AC3" s="123" t="s">
        <v>22</v>
      </c>
      <c r="AD3" s="123" t="s">
        <v>23</v>
      </c>
      <c r="AE3" s="123" t="s">
        <v>24</v>
      </c>
      <c r="AF3" s="123" t="s">
        <v>55</v>
      </c>
      <c r="AG3" s="124" t="s">
        <v>57</v>
      </c>
      <c r="AH3" s="124" t="s">
        <v>58</v>
      </c>
      <c r="AI3" s="124" t="s">
        <v>59</v>
      </c>
      <c r="AJ3" s="124" t="s">
        <v>60</v>
      </c>
      <c r="AK3" s="124" t="s">
        <v>167</v>
      </c>
      <c r="AL3" s="124" t="s">
        <v>168</v>
      </c>
      <c r="AM3" s="125" t="s">
        <v>169</v>
      </c>
      <c r="AP3" s="192" t="s">
        <v>96</v>
      </c>
      <c r="AQ3" s="193"/>
      <c r="AR3" s="194" t="s">
        <v>97</v>
      </c>
      <c r="AS3" s="195"/>
      <c r="AT3" s="196" t="s">
        <v>98</v>
      </c>
      <c r="AU3" s="196"/>
      <c r="AV3" s="197" t="s">
        <v>99</v>
      </c>
      <c r="AW3" s="198"/>
      <c r="AX3" s="191" t="s">
        <v>36</v>
      </c>
      <c r="AY3" s="191">
        <f>MAX(ProjYearsA,ProjYearsB)*PPY_Loan</f>
        <v>180</v>
      </c>
    </row>
    <row r="4" spans="1:51" x14ac:dyDescent="0.35">
      <c r="A4">
        <f t="shared" ref="A4:A35" si="0">IF(ROW()-3&lt;=TotalPeriods_Loan,ROW()-3,"")</f>
        <v>1</v>
      </c>
      <c r="B4">
        <f t="shared" ref="B4:B35" si="1">IF($A4="", "", YEAR(StartYear) + INT(($A4-1)/PPY_Loan))</f>
        <v>2027</v>
      </c>
      <c r="C4">
        <f t="shared" ref="C4:C35" si="2">IF($A4="", "", MOD(A4-1, PPY_Loan)+1)</f>
        <v>1</v>
      </c>
      <c r="D4" s="5">
        <f>IFERROR(IF($A4="", "",LoanAmount), 0)</f>
        <v>2500000</v>
      </c>
      <c r="E4" s="5">
        <f>IFERROR(IF($A4="", "", _xlfn.XLOOKUP(A4,Offset!A:A,Offset!I:I, 0)), 0)</f>
        <v>25157.666666666672</v>
      </c>
      <c r="F4" s="5">
        <f>IFERROR(IF($A4="", "", MAX(0, D4 - E4)), 0)</f>
        <v>2474842.3333333335</v>
      </c>
      <c r="G4" s="5">
        <f t="shared" ref="G4:G35" si="3">IFERROR(IF($A4="", "", F4*(LoanRate/PPY_Loan)), 0)</f>
        <v>16498.948888888892</v>
      </c>
      <c r="H4" s="5">
        <f t="shared" ref="H4:H35" si="4">IFERROR(IF($A4="", "", IF(D4&lt;=0, 0, MIN(StdPayment, D4+G4))), 0)</f>
        <v>27061.314585087039</v>
      </c>
      <c r="I4" s="5">
        <f>IFERROR(IF($A4="", "", IF(D4&lt;=0, 0,H4-G4)), 0)</f>
        <v>10562.365696198147</v>
      </c>
      <c r="J4" s="5">
        <f>IFERROR(IF($A4="", "", IF(D4&lt;=0, 0, MAX(0, D4-I4))), 0)</f>
        <v>2489437.6343038017</v>
      </c>
      <c r="K4" s="5">
        <f t="shared" ref="K4:K35" si="5">IFERROR(IF($A4="", "", IF(D4&lt;=0, 0, E4*(LoanRate/PPY_Loan))), 0)</f>
        <v>167.71777777777783</v>
      </c>
      <c r="L4" s="5">
        <f>IF($A4="", "", K4)</f>
        <v>167.71777777777783</v>
      </c>
      <c r="M4" s="5">
        <f>IF($A4="","",G4)</f>
        <v>16498.948888888892</v>
      </c>
      <c r="N4" s="5">
        <f>IF($A4="","",H4)</f>
        <v>27061.314585087039</v>
      </c>
      <c r="O4" s="13">
        <f>IF($A4="","",1)</f>
        <v>1</v>
      </c>
      <c r="Q4">
        <f t="shared" ref="Q4:Q35" si="6">IF(ROW()-3&lt;=TotalPeriods_Loan,ROW()-3,"")</f>
        <v>1</v>
      </c>
      <c r="R4">
        <f t="shared" ref="R4:R35" si="7">IF($Q4="", "", YEAR(StartYear) + INT(($Q4-1)/PPY_Loan))</f>
        <v>2027</v>
      </c>
      <c r="S4">
        <f t="shared" ref="S4:S35" si="8">IF($Q4="", "", MOD(Q4-1, PPY_Loan)+1)</f>
        <v>1</v>
      </c>
      <c r="T4" s="5">
        <f>IFERROR(IF($Q4="", "",LoanAmount), 0)</f>
        <v>2500000</v>
      </c>
      <c r="U4" s="5">
        <f t="shared" ref="U4:U35" si="9">IFERROR(IF($Q4="", "", T4*(LoanRate/PPY_Loan)), 0)</f>
        <v>16666.666666666668</v>
      </c>
      <c r="V4" s="5">
        <f t="shared" ref="V4:V67" si="10">IFERROR(IF($Q4="", "", IF(T4&lt;=0, 0, MIN(StdPayment, T4+U4))), 0)</f>
        <v>27061.314585087039</v>
      </c>
      <c r="W4" s="5">
        <f>IFERROR(IF($Q4="", "", IF(T4&lt;=0, 0, V4-U4)), 0)</f>
        <v>10394.647918420371</v>
      </c>
      <c r="X4" s="5">
        <f>IFERROR(IF($Q4="", "", IF(T4&lt;=0, 0, MAX(0, T4-W4))), 0)</f>
        <v>2489605.3520815796</v>
      </c>
      <c r="Y4" s="5">
        <f>IF($Q4="","",U4)</f>
        <v>16666.666666666668</v>
      </c>
      <c r="Z4" s="5">
        <f>IF($Q4="","",V4)</f>
        <v>27061.314585087039</v>
      </c>
      <c r="AA4" s="13">
        <f>IF($Q4="","",1)</f>
        <v>1</v>
      </c>
      <c r="AC4">
        <f t="shared" ref="AC4:AC35" si="11">IF(ROW()-3&lt;=TotalPeriods_Loan,ROW()-3,"")</f>
        <v>1</v>
      </c>
      <c r="AD4">
        <f t="shared" ref="AD4:AD35" si="12">IF($AC4="", "", YEAR(StartYear) + INT(($AC4-1)/PPY_Loan))</f>
        <v>2027</v>
      </c>
      <c r="AE4">
        <f t="shared" ref="AE4:AE35" si="13">IF($AC4="", "", MOD(AC4-1, PPY_Loan)+1)</f>
        <v>1</v>
      </c>
      <c r="AF4" s="5">
        <f>IFERROR(IF($AC4="", "",LoanAmount), 0)</f>
        <v>2500000</v>
      </c>
      <c r="AG4" s="5">
        <f t="shared" ref="AG4:AG35" si="14">IFERROR(IF($AC4="", "", AF4*(LoanRate/PPY_Loan)), 0)</f>
        <v>16666.666666666668</v>
      </c>
      <c r="AH4" s="5">
        <f t="shared" ref="AH4:AH67" si="15">IFERROR(IF($AC4="", "", IF(AF4&lt;=0, 0, MIN(StdPayment+IF(ISBLANK(ExtraRepay),0,ExtraRepay), AF4+AG4))), 0)</f>
        <v>27711.314585087039</v>
      </c>
      <c r="AI4" s="5">
        <f>IFERROR(IF($AC4="", "", IF(AF4&lt;=0, 0, AH4-AG4)), 0)</f>
        <v>11044.647918420371</v>
      </c>
      <c r="AJ4" s="5">
        <f>IFERROR(IF($AC4="", "", IF(AF4&lt;=0, 0, MAX(0, AF4-AI4))), 0)</f>
        <v>2488955.3520815796</v>
      </c>
      <c r="AK4" s="5">
        <f>IF($AC4="","",AG4)</f>
        <v>16666.666666666668</v>
      </c>
      <c r="AL4" s="5">
        <f>IF($AC4="","",AH4)</f>
        <v>27711.314585087039</v>
      </c>
      <c r="AM4" s="13">
        <f>IF($AC4="","",1)</f>
        <v>1</v>
      </c>
      <c r="AP4" s="199" t="s">
        <v>100</v>
      </c>
      <c r="AQ4" s="200"/>
      <c r="AR4" s="201">
        <f>SUMIF($Q$4:$Q$279,"&gt;0",U$4:U$279)</f>
        <v>1396829.3002525347</v>
      </c>
      <c r="AS4" s="202"/>
      <c r="AT4" s="203">
        <f>SUMIF($AC$4:$AC$279,"&gt;0",AG$4:AG$279)</f>
        <v>1336478.6506568119</v>
      </c>
      <c r="AU4" s="202"/>
      <c r="AV4" s="204">
        <f>SUMIF($A$4:$A$279,"&gt;0",G$4:G$279)</f>
        <v>1338584.4834244675</v>
      </c>
      <c r="AW4" s="200"/>
      <c r="AX4" s="1" t="s">
        <v>54</v>
      </c>
      <c r="AY4" s="10">
        <f>IF(ISBLANK(BaseRepayment), PMT(LoanRate/PPY_Loan, LoanTerm*PPY_Loan, -LoanAmount), MAX(BaseRepayment, PMT(LoanRate/PPY_Loan, LoanTerm*PPY_Loan, -LoanAmount)))</f>
        <v>27061.314585087039</v>
      </c>
    </row>
    <row r="5" spans="1:51" x14ac:dyDescent="0.35">
      <c r="A5">
        <f t="shared" si="0"/>
        <v>2</v>
      </c>
      <c r="B5">
        <f t="shared" si="1"/>
        <v>2027</v>
      </c>
      <c r="C5">
        <f t="shared" si="2"/>
        <v>2</v>
      </c>
      <c r="D5" s="5">
        <f>IFERROR(IF($A5="", "",IF(J4&lt;=0, 0,J4)), 0)</f>
        <v>2489437.6343038017</v>
      </c>
      <c r="E5" s="5">
        <f>IFERROR(IF($A5="", "", _xlfn.XLOOKUP(A5,Offset!A:A,Offset!I:I, 0)), 0)</f>
        <v>50315.333333333343</v>
      </c>
      <c r="F5" s="5">
        <f t="shared" ref="F5:F68" si="16">IFERROR(IF($A5="", "", MAX(0, D5 - E5)), 0)</f>
        <v>2439122.3009704682</v>
      </c>
      <c r="G5" s="5">
        <f t="shared" si="3"/>
        <v>16260.815339803123</v>
      </c>
      <c r="H5" s="5">
        <f t="shared" si="4"/>
        <v>27061.314585087039</v>
      </c>
      <c r="I5" s="5">
        <f t="shared" ref="I5:I68" si="17">IFERROR(IF($A5="", "", IF(D5&lt;=0, 0,H5-G5)), 0)</f>
        <v>10800.499245283916</v>
      </c>
      <c r="J5" s="5">
        <f>IFERROR(IF($A5="", "", IF(D5&lt;=0, 0, MAX(0, D5-I5))), 0)</f>
        <v>2478637.1350585176</v>
      </c>
      <c r="K5" s="5">
        <f t="shared" si="5"/>
        <v>335.43555555555565</v>
      </c>
      <c r="L5" s="5">
        <f>IFERROR(IF($A5="", "", L4+K5), 0)</f>
        <v>503.15333333333348</v>
      </c>
      <c r="M5" s="5">
        <f>IF($A5="","",M4+G5)</f>
        <v>32759.764228692016</v>
      </c>
      <c r="N5" s="5">
        <f>IF($A5="","",N4+H5)</f>
        <v>54122.629170174077</v>
      </c>
      <c r="O5" s="13">
        <f>IF($A5="","",IF(B5&lt;&gt;B4,O4+1,O4))</f>
        <v>1</v>
      </c>
      <c r="Q5">
        <f t="shared" si="6"/>
        <v>2</v>
      </c>
      <c r="R5">
        <f t="shared" si="7"/>
        <v>2027</v>
      </c>
      <c r="S5">
        <f t="shared" si="8"/>
        <v>2</v>
      </c>
      <c r="T5" s="5">
        <f>IFERROR(IF($Q5="", "",IF(X4&lt;=0, 0, X4)), 0)</f>
        <v>2489605.3520815796</v>
      </c>
      <c r="U5" s="5">
        <f t="shared" si="9"/>
        <v>16597.3690138772</v>
      </c>
      <c r="V5" s="5">
        <f t="shared" si="10"/>
        <v>27061.314585087039</v>
      </c>
      <c r="W5" s="5">
        <f>IFERROR(IF($Q5="", "", IF(T5&lt;=0, 0, V5-U5)), 0)</f>
        <v>10463.945571209839</v>
      </c>
      <c r="X5" s="5">
        <f>IFERROR(IF($Q5="", "", IF(T5&lt;=0, 0, MAX(0, T5-W5))), 0)</f>
        <v>2479141.4065103699</v>
      </c>
      <c r="Y5" s="5">
        <f>IF($Q5="","",Y4+U5)</f>
        <v>33264.035680543864</v>
      </c>
      <c r="Z5" s="5">
        <f>IF($Q5="","",Z4+V5)</f>
        <v>54122.629170174077</v>
      </c>
      <c r="AA5" s="13">
        <f>IF($Q5="","",IF(R5&lt;&gt;R4,AA4+1,AA4))</f>
        <v>1</v>
      </c>
      <c r="AB5" s="5"/>
      <c r="AC5">
        <f t="shared" si="11"/>
        <v>2</v>
      </c>
      <c r="AD5">
        <f t="shared" si="12"/>
        <v>2027</v>
      </c>
      <c r="AE5">
        <f t="shared" si="13"/>
        <v>2</v>
      </c>
      <c r="AF5" s="5">
        <f>IFERROR(IF($AC5="", "",IF(AJ4&lt;=0, 0, AJ4)), 0)</f>
        <v>2488955.3520815796</v>
      </c>
      <c r="AG5" s="5">
        <f t="shared" si="14"/>
        <v>16593.035680543864</v>
      </c>
      <c r="AH5" s="5">
        <f t="shared" si="15"/>
        <v>27711.314585087039</v>
      </c>
      <c r="AI5" s="5">
        <f>IFERROR(IF($AC5="", "", IF(AF5&lt;=0, 0, AH5-AG5)), 0)</f>
        <v>11118.278904543175</v>
      </c>
      <c r="AJ5" s="5">
        <f>IFERROR(IF($AC5="", "", IF(AF5&lt;=0, 0, MAX(0, AF5-AI5))), 0)</f>
        <v>2477837.0731770364</v>
      </c>
      <c r="AK5" s="5">
        <f>IF($AC5="","",AK4+AG5)</f>
        <v>33259.702347210536</v>
      </c>
      <c r="AL5" s="5">
        <f>IF($AC5="","",AL4+AH5)</f>
        <v>55422.629170174077</v>
      </c>
      <c r="AM5" s="13">
        <f>IF($AC5="","",IF(AD5&lt;&gt;AD4,AM4+1,AM4))</f>
        <v>1</v>
      </c>
      <c r="AP5" s="199" t="s">
        <v>101</v>
      </c>
      <c r="AQ5" s="200"/>
      <c r="AR5" s="201">
        <f>SUMIF($Q$4:$Q$279,"&gt;0",W$4:W$279)</f>
        <v>2500000</v>
      </c>
      <c r="AS5" s="202"/>
      <c r="AT5" s="203">
        <f>SUMIF($AC$4:$AC$279,"&gt;0",AI$4:AI$279)</f>
        <v>2500000.0000000005</v>
      </c>
      <c r="AU5" s="202"/>
      <c r="AV5" s="204">
        <f>SUMIF($A$4:$A$279,"&gt;0",I$4:I$279)</f>
        <v>2499999.9999999967</v>
      </c>
      <c r="AW5" s="200"/>
    </row>
    <row r="6" spans="1:51" x14ac:dyDescent="0.35">
      <c r="A6">
        <f t="shared" si="0"/>
        <v>3</v>
      </c>
      <c r="B6">
        <f t="shared" si="1"/>
        <v>2027</v>
      </c>
      <c r="C6">
        <f t="shared" si="2"/>
        <v>3</v>
      </c>
      <c r="D6" s="5">
        <f t="shared" ref="D6:D69" si="18">IFERROR(IF($A6="", "",IF(J5&lt;=0, 0,J5)), 0)</f>
        <v>2478637.1350585176</v>
      </c>
      <c r="E6" s="5">
        <f>IFERROR(IF($A6="", "", _xlfn.XLOOKUP(A6,Offset!A:A,Offset!I:I, 0)), 0)</f>
        <v>75473.000000000015</v>
      </c>
      <c r="F6" s="5">
        <f t="shared" si="16"/>
        <v>2403164.1350585176</v>
      </c>
      <c r="G6" s="5">
        <f t="shared" si="3"/>
        <v>16021.094233723452</v>
      </c>
      <c r="H6" s="5">
        <f t="shared" si="4"/>
        <v>27061.314585087039</v>
      </c>
      <c r="I6" s="5">
        <f t="shared" si="17"/>
        <v>11040.220351363587</v>
      </c>
      <c r="J6" s="5">
        <f t="shared" ref="J6:J69" si="19">IFERROR(IF($A6="", "", IF(D6&lt;=0, 0, MAX(0, D6-I6))), 0)</f>
        <v>2467596.914707154</v>
      </c>
      <c r="K6" s="5">
        <f t="shared" si="5"/>
        <v>503.15333333333348</v>
      </c>
      <c r="L6" s="5">
        <f t="shared" ref="L6:L69" si="20">IFERROR(IF($A6="", "", L5+K6), 0)</f>
        <v>1006.306666666667</v>
      </c>
      <c r="M6" s="5">
        <f t="shared" ref="M6:M69" si="21">IF($A6="","",M5+G6)</f>
        <v>48780.858462415468</v>
      </c>
      <c r="N6" s="5">
        <f t="shared" ref="N6:N69" si="22">IF($A6="","",N5+H6)</f>
        <v>81183.94375526112</v>
      </c>
      <c r="O6" s="13">
        <f t="shared" ref="O6:O69" si="23">IF($A6="","",IF(B6&lt;&gt;B5,O5+1,O5))</f>
        <v>1</v>
      </c>
      <c r="Q6">
        <f t="shared" si="6"/>
        <v>3</v>
      </c>
      <c r="R6">
        <f t="shared" si="7"/>
        <v>2027</v>
      </c>
      <c r="S6">
        <f t="shared" si="8"/>
        <v>3</v>
      </c>
      <c r="T6" s="5">
        <f t="shared" ref="T6:T69" si="24">IFERROR(IF($Q6="", "",IF(X5&lt;=0, 0, X5)), 0)</f>
        <v>2479141.4065103699</v>
      </c>
      <c r="U6" s="5">
        <f t="shared" si="9"/>
        <v>16527.6093767358</v>
      </c>
      <c r="V6" s="5">
        <f t="shared" si="10"/>
        <v>27061.314585087039</v>
      </c>
      <c r="W6" s="5">
        <f t="shared" ref="W6:W69" si="25">IFERROR(IF($Q6="", "", IF(T6&lt;=0, 0, V6-U6)), 0)</f>
        <v>10533.705208351239</v>
      </c>
      <c r="X6" s="5">
        <f t="shared" ref="X6:X69" si="26">IFERROR(IF($Q6="", "", IF(T6&lt;=0, 0, MAX(0, T6-W6))), 0)</f>
        <v>2468607.7013020185</v>
      </c>
      <c r="Y6" s="5">
        <f t="shared" ref="Y6:Y69" si="27">IF($Q6="","",Y5+U6)</f>
        <v>49791.64505727966</v>
      </c>
      <c r="Z6" s="5">
        <f t="shared" ref="Z6:Z69" si="28">IF($Q6="","",Z5+V6)</f>
        <v>81183.94375526112</v>
      </c>
      <c r="AA6" s="13">
        <f t="shared" ref="AA6:AA69" si="29">IF($Q6="","",IF(R6&lt;&gt;R5,AA5+1,AA5))</f>
        <v>1</v>
      </c>
      <c r="AC6">
        <f t="shared" si="11"/>
        <v>3</v>
      </c>
      <c r="AD6">
        <f t="shared" si="12"/>
        <v>2027</v>
      </c>
      <c r="AE6">
        <f t="shared" si="13"/>
        <v>3</v>
      </c>
      <c r="AF6" s="5">
        <f t="shared" ref="AF6:AF69" si="30">IFERROR(IF($AC6="", "",IF(AJ5&lt;=0, 0, AJ5)), 0)</f>
        <v>2477837.0731770364</v>
      </c>
      <c r="AG6" s="5">
        <f t="shared" si="14"/>
        <v>16518.913821180242</v>
      </c>
      <c r="AH6" s="5">
        <f t="shared" si="15"/>
        <v>27711.314585087039</v>
      </c>
      <c r="AI6" s="5">
        <f t="shared" ref="AI6:AI69" si="31">IFERROR(IF($AC6="", "", IF(AF6&lt;=0, 0, AH6-AG6)), 0)</f>
        <v>11192.400763906797</v>
      </c>
      <c r="AJ6" s="5">
        <f t="shared" ref="AJ6:AJ69" si="32">IFERROR(IF($AC6="", "", IF(AF6&lt;=0, 0, MAX(0, AF6-AI6))), 0)</f>
        <v>2466644.6724131294</v>
      </c>
      <c r="AK6" s="5">
        <f t="shared" ref="AK6:AK69" si="33">IF($AC6="","",AK5+AG6)</f>
        <v>49778.616168390778</v>
      </c>
      <c r="AL6" s="5">
        <f t="shared" ref="AL6:AL69" si="34">IF($AC6="","",AL5+AH6)</f>
        <v>83133.94375526112</v>
      </c>
      <c r="AM6" s="13">
        <f t="shared" ref="AM6:AM69" si="35">IF($AC6="","",IF(AD6&lt;&gt;AD5,AM5+1,AM5))</f>
        <v>1</v>
      </c>
      <c r="AP6" s="199" t="s">
        <v>224</v>
      </c>
      <c r="AQ6" s="200"/>
      <c r="AR6" s="201" t="str">
        <f>X279</f>
        <v/>
      </c>
      <c r="AS6" s="202"/>
      <c r="AT6" s="203" t="str">
        <f>AJ279</f>
        <v/>
      </c>
      <c r="AU6" s="202"/>
      <c r="AV6" s="204" t="str">
        <f>J279</f>
        <v/>
      </c>
      <c r="AW6" s="200"/>
    </row>
    <row r="7" spans="1:51" x14ac:dyDescent="0.35">
      <c r="A7">
        <f t="shared" si="0"/>
        <v>4</v>
      </c>
      <c r="B7">
        <f t="shared" si="1"/>
        <v>2027</v>
      </c>
      <c r="C7">
        <f t="shared" si="2"/>
        <v>4</v>
      </c>
      <c r="D7" s="5">
        <f t="shared" si="18"/>
        <v>2467596.914707154</v>
      </c>
      <c r="E7" s="5">
        <f>IFERROR(IF($A7="", "", _xlfn.XLOOKUP(A7,Offset!A:A,Offset!I:I, 0)), 0)</f>
        <v>100630.66666666669</v>
      </c>
      <c r="F7" s="5">
        <f t="shared" si="16"/>
        <v>2366966.2480404875</v>
      </c>
      <c r="G7" s="5">
        <f t="shared" si="3"/>
        <v>15779.774986936585</v>
      </c>
      <c r="H7" s="5">
        <f t="shared" si="4"/>
        <v>27061.314585087039</v>
      </c>
      <c r="I7" s="5">
        <f t="shared" si="17"/>
        <v>11281.539598150453</v>
      </c>
      <c r="J7" s="5">
        <f t="shared" si="19"/>
        <v>2456315.3751090034</v>
      </c>
      <c r="K7" s="5">
        <f t="shared" si="5"/>
        <v>670.8711111111113</v>
      </c>
      <c r="L7" s="5">
        <f t="shared" si="20"/>
        <v>1677.1777777777784</v>
      </c>
      <c r="M7" s="5">
        <f t="shared" si="21"/>
        <v>64560.633449352055</v>
      </c>
      <c r="N7" s="5">
        <f t="shared" si="22"/>
        <v>108245.25834034815</v>
      </c>
      <c r="O7" s="13">
        <f t="shared" si="23"/>
        <v>1</v>
      </c>
      <c r="Q7">
        <f t="shared" si="6"/>
        <v>4</v>
      </c>
      <c r="R7">
        <f t="shared" si="7"/>
        <v>2027</v>
      </c>
      <c r="S7">
        <f t="shared" si="8"/>
        <v>4</v>
      </c>
      <c r="T7" s="5">
        <f t="shared" si="24"/>
        <v>2468607.7013020185</v>
      </c>
      <c r="U7" s="5">
        <f t="shared" si="9"/>
        <v>16457.384675346791</v>
      </c>
      <c r="V7" s="5">
        <f t="shared" si="10"/>
        <v>27061.314585087039</v>
      </c>
      <c r="W7" s="5">
        <f t="shared" si="25"/>
        <v>10603.929909740247</v>
      </c>
      <c r="X7" s="5">
        <f t="shared" si="26"/>
        <v>2458003.7713922784</v>
      </c>
      <c r="Y7" s="5">
        <f t="shared" si="27"/>
        <v>66249.029732626455</v>
      </c>
      <c r="Z7" s="5">
        <f t="shared" si="28"/>
        <v>108245.25834034815</v>
      </c>
      <c r="AA7" s="13">
        <f t="shared" si="29"/>
        <v>1</v>
      </c>
      <c r="AC7">
        <f t="shared" si="11"/>
        <v>4</v>
      </c>
      <c r="AD7">
        <f t="shared" si="12"/>
        <v>2027</v>
      </c>
      <c r="AE7">
        <f t="shared" si="13"/>
        <v>4</v>
      </c>
      <c r="AF7" s="5">
        <f t="shared" si="30"/>
        <v>2466644.6724131294</v>
      </c>
      <c r="AG7" s="5">
        <f t="shared" si="14"/>
        <v>16444.297816087532</v>
      </c>
      <c r="AH7" s="5">
        <f t="shared" si="15"/>
        <v>27711.314585087039</v>
      </c>
      <c r="AI7" s="5">
        <f t="shared" si="31"/>
        <v>11267.016768999507</v>
      </c>
      <c r="AJ7" s="5">
        <f t="shared" si="32"/>
        <v>2455377.65564413</v>
      </c>
      <c r="AK7" s="5">
        <f t="shared" si="33"/>
        <v>66222.913984478306</v>
      </c>
      <c r="AL7" s="5">
        <f t="shared" si="34"/>
        <v>110845.25834034815</v>
      </c>
      <c r="AM7" s="13">
        <f t="shared" si="35"/>
        <v>1</v>
      </c>
      <c r="AP7" s="199" t="s">
        <v>102</v>
      </c>
      <c r="AQ7" s="200"/>
      <c r="AR7" s="205" cm="1">
        <f t="array" ref="AR7">IFERROR(MATCH(TRUE,INDEX(X$4:X$279&lt;=0,0),0),"&gt;"&amp;AY3)</f>
        <v>145</v>
      </c>
      <c r="AS7" s="202"/>
      <c r="AT7" s="206" cm="1">
        <f t="array" ref="AT7">IFERROR(MATCH(TRUE,INDEX(AJ$4:AJ$279&lt;=0,0),0),"&gt;"&amp;AY3)</f>
        <v>139</v>
      </c>
      <c r="AU7" s="202"/>
      <c r="AV7" s="207" cm="1">
        <f t="array" ref="AV7">IFERROR(MATCH(TRUE,INDEX(J$4:J$279&lt;=0,0),0),"&gt;"&amp;AY3)</f>
        <v>142</v>
      </c>
      <c r="AW7" s="200"/>
    </row>
    <row r="8" spans="1:51" x14ac:dyDescent="0.35">
      <c r="A8">
        <f t="shared" si="0"/>
        <v>5</v>
      </c>
      <c r="B8">
        <f t="shared" si="1"/>
        <v>2027</v>
      </c>
      <c r="C8">
        <f t="shared" si="2"/>
        <v>5</v>
      </c>
      <c r="D8" s="5">
        <f t="shared" si="18"/>
        <v>2456315.3751090034</v>
      </c>
      <c r="E8" s="5">
        <f>IFERROR(IF($A8="", "", _xlfn.XLOOKUP(A8,Offset!A:A,Offset!I:I, 0)), 0)</f>
        <v>125788.33333333336</v>
      </c>
      <c r="F8" s="5">
        <f t="shared" si="16"/>
        <v>2330527.0417756699</v>
      </c>
      <c r="G8" s="5">
        <f t="shared" si="3"/>
        <v>15536.846945171133</v>
      </c>
      <c r="H8" s="5">
        <f t="shared" si="4"/>
        <v>27061.314585087039</v>
      </c>
      <c r="I8" s="5">
        <f t="shared" si="17"/>
        <v>11524.467639915905</v>
      </c>
      <c r="J8" s="5">
        <f t="shared" si="19"/>
        <v>2444790.9074690873</v>
      </c>
      <c r="K8" s="5">
        <f t="shared" si="5"/>
        <v>838.58888888888907</v>
      </c>
      <c r="L8" s="5">
        <f t="shared" si="20"/>
        <v>2515.7666666666673</v>
      </c>
      <c r="M8" s="5">
        <f t="shared" si="21"/>
        <v>80097.480394523183</v>
      </c>
      <c r="N8" s="5">
        <f t="shared" si="22"/>
        <v>135306.5729254352</v>
      </c>
      <c r="O8" s="13">
        <f t="shared" si="23"/>
        <v>1</v>
      </c>
      <c r="Q8">
        <f t="shared" si="6"/>
        <v>5</v>
      </c>
      <c r="R8">
        <f t="shared" si="7"/>
        <v>2027</v>
      </c>
      <c r="S8">
        <f t="shared" si="8"/>
        <v>5</v>
      </c>
      <c r="T8" s="5">
        <f t="shared" si="24"/>
        <v>2458003.7713922784</v>
      </c>
      <c r="U8" s="5">
        <f t="shared" si="9"/>
        <v>16386.691809281856</v>
      </c>
      <c r="V8" s="5">
        <f t="shared" si="10"/>
        <v>27061.314585087039</v>
      </c>
      <c r="W8" s="5">
        <f t="shared" si="25"/>
        <v>10674.622775805183</v>
      </c>
      <c r="X8" s="5">
        <f t="shared" si="26"/>
        <v>2447329.1486164732</v>
      </c>
      <c r="Y8" s="5">
        <f t="shared" si="27"/>
        <v>82635.721541908308</v>
      </c>
      <c r="Z8" s="5">
        <f t="shared" si="28"/>
        <v>135306.5729254352</v>
      </c>
      <c r="AA8" s="13">
        <f t="shared" si="29"/>
        <v>1</v>
      </c>
      <c r="AC8">
        <f t="shared" si="11"/>
        <v>5</v>
      </c>
      <c r="AD8">
        <f t="shared" si="12"/>
        <v>2027</v>
      </c>
      <c r="AE8">
        <f t="shared" si="13"/>
        <v>5</v>
      </c>
      <c r="AF8" s="5">
        <f t="shared" si="30"/>
        <v>2455377.65564413</v>
      </c>
      <c r="AG8" s="5">
        <f t="shared" si="14"/>
        <v>16369.184370960867</v>
      </c>
      <c r="AH8" s="5">
        <f t="shared" si="15"/>
        <v>27711.314585087039</v>
      </c>
      <c r="AI8" s="5">
        <f t="shared" si="31"/>
        <v>11342.130214126171</v>
      </c>
      <c r="AJ8" s="5">
        <f t="shared" si="32"/>
        <v>2444035.5254300036</v>
      </c>
      <c r="AK8" s="5">
        <f t="shared" si="33"/>
        <v>82592.098355439171</v>
      </c>
      <c r="AL8" s="5">
        <f t="shared" si="34"/>
        <v>138556.5729254352</v>
      </c>
      <c r="AM8" s="13">
        <f t="shared" si="35"/>
        <v>1</v>
      </c>
      <c r="AP8" s="199" t="s">
        <v>103</v>
      </c>
      <c r="AQ8" s="200"/>
      <c r="AR8" s="208">
        <f>IF(ISNUMBER(AR7), AR7/PPY_Loan, AR7)</f>
        <v>12.083333333333334</v>
      </c>
      <c r="AS8" s="202"/>
      <c r="AT8" s="209">
        <f>IF(ISNUMBER(AT7), AT7/PPY_Loan, AT7)</f>
        <v>11.583333333333334</v>
      </c>
      <c r="AU8" s="202"/>
      <c r="AV8" s="210">
        <f>IF(ISNUMBER(AV7), AV7/PPY_Loan, AV7)</f>
        <v>11.833333333333334</v>
      </c>
      <c r="AW8" s="200"/>
    </row>
    <row r="9" spans="1:51" x14ac:dyDescent="0.35">
      <c r="A9">
        <f t="shared" si="0"/>
        <v>6</v>
      </c>
      <c r="B9">
        <f t="shared" si="1"/>
        <v>2027</v>
      </c>
      <c r="C9">
        <f t="shared" si="2"/>
        <v>6</v>
      </c>
      <c r="D9" s="5">
        <f t="shared" si="18"/>
        <v>2444790.9074690873</v>
      </c>
      <c r="E9" s="5">
        <f>IFERROR(IF($A9="", "", _xlfn.XLOOKUP(A9,Offset!A:A,Offset!I:I, 0)), 0)</f>
        <v>150946.00000000003</v>
      </c>
      <c r="F9" s="5">
        <f t="shared" si="16"/>
        <v>2293844.9074690873</v>
      </c>
      <c r="G9" s="5">
        <f t="shared" si="3"/>
        <v>15292.299383127249</v>
      </c>
      <c r="H9" s="5">
        <f t="shared" si="4"/>
        <v>27061.314585087039</v>
      </c>
      <c r="I9" s="5">
        <f t="shared" si="17"/>
        <v>11769.01520195979</v>
      </c>
      <c r="J9" s="5">
        <f t="shared" si="19"/>
        <v>2433021.8922671275</v>
      </c>
      <c r="K9" s="5">
        <f t="shared" si="5"/>
        <v>1006.306666666667</v>
      </c>
      <c r="L9" s="5">
        <f t="shared" si="20"/>
        <v>3522.0733333333342</v>
      </c>
      <c r="M9" s="5">
        <f t="shared" si="21"/>
        <v>95389.77977765043</v>
      </c>
      <c r="N9" s="5">
        <f t="shared" si="22"/>
        <v>162367.88751052224</v>
      </c>
      <c r="O9" s="13">
        <f t="shared" si="23"/>
        <v>1</v>
      </c>
      <c r="Q9">
        <f t="shared" si="6"/>
        <v>6</v>
      </c>
      <c r="R9">
        <f t="shared" si="7"/>
        <v>2027</v>
      </c>
      <c r="S9">
        <f t="shared" si="8"/>
        <v>6</v>
      </c>
      <c r="T9" s="5">
        <f t="shared" si="24"/>
        <v>2447329.1486164732</v>
      </c>
      <c r="U9" s="5">
        <f t="shared" si="9"/>
        <v>16315.527657443155</v>
      </c>
      <c r="V9" s="5">
        <f t="shared" si="10"/>
        <v>27061.314585087039</v>
      </c>
      <c r="W9" s="5">
        <f t="shared" si="25"/>
        <v>10745.786927643883</v>
      </c>
      <c r="X9" s="5">
        <f t="shared" si="26"/>
        <v>2436583.3616888295</v>
      </c>
      <c r="Y9" s="5">
        <f t="shared" si="27"/>
        <v>98951.24919935147</v>
      </c>
      <c r="Z9" s="5">
        <f t="shared" si="28"/>
        <v>162367.88751052224</v>
      </c>
      <c r="AA9" s="13">
        <f t="shared" si="29"/>
        <v>1</v>
      </c>
      <c r="AC9">
        <f t="shared" si="11"/>
        <v>6</v>
      </c>
      <c r="AD9">
        <f t="shared" si="12"/>
        <v>2027</v>
      </c>
      <c r="AE9">
        <f t="shared" si="13"/>
        <v>6</v>
      </c>
      <c r="AF9" s="5">
        <f t="shared" si="30"/>
        <v>2444035.5254300036</v>
      </c>
      <c r="AG9" s="5">
        <f t="shared" si="14"/>
        <v>16293.570169533359</v>
      </c>
      <c r="AH9" s="5">
        <f t="shared" si="15"/>
        <v>27711.314585087039</v>
      </c>
      <c r="AI9" s="5">
        <f t="shared" si="31"/>
        <v>11417.74441555368</v>
      </c>
      <c r="AJ9" s="5">
        <f t="shared" si="32"/>
        <v>2432617.7810144499</v>
      </c>
      <c r="AK9" s="5">
        <f t="shared" si="33"/>
        <v>98885.668524972527</v>
      </c>
      <c r="AL9" s="5">
        <f t="shared" si="34"/>
        <v>166267.88751052224</v>
      </c>
      <c r="AM9" s="13">
        <f t="shared" si="35"/>
        <v>1</v>
      </c>
      <c r="AP9" s="199" t="s">
        <v>104</v>
      </c>
      <c r="AQ9" s="211"/>
      <c r="AR9" s="212" t="s">
        <v>105</v>
      </c>
      <c r="AS9" s="213"/>
      <c r="AT9" s="214">
        <f>AR4-AT4</f>
        <v>60350.649595722789</v>
      </c>
      <c r="AU9" s="213"/>
      <c r="AV9" s="215">
        <f>AR4-AV4</f>
        <v>58244.816828067182</v>
      </c>
      <c r="AW9" s="200"/>
    </row>
    <row r="10" spans="1:51" x14ac:dyDescent="0.35">
      <c r="A10">
        <f t="shared" si="0"/>
        <v>7</v>
      </c>
      <c r="B10">
        <f t="shared" si="1"/>
        <v>2027</v>
      </c>
      <c r="C10">
        <f t="shared" si="2"/>
        <v>7</v>
      </c>
      <c r="D10" s="5">
        <f t="shared" si="18"/>
        <v>2433021.8922671275</v>
      </c>
      <c r="E10" s="5">
        <f>IFERROR(IF($A10="", "", _xlfn.XLOOKUP(A10,Offset!A:A,Offset!I:I, 0)), 0)</f>
        <v>176103.66666666669</v>
      </c>
      <c r="F10" s="5">
        <f t="shared" si="16"/>
        <v>2256918.225600461</v>
      </c>
      <c r="G10" s="5">
        <f t="shared" si="3"/>
        <v>15046.121504003075</v>
      </c>
      <c r="H10" s="5">
        <f t="shared" si="4"/>
        <v>27061.314585087039</v>
      </c>
      <c r="I10" s="5">
        <f t="shared" si="17"/>
        <v>12015.193081083964</v>
      </c>
      <c r="J10" s="5">
        <f t="shared" si="19"/>
        <v>2421006.6991860433</v>
      </c>
      <c r="K10" s="5">
        <f t="shared" si="5"/>
        <v>1174.0244444444447</v>
      </c>
      <c r="L10" s="5">
        <f t="shared" si="20"/>
        <v>4696.0977777777789</v>
      </c>
      <c r="M10" s="5">
        <f t="shared" si="21"/>
        <v>110435.90128165351</v>
      </c>
      <c r="N10" s="5">
        <f t="shared" si="22"/>
        <v>189429.20209560927</v>
      </c>
      <c r="O10" s="13">
        <f t="shared" si="23"/>
        <v>1</v>
      </c>
      <c r="Q10">
        <f t="shared" si="6"/>
        <v>7</v>
      </c>
      <c r="R10">
        <f t="shared" si="7"/>
        <v>2027</v>
      </c>
      <c r="S10">
        <f t="shared" si="8"/>
        <v>7</v>
      </c>
      <c r="T10" s="5">
        <f t="shared" si="24"/>
        <v>2436583.3616888295</v>
      </c>
      <c r="U10" s="5">
        <f t="shared" si="9"/>
        <v>16243.889077925531</v>
      </c>
      <c r="V10" s="5">
        <f t="shared" si="10"/>
        <v>27061.314585087039</v>
      </c>
      <c r="W10" s="5">
        <f t="shared" si="25"/>
        <v>10817.425507161508</v>
      </c>
      <c r="X10" s="5">
        <f t="shared" si="26"/>
        <v>2425765.9361816682</v>
      </c>
      <c r="Y10" s="5">
        <f t="shared" si="27"/>
        <v>115195.138277277</v>
      </c>
      <c r="Z10" s="5">
        <f t="shared" si="28"/>
        <v>189429.20209560927</v>
      </c>
      <c r="AA10" s="13">
        <f t="shared" si="29"/>
        <v>1</v>
      </c>
      <c r="AC10">
        <f t="shared" si="11"/>
        <v>7</v>
      </c>
      <c r="AD10">
        <f t="shared" si="12"/>
        <v>2027</v>
      </c>
      <c r="AE10">
        <f t="shared" si="13"/>
        <v>7</v>
      </c>
      <c r="AF10" s="5">
        <f t="shared" si="30"/>
        <v>2432617.7810144499</v>
      </c>
      <c r="AG10" s="5">
        <f t="shared" si="14"/>
        <v>16217.451873429667</v>
      </c>
      <c r="AH10" s="5">
        <f t="shared" si="15"/>
        <v>27711.314585087039</v>
      </c>
      <c r="AI10" s="5">
        <f t="shared" si="31"/>
        <v>11493.862711657372</v>
      </c>
      <c r="AJ10" s="5">
        <f t="shared" si="32"/>
        <v>2421123.9183027926</v>
      </c>
      <c r="AK10" s="5">
        <f t="shared" si="33"/>
        <v>115103.1203984022</v>
      </c>
      <c r="AL10" s="5">
        <f t="shared" si="34"/>
        <v>193979.20209560927</v>
      </c>
      <c r="AM10" s="13">
        <f t="shared" si="35"/>
        <v>1</v>
      </c>
      <c r="AP10" s="216" t="s">
        <v>106</v>
      </c>
      <c r="AQ10" s="217"/>
      <c r="AR10" s="218" t="s">
        <v>105</v>
      </c>
      <c r="AS10" s="219"/>
      <c r="AT10" s="220">
        <f>IF(AND(ISNUMBER(AR7),ISNUMBER(AT7)), AR7-AT7, "N/A")</f>
        <v>6</v>
      </c>
      <c r="AU10" s="219"/>
      <c r="AV10" s="221">
        <f>IF(AND(ISNUMBER(AR7),ISNUMBER(AV7)), AR7-AV7, "N/A")</f>
        <v>3</v>
      </c>
      <c r="AW10" s="222"/>
    </row>
    <row r="11" spans="1:51" x14ac:dyDescent="0.35">
      <c r="A11">
        <f t="shared" si="0"/>
        <v>8</v>
      </c>
      <c r="B11">
        <f t="shared" si="1"/>
        <v>2027</v>
      </c>
      <c r="C11">
        <f t="shared" si="2"/>
        <v>8</v>
      </c>
      <c r="D11" s="5">
        <f t="shared" si="18"/>
        <v>2421006.6991860433</v>
      </c>
      <c r="E11" s="5">
        <f>IFERROR(IF($A11="", "", _xlfn.XLOOKUP(A11,Offset!A:A,Offset!I:I, 0)), 0)</f>
        <v>201261.33333333337</v>
      </c>
      <c r="F11" s="5">
        <f t="shared" si="16"/>
        <v>2219745.3658527099</v>
      </c>
      <c r="G11" s="5">
        <f t="shared" si="3"/>
        <v>14798.302439018067</v>
      </c>
      <c r="H11" s="5">
        <f t="shared" si="4"/>
        <v>27061.314585087039</v>
      </c>
      <c r="I11" s="5">
        <f t="shared" si="17"/>
        <v>12263.012146068972</v>
      </c>
      <c r="J11" s="5">
        <f t="shared" si="19"/>
        <v>2408743.6870399741</v>
      </c>
      <c r="K11" s="5">
        <f t="shared" si="5"/>
        <v>1341.7422222222226</v>
      </c>
      <c r="L11" s="5">
        <f t="shared" si="20"/>
        <v>6037.840000000002</v>
      </c>
      <c r="M11" s="5">
        <f t="shared" si="21"/>
        <v>125234.20372067158</v>
      </c>
      <c r="N11" s="5">
        <f t="shared" si="22"/>
        <v>216490.51668069631</v>
      </c>
      <c r="O11" s="13">
        <f t="shared" si="23"/>
        <v>1</v>
      </c>
      <c r="Q11">
        <f t="shared" si="6"/>
        <v>8</v>
      </c>
      <c r="R11">
        <f t="shared" si="7"/>
        <v>2027</v>
      </c>
      <c r="S11">
        <f t="shared" si="8"/>
        <v>8</v>
      </c>
      <c r="T11" s="5">
        <f t="shared" si="24"/>
        <v>2425765.9361816682</v>
      </c>
      <c r="U11" s="5">
        <f t="shared" si="9"/>
        <v>16171.772907877788</v>
      </c>
      <c r="V11" s="5">
        <f t="shared" si="10"/>
        <v>27061.314585087039</v>
      </c>
      <c r="W11" s="5">
        <f t="shared" si="25"/>
        <v>10889.54167720925</v>
      </c>
      <c r="X11" s="5">
        <f t="shared" si="26"/>
        <v>2414876.3945044591</v>
      </c>
      <c r="Y11" s="5">
        <f t="shared" si="27"/>
        <v>131366.91118515478</v>
      </c>
      <c r="Z11" s="5">
        <f t="shared" si="28"/>
        <v>216490.51668069631</v>
      </c>
      <c r="AA11" s="13">
        <f t="shared" si="29"/>
        <v>1</v>
      </c>
      <c r="AC11">
        <f t="shared" si="11"/>
        <v>8</v>
      </c>
      <c r="AD11">
        <f t="shared" si="12"/>
        <v>2027</v>
      </c>
      <c r="AE11">
        <f t="shared" si="13"/>
        <v>8</v>
      </c>
      <c r="AF11" s="5">
        <f t="shared" si="30"/>
        <v>2421123.9183027926</v>
      </c>
      <c r="AG11" s="5">
        <f t="shared" si="14"/>
        <v>16140.826122018618</v>
      </c>
      <c r="AH11" s="5">
        <f t="shared" si="15"/>
        <v>27711.314585087039</v>
      </c>
      <c r="AI11" s="5">
        <f t="shared" si="31"/>
        <v>11570.488463068421</v>
      </c>
      <c r="AJ11" s="5">
        <f t="shared" si="32"/>
        <v>2409553.4298397242</v>
      </c>
      <c r="AK11" s="5">
        <f t="shared" si="33"/>
        <v>131243.94652042081</v>
      </c>
      <c r="AL11" s="5">
        <f t="shared" si="34"/>
        <v>221690.51668069631</v>
      </c>
      <c r="AM11" s="13">
        <f t="shared" si="35"/>
        <v>1</v>
      </c>
      <c r="AP11" s="82" t="s">
        <v>107</v>
      </c>
      <c r="AS11" s="5"/>
      <c r="AT11" s="5"/>
      <c r="AU11" s="5"/>
      <c r="AV11" s="83" t="str">
        <f>L279</f>
        <v/>
      </c>
    </row>
    <row r="12" spans="1:51" x14ac:dyDescent="0.35">
      <c r="A12">
        <f t="shared" si="0"/>
        <v>9</v>
      </c>
      <c r="B12">
        <f t="shared" si="1"/>
        <v>2027</v>
      </c>
      <c r="C12">
        <f t="shared" si="2"/>
        <v>9</v>
      </c>
      <c r="D12" s="5">
        <f t="shared" si="18"/>
        <v>2408743.6870399741</v>
      </c>
      <c r="E12" s="5">
        <f>IFERROR(IF($A12="", "", _xlfn.XLOOKUP(A12,Offset!A:A,Offset!I:I, 0)), 0)</f>
        <v>226419.00000000006</v>
      </c>
      <c r="F12" s="5">
        <f t="shared" si="16"/>
        <v>2182324.6870399741</v>
      </c>
      <c r="G12" s="5">
        <f t="shared" si="3"/>
        <v>14548.831246933161</v>
      </c>
      <c r="H12" s="5">
        <f t="shared" si="4"/>
        <v>27061.314585087039</v>
      </c>
      <c r="I12" s="5">
        <f t="shared" si="17"/>
        <v>12512.483338153877</v>
      </c>
      <c r="J12" s="5">
        <f t="shared" si="19"/>
        <v>2396231.2037018202</v>
      </c>
      <c r="K12" s="5">
        <f t="shared" si="5"/>
        <v>1509.4600000000005</v>
      </c>
      <c r="L12" s="5">
        <f t="shared" si="20"/>
        <v>7547.3000000000029</v>
      </c>
      <c r="M12" s="5">
        <f t="shared" si="21"/>
        <v>139783.03496760473</v>
      </c>
      <c r="N12" s="5">
        <f t="shared" si="22"/>
        <v>243551.83126578334</v>
      </c>
      <c r="O12" s="13">
        <f t="shared" si="23"/>
        <v>1</v>
      </c>
      <c r="Q12">
        <f t="shared" si="6"/>
        <v>9</v>
      </c>
      <c r="R12">
        <f t="shared" si="7"/>
        <v>2027</v>
      </c>
      <c r="S12">
        <f t="shared" si="8"/>
        <v>9</v>
      </c>
      <c r="T12" s="5">
        <f t="shared" si="24"/>
        <v>2414876.3945044591</v>
      </c>
      <c r="U12" s="5">
        <f t="shared" si="9"/>
        <v>16099.175963363061</v>
      </c>
      <c r="V12" s="5">
        <f t="shared" si="10"/>
        <v>27061.314585087039</v>
      </c>
      <c r="W12" s="5">
        <f t="shared" si="25"/>
        <v>10962.138621723978</v>
      </c>
      <c r="X12" s="5">
        <f t="shared" si="26"/>
        <v>2403914.2558827354</v>
      </c>
      <c r="Y12" s="5">
        <f t="shared" si="27"/>
        <v>147466.08714851784</v>
      </c>
      <c r="Z12" s="5">
        <f t="shared" si="28"/>
        <v>243551.83126578334</v>
      </c>
      <c r="AA12" s="13">
        <f t="shared" si="29"/>
        <v>1</v>
      </c>
      <c r="AC12">
        <f t="shared" si="11"/>
        <v>9</v>
      </c>
      <c r="AD12">
        <f t="shared" si="12"/>
        <v>2027</v>
      </c>
      <c r="AE12">
        <f t="shared" si="13"/>
        <v>9</v>
      </c>
      <c r="AF12" s="5">
        <f t="shared" si="30"/>
        <v>2409553.4298397242</v>
      </c>
      <c r="AG12" s="5">
        <f t="shared" si="14"/>
        <v>16063.689532264829</v>
      </c>
      <c r="AH12" s="5">
        <f t="shared" si="15"/>
        <v>27711.314585087039</v>
      </c>
      <c r="AI12" s="5">
        <f t="shared" si="31"/>
        <v>11647.62505282221</v>
      </c>
      <c r="AJ12" s="5">
        <f t="shared" si="32"/>
        <v>2397905.8047869019</v>
      </c>
      <c r="AK12" s="5">
        <f t="shared" si="33"/>
        <v>147307.63605268564</v>
      </c>
      <c r="AL12" s="5">
        <f t="shared" si="34"/>
        <v>249401.83126578334</v>
      </c>
      <c r="AM12" s="13">
        <f t="shared" si="35"/>
        <v>1</v>
      </c>
      <c r="AP12" s="82" t="s">
        <v>108</v>
      </c>
      <c r="AS12" s="5"/>
      <c r="AT12" s="5"/>
      <c r="AU12" s="5"/>
      <c r="AV12" s="83">
        <f>SUM(Offset!J3:J182)</f>
        <v>757330.20279704744</v>
      </c>
    </row>
    <row r="13" spans="1:51" x14ac:dyDescent="0.35">
      <c r="A13">
        <f t="shared" si="0"/>
        <v>10</v>
      </c>
      <c r="B13">
        <f t="shared" si="1"/>
        <v>2027</v>
      </c>
      <c r="C13">
        <f t="shared" si="2"/>
        <v>10</v>
      </c>
      <c r="D13" s="5">
        <f t="shared" si="18"/>
        <v>2396231.2037018202</v>
      </c>
      <c r="E13" s="5">
        <f>IFERROR(IF($A13="", "", _xlfn.XLOOKUP(A13,Offset!A:A,Offset!I:I, 0)), 0)</f>
        <v>251576.66666666674</v>
      </c>
      <c r="F13" s="5">
        <f t="shared" si="16"/>
        <v>2144654.5370351532</v>
      </c>
      <c r="G13" s="5">
        <f t="shared" si="3"/>
        <v>14297.69691356769</v>
      </c>
      <c r="H13" s="5">
        <f t="shared" si="4"/>
        <v>27061.314585087039</v>
      </c>
      <c r="I13" s="5">
        <f t="shared" si="17"/>
        <v>12763.617671519349</v>
      </c>
      <c r="J13" s="5">
        <f t="shared" si="19"/>
        <v>2383467.5860303007</v>
      </c>
      <c r="K13" s="5">
        <f t="shared" si="5"/>
        <v>1677.1777777777784</v>
      </c>
      <c r="L13" s="5">
        <f t="shared" si="20"/>
        <v>9224.4777777777817</v>
      </c>
      <c r="M13" s="5">
        <f t="shared" si="21"/>
        <v>154080.73188117243</v>
      </c>
      <c r="N13" s="5">
        <f t="shared" si="22"/>
        <v>270613.14585087041</v>
      </c>
      <c r="O13" s="13">
        <f t="shared" si="23"/>
        <v>1</v>
      </c>
      <c r="Q13">
        <f t="shared" si="6"/>
        <v>10</v>
      </c>
      <c r="R13">
        <f t="shared" si="7"/>
        <v>2027</v>
      </c>
      <c r="S13">
        <f t="shared" si="8"/>
        <v>10</v>
      </c>
      <c r="T13" s="5">
        <f t="shared" si="24"/>
        <v>2403914.2558827354</v>
      </c>
      <c r="U13" s="5">
        <f t="shared" si="9"/>
        <v>16026.095039218237</v>
      </c>
      <c r="V13" s="5">
        <f t="shared" si="10"/>
        <v>27061.314585087039</v>
      </c>
      <c r="W13" s="5">
        <f t="shared" si="25"/>
        <v>11035.219545868802</v>
      </c>
      <c r="X13" s="5">
        <f t="shared" si="26"/>
        <v>2392879.0363368667</v>
      </c>
      <c r="Y13" s="5">
        <f t="shared" si="27"/>
        <v>163492.18218773606</v>
      </c>
      <c r="Z13" s="5">
        <f t="shared" si="28"/>
        <v>270613.14585087041</v>
      </c>
      <c r="AA13" s="13">
        <f t="shared" si="29"/>
        <v>1</v>
      </c>
      <c r="AC13">
        <f t="shared" si="11"/>
        <v>10</v>
      </c>
      <c r="AD13">
        <f t="shared" si="12"/>
        <v>2027</v>
      </c>
      <c r="AE13">
        <f t="shared" si="13"/>
        <v>10</v>
      </c>
      <c r="AF13" s="5">
        <f t="shared" si="30"/>
        <v>2397905.8047869019</v>
      </c>
      <c r="AG13" s="5">
        <f t="shared" si="14"/>
        <v>15986.038698579347</v>
      </c>
      <c r="AH13" s="5">
        <f t="shared" si="15"/>
        <v>27711.314585087039</v>
      </c>
      <c r="AI13" s="5">
        <f t="shared" si="31"/>
        <v>11725.275886507692</v>
      </c>
      <c r="AJ13" s="5">
        <f t="shared" si="32"/>
        <v>2386180.5289003942</v>
      </c>
      <c r="AK13" s="5">
        <f t="shared" si="33"/>
        <v>163293.674751265</v>
      </c>
      <c r="AL13" s="5">
        <f t="shared" si="34"/>
        <v>277113.14585087041</v>
      </c>
      <c r="AM13" s="13">
        <f t="shared" si="35"/>
        <v>1</v>
      </c>
      <c r="AP13" s="82" t="s">
        <v>170</v>
      </c>
      <c r="AR13">
        <f>SUMIF($Q$4:$Q$279,"&gt;0",V$4:V$279)</f>
        <v>3896829.3002525279</v>
      </c>
      <c r="AS13" s="5"/>
      <c r="AT13" s="5">
        <f>SUMIF($AC$4:$AC$279,"&gt;0",AH$4:AH$279)</f>
        <v>3836478.6506568054</v>
      </c>
      <c r="AU13" s="5"/>
      <c r="AV13" s="84">
        <f>SUMIF($A$4:$A$279,"&gt;0",H$4:H$279)</f>
        <v>3838584.4834244582</v>
      </c>
    </row>
    <row r="14" spans="1:51" x14ac:dyDescent="0.35">
      <c r="A14">
        <f t="shared" si="0"/>
        <v>11</v>
      </c>
      <c r="B14">
        <f t="shared" si="1"/>
        <v>2027</v>
      </c>
      <c r="C14">
        <f t="shared" si="2"/>
        <v>11</v>
      </c>
      <c r="D14" s="5">
        <f t="shared" si="18"/>
        <v>2383467.5860303007</v>
      </c>
      <c r="E14" s="5">
        <f>IFERROR(IF($A14="", "", _xlfn.XLOOKUP(A14,Offset!A:A,Offset!I:I, 0)), 0)</f>
        <v>276734.33333333343</v>
      </c>
      <c r="F14" s="5">
        <f t="shared" si="16"/>
        <v>2106733.2526969672</v>
      </c>
      <c r="G14" s="5">
        <f t="shared" si="3"/>
        <v>14044.888351313115</v>
      </c>
      <c r="H14" s="5">
        <f t="shared" si="4"/>
        <v>27061.314585087039</v>
      </c>
      <c r="I14" s="5">
        <f t="shared" si="17"/>
        <v>13016.426233773924</v>
      </c>
      <c r="J14" s="5">
        <f t="shared" si="19"/>
        <v>2370451.1597965267</v>
      </c>
      <c r="K14" s="5">
        <f t="shared" si="5"/>
        <v>1844.8955555555563</v>
      </c>
      <c r="L14" s="5">
        <f t="shared" si="20"/>
        <v>11069.373333333338</v>
      </c>
      <c r="M14" s="5">
        <f t="shared" si="21"/>
        <v>168125.62023248553</v>
      </c>
      <c r="N14" s="5">
        <f t="shared" si="22"/>
        <v>297674.46043595747</v>
      </c>
      <c r="O14" s="13">
        <f t="shared" si="23"/>
        <v>1</v>
      </c>
      <c r="Q14">
        <f t="shared" si="6"/>
        <v>11</v>
      </c>
      <c r="R14">
        <f t="shared" si="7"/>
        <v>2027</v>
      </c>
      <c r="S14">
        <f t="shared" si="8"/>
        <v>11</v>
      </c>
      <c r="T14" s="5">
        <f t="shared" si="24"/>
        <v>2392879.0363368667</v>
      </c>
      <c r="U14" s="5">
        <f t="shared" si="9"/>
        <v>15952.526908912445</v>
      </c>
      <c r="V14" s="5">
        <f t="shared" si="10"/>
        <v>27061.314585087039</v>
      </c>
      <c r="W14" s="5">
        <f t="shared" si="25"/>
        <v>11108.787676174594</v>
      </c>
      <c r="X14" s="5">
        <f t="shared" si="26"/>
        <v>2381770.248660692</v>
      </c>
      <c r="Y14" s="5">
        <f t="shared" si="27"/>
        <v>179444.7090966485</v>
      </c>
      <c r="Z14" s="5">
        <f t="shared" si="28"/>
        <v>297674.46043595747</v>
      </c>
      <c r="AA14" s="13">
        <f t="shared" si="29"/>
        <v>1</v>
      </c>
      <c r="AC14">
        <f t="shared" si="11"/>
        <v>11</v>
      </c>
      <c r="AD14">
        <f t="shared" si="12"/>
        <v>2027</v>
      </c>
      <c r="AE14">
        <f t="shared" si="13"/>
        <v>11</v>
      </c>
      <c r="AF14" s="5">
        <f t="shared" si="30"/>
        <v>2386180.5289003942</v>
      </c>
      <c r="AG14" s="5">
        <f t="shared" si="14"/>
        <v>15907.870192669296</v>
      </c>
      <c r="AH14" s="5">
        <f t="shared" si="15"/>
        <v>27711.314585087039</v>
      </c>
      <c r="AI14" s="5">
        <f t="shared" si="31"/>
        <v>11803.444392417743</v>
      </c>
      <c r="AJ14" s="5">
        <f t="shared" si="32"/>
        <v>2374377.0845079767</v>
      </c>
      <c r="AK14" s="5">
        <f t="shared" si="33"/>
        <v>179201.54494393431</v>
      </c>
      <c r="AL14" s="5">
        <f t="shared" si="34"/>
        <v>304824.46043595747</v>
      </c>
      <c r="AM14" s="13">
        <f t="shared" si="35"/>
        <v>1</v>
      </c>
      <c r="AP14" s="82" t="s">
        <v>171</v>
      </c>
      <c r="AR14" t="s">
        <v>105</v>
      </c>
      <c r="AS14" s="5"/>
      <c r="AT14" s="5">
        <f>AR13-AT13</f>
        <v>60350.649595722556</v>
      </c>
      <c r="AU14" s="5"/>
      <c r="AV14" s="84">
        <f>AR13-AV13</f>
        <v>58244.816828069743</v>
      </c>
    </row>
    <row r="15" spans="1:51" x14ac:dyDescent="0.35">
      <c r="A15">
        <f t="shared" si="0"/>
        <v>12</v>
      </c>
      <c r="B15">
        <f t="shared" si="1"/>
        <v>2027</v>
      </c>
      <c r="C15">
        <f t="shared" si="2"/>
        <v>12</v>
      </c>
      <c r="D15" s="5">
        <f t="shared" si="18"/>
        <v>2370451.1597965267</v>
      </c>
      <c r="E15" s="5">
        <f>IFERROR(IF($A15="", "", _xlfn.XLOOKUP(A15,Offset!A:A,Offset!I:I, 0)), 0)</f>
        <v>301892.00000000012</v>
      </c>
      <c r="F15" s="5">
        <f t="shared" si="16"/>
        <v>2068559.1597965267</v>
      </c>
      <c r="G15" s="5">
        <f t="shared" si="3"/>
        <v>13790.394398643512</v>
      </c>
      <c r="H15" s="5">
        <f t="shared" si="4"/>
        <v>27061.314585087039</v>
      </c>
      <c r="I15" s="5">
        <f t="shared" si="17"/>
        <v>13270.920186443527</v>
      </c>
      <c r="J15" s="5">
        <f t="shared" si="19"/>
        <v>2357180.2396100829</v>
      </c>
      <c r="K15" s="5">
        <f t="shared" si="5"/>
        <v>2012.6133333333341</v>
      </c>
      <c r="L15" s="5">
        <f t="shared" si="20"/>
        <v>13081.986666666673</v>
      </c>
      <c r="M15" s="5">
        <f t="shared" si="21"/>
        <v>181916.01463112904</v>
      </c>
      <c r="N15" s="5">
        <f t="shared" si="22"/>
        <v>324735.77502104454</v>
      </c>
      <c r="O15" s="13">
        <f t="shared" si="23"/>
        <v>1</v>
      </c>
      <c r="Q15">
        <f t="shared" si="6"/>
        <v>12</v>
      </c>
      <c r="R15">
        <f t="shared" si="7"/>
        <v>2027</v>
      </c>
      <c r="S15">
        <f t="shared" si="8"/>
        <v>12</v>
      </c>
      <c r="T15" s="5">
        <f t="shared" si="24"/>
        <v>2381770.248660692</v>
      </c>
      <c r="U15" s="5">
        <f t="shared" si="9"/>
        <v>15878.468324404614</v>
      </c>
      <c r="V15" s="5">
        <f t="shared" si="10"/>
        <v>27061.314585087039</v>
      </c>
      <c r="W15" s="5">
        <f t="shared" si="25"/>
        <v>11182.846260682425</v>
      </c>
      <c r="X15" s="5">
        <f t="shared" si="26"/>
        <v>2370587.4024000098</v>
      </c>
      <c r="Y15" s="5">
        <f t="shared" si="27"/>
        <v>195323.17742105311</v>
      </c>
      <c r="Z15" s="5">
        <f t="shared" si="28"/>
        <v>324735.77502104454</v>
      </c>
      <c r="AA15" s="13">
        <f t="shared" si="29"/>
        <v>1</v>
      </c>
      <c r="AC15">
        <f t="shared" si="11"/>
        <v>12</v>
      </c>
      <c r="AD15">
        <f t="shared" si="12"/>
        <v>2027</v>
      </c>
      <c r="AE15">
        <f t="shared" si="13"/>
        <v>12</v>
      </c>
      <c r="AF15" s="5">
        <f t="shared" si="30"/>
        <v>2374377.0845079767</v>
      </c>
      <c r="AG15" s="5">
        <f t="shared" si="14"/>
        <v>15829.180563386511</v>
      </c>
      <c r="AH15" s="5">
        <f t="shared" si="15"/>
        <v>27711.314585087039</v>
      </c>
      <c r="AI15" s="5">
        <f t="shared" si="31"/>
        <v>11882.134021700527</v>
      </c>
      <c r="AJ15" s="5">
        <f t="shared" si="32"/>
        <v>2362494.9504862763</v>
      </c>
      <c r="AK15" s="5">
        <f t="shared" si="33"/>
        <v>195030.72550732081</v>
      </c>
      <c r="AL15" s="5">
        <f t="shared" si="34"/>
        <v>332535.77502104454</v>
      </c>
      <c r="AM15" s="13">
        <f t="shared" si="35"/>
        <v>1</v>
      </c>
      <c r="AP15" s="82" t="s">
        <v>172</v>
      </c>
      <c r="AR15" t="str">
        <f>Y279</f>
        <v/>
      </c>
      <c r="AS15" s="5"/>
      <c r="AT15" s="5" t="str">
        <f>AK279</f>
        <v/>
      </c>
      <c r="AU15" s="5"/>
      <c r="AV15" s="84" t="str">
        <f>M279</f>
        <v/>
      </c>
    </row>
    <row r="16" spans="1:51" ht="15" thickBot="1" x14ac:dyDescent="0.4">
      <c r="A16">
        <f t="shared" si="0"/>
        <v>13</v>
      </c>
      <c r="B16">
        <f t="shared" si="1"/>
        <v>2028</v>
      </c>
      <c r="C16">
        <f t="shared" si="2"/>
        <v>1</v>
      </c>
      <c r="D16" s="5">
        <f t="shared" si="18"/>
        <v>2357180.2396100829</v>
      </c>
      <c r="E16" s="5">
        <f>IFERROR(IF($A16="", "", _xlfn.XLOOKUP(A16,Offset!A:A,Offset!I:I, 0)), 0)</f>
        <v>2214.420833333334</v>
      </c>
      <c r="F16" s="5">
        <f t="shared" si="16"/>
        <v>2354965.8187767495</v>
      </c>
      <c r="G16" s="5">
        <f t="shared" si="3"/>
        <v>15699.772125178331</v>
      </c>
      <c r="H16" s="5">
        <f t="shared" si="4"/>
        <v>27061.314585087039</v>
      </c>
      <c r="I16" s="5">
        <f t="shared" si="17"/>
        <v>11361.542459908707</v>
      </c>
      <c r="J16" s="5">
        <f t="shared" si="19"/>
        <v>2345818.6971501741</v>
      </c>
      <c r="K16" s="5">
        <f t="shared" si="5"/>
        <v>14.762805555555561</v>
      </c>
      <c r="L16" s="5">
        <f t="shared" si="20"/>
        <v>13096.749472222229</v>
      </c>
      <c r="M16" s="5">
        <f t="shared" si="21"/>
        <v>197615.78675630738</v>
      </c>
      <c r="N16" s="5">
        <f t="shared" si="22"/>
        <v>351797.0896061316</v>
      </c>
      <c r="O16" s="13">
        <f t="shared" si="23"/>
        <v>2</v>
      </c>
      <c r="Q16">
        <f t="shared" si="6"/>
        <v>13</v>
      </c>
      <c r="R16">
        <f t="shared" si="7"/>
        <v>2028</v>
      </c>
      <c r="S16">
        <f t="shared" si="8"/>
        <v>1</v>
      </c>
      <c r="T16" s="5">
        <f t="shared" si="24"/>
        <v>2370587.4024000098</v>
      </c>
      <c r="U16" s="5">
        <f t="shared" si="9"/>
        <v>15803.916016000067</v>
      </c>
      <c r="V16" s="5">
        <f t="shared" si="10"/>
        <v>27061.314585087039</v>
      </c>
      <c r="W16" s="5">
        <f t="shared" si="25"/>
        <v>11257.398569086972</v>
      </c>
      <c r="X16" s="5">
        <f t="shared" si="26"/>
        <v>2359330.0038309228</v>
      </c>
      <c r="Y16" s="5">
        <f t="shared" si="27"/>
        <v>211127.09343705318</v>
      </c>
      <c r="Z16" s="5">
        <f t="shared" si="28"/>
        <v>351797.0896061316</v>
      </c>
      <c r="AA16" s="13">
        <f t="shared" si="29"/>
        <v>2</v>
      </c>
      <c r="AC16">
        <f t="shared" si="11"/>
        <v>13</v>
      </c>
      <c r="AD16">
        <f t="shared" si="12"/>
        <v>2028</v>
      </c>
      <c r="AE16">
        <f t="shared" si="13"/>
        <v>1</v>
      </c>
      <c r="AF16" s="5">
        <f t="shared" si="30"/>
        <v>2362494.9504862763</v>
      </c>
      <c r="AG16" s="5">
        <f t="shared" si="14"/>
        <v>15749.966336575177</v>
      </c>
      <c r="AH16" s="5">
        <f t="shared" si="15"/>
        <v>27711.314585087039</v>
      </c>
      <c r="AI16" s="5">
        <f t="shared" si="31"/>
        <v>11961.348248511862</v>
      </c>
      <c r="AJ16" s="5">
        <f t="shared" si="32"/>
        <v>2350533.6022377643</v>
      </c>
      <c r="AK16" s="5">
        <f t="shared" si="33"/>
        <v>210780.691843896</v>
      </c>
      <c r="AL16" s="5">
        <f t="shared" si="34"/>
        <v>360247.0896061316</v>
      </c>
      <c r="AM16" s="13">
        <f t="shared" si="35"/>
        <v>2</v>
      </c>
      <c r="AP16" s="85" t="s">
        <v>173</v>
      </c>
      <c r="AQ16" s="86"/>
      <c r="AR16" s="86"/>
      <c r="AS16" s="87"/>
      <c r="AT16" s="87"/>
      <c r="AU16" s="87"/>
      <c r="AV16" s="88">
        <f>IFERROR(AV11+AV12-AV6, 0)</f>
        <v>0</v>
      </c>
    </row>
    <row r="17" spans="1:39" x14ac:dyDescent="0.35">
      <c r="A17">
        <f t="shared" si="0"/>
        <v>14</v>
      </c>
      <c r="B17">
        <f t="shared" si="1"/>
        <v>2028</v>
      </c>
      <c r="C17">
        <f t="shared" si="2"/>
        <v>2</v>
      </c>
      <c r="D17" s="5">
        <f t="shared" si="18"/>
        <v>2345818.6971501741</v>
      </c>
      <c r="E17" s="5">
        <f>IFERROR(IF($A17="", "", _xlfn.XLOOKUP(A17,Offset!A:A,Offset!I:I, 0)), 0)</f>
        <v>4428.8416666666681</v>
      </c>
      <c r="F17" s="5">
        <f t="shared" si="16"/>
        <v>2341389.8554835073</v>
      </c>
      <c r="G17" s="5">
        <f t="shared" si="3"/>
        <v>15609.265703223382</v>
      </c>
      <c r="H17" s="5">
        <f t="shared" si="4"/>
        <v>27061.314585087039</v>
      </c>
      <c r="I17" s="5">
        <f t="shared" si="17"/>
        <v>11452.048881863657</v>
      </c>
      <c r="J17" s="5">
        <f t="shared" si="19"/>
        <v>2334366.6482683104</v>
      </c>
      <c r="K17" s="5">
        <f t="shared" si="5"/>
        <v>29.525611111111122</v>
      </c>
      <c r="L17" s="5">
        <f t="shared" si="20"/>
        <v>13126.275083333339</v>
      </c>
      <c r="M17" s="5">
        <f t="shared" si="21"/>
        <v>213225.05245953077</v>
      </c>
      <c r="N17" s="5">
        <f t="shared" si="22"/>
        <v>378858.40419121867</v>
      </c>
      <c r="O17" s="13">
        <f t="shared" si="23"/>
        <v>2</v>
      </c>
      <c r="Q17">
        <f t="shared" si="6"/>
        <v>14</v>
      </c>
      <c r="R17">
        <f t="shared" si="7"/>
        <v>2028</v>
      </c>
      <c r="S17">
        <f t="shared" si="8"/>
        <v>2</v>
      </c>
      <c r="T17" s="5">
        <f t="shared" si="24"/>
        <v>2359330.0038309228</v>
      </c>
      <c r="U17" s="5">
        <f t="shared" si="9"/>
        <v>15728.866692206153</v>
      </c>
      <c r="V17" s="5">
        <f t="shared" si="10"/>
        <v>27061.314585087039</v>
      </c>
      <c r="W17" s="5">
        <f t="shared" si="25"/>
        <v>11332.447892880886</v>
      </c>
      <c r="X17" s="5">
        <f t="shared" si="26"/>
        <v>2347997.5559380418</v>
      </c>
      <c r="Y17" s="5">
        <f t="shared" si="27"/>
        <v>226855.96012925933</v>
      </c>
      <c r="Z17" s="5">
        <f t="shared" si="28"/>
        <v>378858.40419121867</v>
      </c>
      <c r="AA17" s="13">
        <f t="shared" si="29"/>
        <v>2</v>
      </c>
      <c r="AC17">
        <f t="shared" si="11"/>
        <v>14</v>
      </c>
      <c r="AD17">
        <f t="shared" si="12"/>
        <v>2028</v>
      </c>
      <c r="AE17">
        <f t="shared" si="13"/>
        <v>2</v>
      </c>
      <c r="AF17" s="5">
        <f t="shared" si="30"/>
        <v>2350533.6022377643</v>
      </c>
      <c r="AG17" s="5">
        <f t="shared" si="14"/>
        <v>15670.224014918429</v>
      </c>
      <c r="AH17" s="5">
        <f t="shared" si="15"/>
        <v>27711.314585087039</v>
      </c>
      <c r="AI17" s="5">
        <f t="shared" si="31"/>
        <v>12041.09057016861</v>
      </c>
      <c r="AJ17" s="5">
        <f t="shared" si="32"/>
        <v>2338492.5116675957</v>
      </c>
      <c r="AK17" s="5">
        <f t="shared" si="33"/>
        <v>226450.91585881443</v>
      </c>
      <c r="AL17" s="5">
        <f t="shared" si="34"/>
        <v>387958.40419121867</v>
      </c>
      <c r="AM17" s="13">
        <f t="shared" si="35"/>
        <v>2</v>
      </c>
    </row>
    <row r="18" spans="1:39" x14ac:dyDescent="0.35">
      <c r="A18">
        <f t="shared" si="0"/>
        <v>15</v>
      </c>
      <c r="B18">
        <f t="shared" si="1"/>
        <v>2028</v>
      </c>
      <c r="C18">
        <f t="shared" si="2"/>
        <v>3</v>
      </c>
      <c r="D18" s="5">
        <f t="shared" si="18"/>
        <v>2334366.6482683104</v>
      </c>
      <c r="E18" s="5">
        <f>IFERROR(IF($A18="", "", _xlfn.XLOOKUP(A18,Offset!A:A,Offset!I:I, 0)), 0)</f>
        <v>6643.2625000000025</v>
      </c>
      <c r="F18" s="5">
        <f t="shared" si="16"/>
        <v>2327723.3857683102</v>
      </c>
      <c r="G18" s="5">
        <f t="shared" si="3"/>
        <v>15518.155905122068</v>
      </c>
      <c r="H18" s="5">
        <f t="shared" si="4"/>
        <v>27061.314585087039</v>
      </c>
      <c r="I18" s="5">
        <f t="shared" si="17"/>
        <v>11543.15867996497</v>
      </c>
      <c r="J18" s="5">
        <f t="shared" si="19"/>
        <v>2322823.4895883454</v>
      </c>
      <c r="K18" s="5">
        <f t="shared" si="5"/>
        <v>44.288416666666684</v>
      </c>
      <c r="L18" s="5">
        <f t="shared" si="20"/>
        <v>13170.563500000006</v>
      </c>
      <c r="M18" s="5">
        <f t="shared" si="21"/>
        <v>228743.20836465282</v>
      </c>
      <c r="N18" s="5">
        <f t="shared" si="22"/>
        <v>405919.71877630573</v>
      </c>
      <c r="O18" s="13">
        <f t="shared" si="23"/>
        <v>2</v>
      </c>
      <c r="Q18">
        <f t="shared" si="6"/>
        <v>15</v>
      </c>
      <c r="R18">
        <f t="shared" si="7"/>
        <v>2028</v>
      </c>
      <c r="S18">
        <f t="shared" si="8"/>
        <v>3</v>
      </c>
      <c r="T18" s="5">
        <f t="shared" si="24"/>
        <v>2347997.5559380418</v>
      </c>
      <c r="U18" s="5">
        <f t="shared" si="9"/>
        <v>15653.317039586946</v>
      </c>
      <c r="V18" s="5">
        <f t="shared" si="10"/>
        <v>27061.314585087039</v>
      </c>
      <c r="W18" s="5">
        <f t="shared" si="25"/>
        <v>11407.997545500093</v>
      </c>
      <c r="X18" s="5">
        <f t="shared" si="26"/>
        <v>2336589.5583925415</v>
      </c>
      <c r="Y18" s="5">
        <f t="shared" si="27"/>
        <v>242509.27716884628</v>
      </c>
      <c r="Z18" s="5">
        <f t="shared" si="28"/>
        <v>405919.71877630573</v>
      </c>
      <c r="AA18" s="13">
        <f t="shared" si="29"/>
        <v>2</v>
      </c>
      <c r="AC18">
        <f t="shared" si="11"/>
        <v>15</v>
      </c>
      <c r="AD18">
        <f t="shared" si="12"/>
        <v>2028</v>
      </c>
      <c r="AE18">
        <f t="shared" si="13"/>
        <v>3</v>
      </c>
      <c r="AF18" s="5">
        <f t="shared" si="30"/>
        <v>2338492.5116675957</v>
      </c>
      <c r="AG18" s="5">
        <f t="shared" si="14"/>
        <v>15589.950077783973</v>
      </c>
      <c r="AH18" s="5">
        <f t="shared" si="15"/>
        <v>27711.314585087039</v>
      </c>
      <c r="AI18" s="5">
        <f t="shared" si="31"/>
        <v>12121.364507303066</v>
      </c>
      <c r="AJ18" s="5">
        <f t="shared" si="32"/>
        <v>2326371.1471602926</v>
      </c>
      <c r="AK18" s="5">
        <f t="shared" si="33"/>
        <v>242040.86593659842</v>
      </c>
      <c r="AL18" s="5">
        <f t="shared" si="34"/>
        <v>415669.71877630573</v>
      </c>
      <c r="AM18" s="13">
        <f t="shared" si="35"/>
        <v>2</v>
      </c>
    </row>
    <row r="19" spans="1:39" x14ac:dyDescent="0.35">
      <c r="A19">
        <f t="shared" si="0"/>
        <v>16</v>
      </c>
      <c r="B19">
        <f t="shared" si="1"/>
        <v>2028</v>
      </c>
      <c r="C19">
        <f t="shared" si="2"/>
        <v>4</v>
      </c>
      <c r="D19" s="5">
        <f t="shared" si="18"/>
        <v>2322823.4895883454</v>
      </c>
      <c r="E19" s="5">
        <f>IFERROR(IF($A19="", "", _xlfn.XLOOKUP(A19,Offset!A:A,Offset!I:I, 0)), 0)</f>
        <v>8857.6833333333361</v>
      </c>
      <c r="F19" s="5">
        <f t="shared" si="16"/>
        <v>2313965.8062550123</v>
      </c>
      <c r="G19" s="5">
        <f t="shared" si="3"/>
        <v>15426.43870836675</v>
      </c>
      <c r="H19" s="5">
        <f t="shared" si="4"/>
        <v>27061.314585087039</v>
      </c>
      <c r="I19" s="5">
        <f t="shared" si="17"/>
        <v>11634.875876720289</v>
      </c>
      <c r="J19" s="5">
        <f t="shared" si="19"/>
        <v>2311188.6137116253</v>
      </c>
      <c r="K19" s="5">
        <f t="shared" si="5"/>
        <v>59.051222222222243</v>
      </c>
      <c r="L19" s="5">
        <f t="shared" si="20"/>
        <v>13229.614722222228</v>
      </c>
      <c r="M19" s="5">
        <f t="shared" si="21"/>
        <v>244169.64707301956</v>
      </c>
      <c r="N19" s="5">
        <f t="shared" si="22"/>
        <v>432981.03336139279</v>
      </c>
      <c r="O19" s="13">
        <f t="shared" si="23"/>
        <v>2</v>
      </c>
      <c r="Q19">
        <f t="shared" si="6"/>
        <v>16</v>
      </c>
      <c r="R19">
        <f t="shared" si="7"/>
        <v>2028</v>
      </c>
      <c r="S19">
        <f t="shared" si="8"/>
        <v>4</v>
      </c>
      <c r="T19" s="5">
        <f t="shared" si="24"/>
        <v>2336589.5583925415</v>
      </c>
      <c r="U19" s="5">
        <f t="shared" si="9"/>
        <v>15577.263722616945</v>
      </c>
      <c r="V19" s="5">
        <f t="shared" si="10"/>
        <v>27061.314585087039</v>
      </c>
      <c r="W19" s="5">
        <f t="shared" si="25"/>
        <v>11484.050862470094</v>
      </c>
      <c r="X19" s="5">
        <f t="shared" si="26"/>
        <v>2325105.5075300713</v>
      </c>
      <c r="Y19" s="5">
        <f t="shared" si="27"/>
        <v>258086.54089146323</v>
      </c>
      <c r="Z19" s="5">
        <f t="shared" si="28"/>
        <v>432981.03336139279</v>
      </c>
      <c r="AA19" s="13">
        <f t="shared" si="29"/>
        <v>2</v>
      </c>
      <c r="AC19">
        <f t="shared" si="11"/>
        <v>16</v>
      </c>
      <c r="AD19">
        <f t="shared" si="12"/>
        <v>2028</v>
      </c>
      <c r="AE19">
        <f t="shared" si="13"/>
        <v>4</v>
      </c>
      <c r="AF19" s="5">
        <f t="shared" si="30"/>
        <v>2326371.1471602926</v>
      </c>
      <c r="AG19" s="5">
        <f t="shared" si="14"/>
        <v>15509.140981068618</v>
      </c>
      <c r="AH19" s="5">
        <f t="shared" si="15"/>
        <v>27711.314585087039</v>
      </c>
      <c r="AI19" s="5">
        <f t="shared" si="31"/>
        <v>12202.173604018421</v>
      </c>
      <c r="AJ19" s="5">
        <f t="shared" si="32"/>
        <v>2314168.9735562741</v>
      </c>
      <c r="AK19" s="5">
        <f t="shared" si="33"/>
        <v>257550.00691766705</v>
      </c>
      <c r="AL19" s="5">
        <f t="shared" si="34"/>
        <v>443381.03336139279</v>
      </c>
      <c r="AM19" s="13">
        <f t="shared" si="35"/>
        <v>2</v>
      </c>
    </row>
    <row r="20" spans="1:39" x14ac:dyDescent="0.35">
      <c r="A20">
        <f t="shared" si="0"/>
        <v>17</v>
      </c>
      <c r="B20">
        <f t="shared" si="1"/>
        <v>2028</v>
      </c>
      <c r="C20">
        <f t="shared" si="2"/>
        <v>5</v>
      </c>
      <c r="D20" s="5">
        <f t="shared" si="18"/>
        <v>2311188.6137116253</v>
      </c>
      <c r="E20" s="5">
        <f>IFERROR(IF($A20="", "", _xlfn.XLOOKUP(A20,Offset!A:A,Offset!I:I, 0)), 0)</f>
        <v>11072.10416666667</v>
      </c>
      <c r="F20" s="5">
        <f t="shared" si="16"/>
        <v>2300116.5095449588</v>
      </c>
      <c r="G20" s="5">
        <f t="shared" si="3"/>
        <v>15334.110063633059</v>
      </c>
      <c r="H20" s="5">
        <f t="shared" si="4"/>
        <v>27061.314585087039</v>
      </c>
      <c r="I20" s="5">
        <f t="shared" si="17"/>
        <v>11727.204521453979</v>
      </c>
      <c r="J20" s="5">
        <f t="shared" si="19"/>
        <v>2299461.4091901714</v>
      </c>
      <c r="K20" s="5">
        <f t="shared" si="5"/>
        <v>73.81402777777781</v>
      </c>
      <c r="L20" s="5">
        <f t="shared" si="20"/>
        <v>13303.428750000006</v>
      </c>
      <c r="M20" s="5">
        <f t="shared" si="21"/>
        <v>259503.75713665262</v>
      </c>
      <c r="N20" s="5">
        <f t="shared" si="22"/>
        <v>460042.34794647986</v>
      </c>
      <c r="O20" s="13">
        <f t="shared" si="23"/>
        <v>2</v>
      </c>
      <c r="Q20">
        <f t="shared" si="6"/>
        <v>17</v>
      </c>
      <c r="R20">
        <f t="shared" si="7"/>
        <v>2028</v>
      </c>
      <c r="S20">
        <f t="shared" si="8"/>
        <v>5</v>
      </c>
      <c r="T20" s="5">
        <f t="shared" si="24"/>
        <v>2325105.5075300713</v>
      </c>
      <c r="U20" s="5">
        <f t="shared" si="9"/>
        <v>15500.70338353381</v>
      </c>
      <c r="V20" s="5">
        <f t="shared" si="10"/>
        <v>27061.314585087039</v>
      </c>
      <c r="W20" s="5">
        <f t="shared" si="25"/>
        <v>11560.611201553229</v>
      </c>
      <c r="X20" s="5">
        <f t="shared" si="26"/>
        <v>2313544.8963285182</v>
      </c>
      <c r="Y20" s="5">
        <f t="shared" si="27"/>
        <v>273587.24427499704</v>
      </c>
      <c r="Z20" s="5">
        <f t="shared" si="28"/>
        <v>460042.34794647986</v>
      </c>
      <c r="AA20" s="13">
        <f t="shared" si="29"/>
        <v>2</v>
      </c>
      <c r="AC20">
        <f t="shared" si="11"/>
        <v>17</v>
      </c>
      <c r="AD20">
        <f t="shared" si="12"/>
        <v>2028</v>
      </c>
      <c r="AE20">
        <f t="shared" si="13"/>
        <v>5</v>
      </c>
      <c r="AF20" s="5">
        <f t="shared" si="30"/>
        <v>2314168.9735562741</v>
      </c>
      <c r="AG20" s="5">
        <f t="shared" si="14"/>
        <v>15427.793157041828</v>
      </c>
      <c r="AH20" s="5">
        <f t="shared" si="15"/>
        <v>27711.314585087039</v>
      </c>
      <c r="AI20" s="5">
        <f t="shared" si="31"/>
        <v>12283.521428045211</v>
      </c>
      <c r="AJ20" s="5">
        <f t="shared" si="32"/>
        <v>2301885.4521282287</v>
      </c>
      <c r="AK20" s="5">
        <f t="shared" si="33"/>
        <v>272977.80007470888</v>
      </c>
      <c r="AL20" s="5">
        <f t="shared" si="34"/>
        <v>471092.34794647986</v>
      </c>
      <c r="AM20" s="13">
        <f t="shared" si="35"/>
        <v>2</v>
      </c>
    </row>
    <row r="21" spans="1:39" x14ac:dyDescent="0.35">
      <c r="A21">
        <f t="shared" si="0"/>
        <v>18</v>
      </c>
      <c r="B21">
        <f t="shared" si="1"/>
        <v>2028</v>
      </c>
      <c r="C21">
        <f t="shared" si="2"/>
        <v>6</v>
      </c>
      <c r="D21" s="5">
        <f t="shared" si="18"/>
        <v>2299461.4091901714</v>
      </c>
      <c r="E21" s="5">
        <f>IFERROR(IF($A21="", "", _xlfn.XLOOKUP(A21,Offset!A:A,Offset!I:I, 0)), 0)</f>
        <v>13286.525000000003</v>
      </c>
      <c r="F21" s="5">
        <f t="shared" si="16"/>
        <v>2286174.8841901715</v>
      </c>
      <c r="G21" s="5">
        <f t="shared" si="3"/>
        <v>15241.165894601145</v>
      </c>
      <c r="H21" s="5">
        <f t="shared" si="4"/>
        <v>27061.314585087039</v>
      </c>
      <c r="I21" s="5">
        <f t="shared" si="17"/>
        <v>11820.148690485894</v>
      </c>
      <c r="J21" s="5">
        <f t="shared" si="19"/>
        <v>2287641.2604996855</v>
      </c>
      <c r="K21" s="5">
        <f t="shared" si="5"/>
        <v>88.576833333333354</v>
      </c>
      <c r="L21" s="5">
        <f t="shared" si="20"/>
        <v>13392.005583333339</v>
      </c>
      <c r="M21" s="5">
        <f t="shared" si="21"/>
        <v>274744.92303125374</v>
      </c>
      <c r="N21" s="5">
        <f t="shared" si="22"/>
        <v>487103.66253156692</v>
      </c>
      <c r="O21" s="13">
        <f t="shared" si="23"/>
        <v>2</v>
      </c>
      <c r="Q21">
        <f t="shared" si="6"/>
        <v>18</v>
      </c>
      <c r="R21">
        <f t="shared" si="7"/>
        <v>2028</v>
      </c>
      <c r="S21">
        <f t="shared" si="8"/>
        <v>6</v>
      </c>
      <c r="T21" s="5">
        <f t="shared" si="24"/>
        <v>2313544.8963285182</v>
      </c>
      <c r="U21" s="5">
        <f t="shared" si="9"/>
        <v>15423.632642190121</v>
      </c>
      <c r="V21" s="5">
        <f t="shared" si="10"/>
        <v>27061.314585087039</v>
      </c>
      <c r="W21" s="5">
        <f t="shared" si="25"/>
        <v>11637.681942896917</v>
      </c>
      <c r="X21" s="5">
        <f t="shared" si="26"/>
        <v>2301907.2143856212</v>
      </c>
      <c r="Y21" s="5">
        <f t="shared" si="27"/>
        <v>289010.87691718718</v>
      </c>
      <c r="Z21" s="5">
        <f t="shared" si="28"/>
        <v>487103.66253156692</v>
      </c>
      <c r="AA21" s="13">
        <f t="shared" si="29"/>
        <v>2</v>
      </c>
      <c r="AC21">
        <f t="shared" si="11"/>
        <v>18</v>
      </c>
      <c r="AD21">
        <f t="shared" si="12"/>
        <v>2028</v>
      </c>
      <c r="AE21">
        <f t="shared" si="13"/>
        <v>6</v>
      </c>
      <c r="AF21" s="5">
        <f t="shared" si="30"/>
        <v>2301885.4521282287</v>
      </c>
      <c r="AG21" s="5">
        <f t="shared" si="14"/>
        <v>15345.903014188192</v>
      </c>
      <c r="AH21" s="5">
        <f t="shared" si="15"/>
        <v>27711.314585087039</v>
      </c>
      <c r="AI21" s="5">
        <f t="shared" si="31"/>
        <v>12365.411570898847</v>
      </c>
      <c r="AJ21" s="5">
        <f t="shared" si="32"/>
        <v>2289520.04055733</v>
      </c>
      <c r="AK21" s="5">
        <f t="shared" si="33"/>
        <v>288323.70308889705</v>
      </c>
      <c r="AL21" s="5">
        <f t="shared" si="34"/>
        <v>498803.66253156692</v>
      </c>
      <c r="AM21" s="13">
        <f t="shared" si="35"/>
        <v>2</v>
      </c>
    </row>
    <row r="22" spans="1:39" x14ac:dyDescent="0.35">
      <c r="A22">
        <f t="shared" si="0"/>
        <v>19</v>
      </c>
      <c r="B22">
        <f t="shared" si="1"/>
        <v>2028</v>
      </c>
      <c r="C22">
        <f t="shared" si="2"/>
        <v>7</v>
      </c>
      <c r="D22" s="5">
        <f t="shared" si="18"/>
        <v>2287641.2604996855</v>
      </c>
      <c r="E22" s="5">
        <f>IFERROR(IF($A22="", "", _xlfn.XLOOKUP(A22,Offset!A:A,Offset!I:I, 0)), 0)</f>
        <v>15500.945833333337</v>
      </c>
      <c r="F22" s="5">
        <f t="shared" si="16"/>
        <v>2272140.3146663522</v>
      </c>
      <c r="G22" s="5">
        <f t="shared" si="3"/>
        <v>15147.602097775683</v>
      </c>
      <c r="H22" s="5">
        <f t="shared" si="4"/>
        <v>27061.314585087039</v>
      </c>
      <c r="I22" s="5">
        <f t="shared" si="17"/>
        <v>11913.712487311355</v>
      </c>
      <c r="J22" s="5">
        <f t="shared" si="19"/>
        <v>2275727.548012374</v>
      </c>
      <c r="K22" s="5">
        <f t="shared" si="5"/>
        <v>103.33963888888891</v>
      </c>
      <c r="L22" s="5">
        <f t="shared" si="20"/>
        <v>13495.345222222228</v>
      </c>
      <c r="M22" s="5">
        <f t="shared" si="21"/>
        <v>289892.52512902941</v>
      </c>
      <c r="N22" s="5">
        <f t="shared" si="22"/>
        <v>514164.97711665399</v>
      </c>
      <c r="O22" s="13">
        <f t="shared" si="23"/>
        <v>2</v>
      </c>
      <c r="Q22">
        <f t="shared" si="6"/>
        <v>19</v>
      </c>
      <c r="R22">
        <f t="shared" si="7"/>
        <v>2028</v>
      </c>
      <c r="S22">
        <f t="shared" si="8"/>
        <v>7</v>
      </c>
      <c r="T22" s="5">
        <f t="shared" si="24"/>
        <v>2301907.2143856212</v>
      </c>
      <c r="U22" s="5">
        <f t="shared" si="9"/>
        <v>15346.048095904143</v>
      </c>
      <c r="V22" s="5">
        <f t="shared" si="10"/>
        <v>27061.314585087039</v>
      </c>
      <c r="W22" s="5">
        <f t="shared" si="25"/>
        <v>11715.266489182895</v>
      </c>
      <c r="X22" s="5">
        <f t="shared" si="26"/>
        <v>2290191.9478964382</v>
      </c>
      <c r="Y22" s="5">
        <f t="shared" si="27"/>
        <v>304356.9250130913</v>
      </c>
      <c r="Z22" s="5">
        <f t="shared" si="28"/>
        <v>514164.97711665399</v>
      </c>
      <c r="AA22" s="13">
        <f t="shared" si="29"/>
        <v>2</v>
      </c>
      <c r="AC22">
        <f t="shared" si="11"/>
        <v>19</v>
      </c>
      <c r="AD22">
        <f t="shared" si="12"/>
        <v>2028</v>
      </c>
      <c r="AE22">
        <f t="shared" si="13"/>
        <v>7</v>
      </c>
      <c r="AF22" s="5">
        <f t="shared" si="30"/>
        <v>2289520.04055733</v>
      </c>
      <c r="AG22" s="5">
        <f t="shared" si="14"/>
        <v>15263.466937048868</v>
      </c>
      <c r="AH22" s="5">
        <f t="shared" si="15"/>
        <v>27711.314585087039</v>
      </c>
      <c r="AI22" s="5">
        <f t="shared" si="31"/>
        <v>12447.847648038171</v>
      </c>
      <c r="AJ22" s="5">
        <f t="shared" si="32"/>
        <v>2277072.1929092919</v>
      </c>
      <c r="AK22" s="5">
        <f t="shared" si="33"/>
        <v>303587.17002594593</v>
      </c>
      <c r="AL22" s="5">
        <f t="shared" si="34"/>
        <v>526514.97711665393</v>
      </c>
      <c r="AM22" s="13">
        <f t="shared" si="35"/>
        <v>2</v>
      </c>
    </row>
    <row r="23" spans="1:39" x14ac:dyDescent="0.35">
      <c r="A23">
        <f t="shared" si="0"/>
        <v>20</v>
      </c>
      <c r="B23">
        <f t="shared" si="1"/>
        <v>2028</v>
      </c>
      <c r="C23">
        <f t="shared" si="2"/>
        <v>8</v>
      </c>
      <c r="D23" s="5">
        <f t="shared" si="18"/>
        <v>2275727.548012374</v>
      </c>
      <c r="E23" s="5">
        <f>IFERROR(IF($A23="", "", _xlfn.XLOOKUP(A23,Offset!A:A,Offset!I:I, 0)), 0)</f>
        <v>17715.366666666672</v>
      </c>
      <c r="F23" s="5">
        <f t="shared" si="16"/>
        <v>2258012.1813457073</v>
      </c>
      <c r="G23" s="5">
        <f t="shared" si="3"/>
        <v>15053.414542304716</v>
      </c>
      <c r="H23" s="5">
        <f t="shared" si="4"/>
        <v>27061.314585087039</v>
      </c>
      <c r="I23" s="5">
        <f t="shared" si="17"/>
        <v>12007.900042782323</v>
      </c>
      <c r="J23" s="5">
        <f t="shared" si="19"/>
        <v>2263719.6479695914</v>
      </c>
      <c r="K23" s="5">
        <f t="shared" si="5"/>
        <v>118.10244444444449</v>
      </c>
      <c r="L23" s="5">
        <f t="shared" si="20"/>
        <v>13613.447666666672</v>
      </c>
      <c r="M23" s="5">
        <f t="shared" si="21"/>
        <v>304945.93967133411</v>
      </c>
      <c r="N23" s="5">
        <f t="shared" si="22"/>
        <v>541226.29170174105</v>
      </c>
      <c r="O23" s="13">
        <f t="shared" si="23"/>
        <v>2</v>
      </c>
      <c r="Q23">
        <f t="shared" si="6"/>
        <v>20</v>
      </c>
      <c r="R23">
        <f t="shared" si="7"/>
        <v>2028</v>
      </c>
      <c r="S23">
        <f t="shared" si="8"/>
        <v>8</v>
      </c>
      <c r="T23" s="5">
        <f t="shared" si="24"/>
        <v>2290191.9478964382</v>
      </c>
      <c r="U23" s="5">
        <f t="shared" si="9"/>
        <v>15267.946319309589</v>
      </c>
      <c r="V23" s="5">
        <f t="shared" si="10"/>
        <v>27061.314585087039</v>
      </c>
      <c r="W23" s="5">
        <f t="shared" si="25"/>
        <v>11793.36826577745</v>
      </c>
      <c r="X23" s="5">
        <f t="shared" si="26"/>
        <v>2278398.5796306608</v>
      </c>
      <c r="Y23" s="5">
        <f t="shared" si="27"/>
        <v>319624.87133240089</v>
      </c>
      <c r="Z23" s="5">
        <f t="shared" si="28"/>
        <v>541226.29170174105</v>
      </c>
      <c r="AA23" s="13">
        <f t="shared" si="29"/>
        <v>2</v>
      </c>
      <c r="AC23">
        <f t="shared" si="11"/>
        <v>20</v>
      </c>
      <c r="AD23">
        <f t="shared" si="12"/>
        <v>2028</v>
      </c>
      <c r="AE23">
        <f t="shared" si="13"/>
        <v>8</v>
      </c>
      <c r="AF23" s="5">
        <f t="shared" si="30"/>
        <v>2277072.1929092919</v>
      </c>
      <c r="AG23" s="5">
        <f t="shared" si="14"/>
        <v>15180.481286061948</v>
      </c>
      <c r="AH23" s="5">
        <f t="shared" si="15"/>
        <v>27711.314585087039</v>
      </c>
      <c r="AI23" s="5">
        <f t="shared" si="31"/>
        <v>12530.833299025091</v>
      </c>
      <c r="AJ23" s="5">
        <f t="shared" si="32"/>
        <v>2264541.359610267</v>
      </c>
      <c r="AK23" s="5">
        <f t="shared" si="33"/>
        <v>318767.65131200786</v>
      </c>
      <c r="AL23" s="5">
        <f t="shared" si="34"/>
        <v>554226.29170174093</v>
      </c>
      <c r="AM23" s="13">
        <f t="shared" si="35"/>
        <v>2</v>
      </c>
    </row>
    <row r="24" spans="1:39" x14ac:dyDescent="0.35">
      <c r="A24">
        <f t="shared" si="0"/>
        <v>21</v>
      </c>
      <c r="B24">
        <f t="shared" si="1"/>
        <v>2028</v>
      </c>
      <c r="C24">
        <f t="shared" si="2"/>
        <v>9</v>
      </c>
      <c r="D24" s="5">
        <f t="shared" si="18"/>
        <v>2263719.6479695914</v>
      </c>
      <c r="E24" s="5">
        <f>IFERROR(IF($A24="", "", _xlfn.XLOOKUP(A24,Offset!A:A,Offset!I:I, 0)), 0)</f>
        <v>19929.787500000006</v>
      </c>
      <c r="F24" s="5">
        <f t="shared" si="16"/>
        <v>2243789.8604695913</v>
      </c>
      <c r="G24" s="5">
        <f t="shared" si="3"/>
        <v>14958.599069797276</v>
      </c>
      <c r="H24" s="5">
        <f t="shared" si="4"/>
        <v>27061.314585087039</v>
      </c>
      <c r="I24" s="5">
        <f t="shared" si="17"/>
        <v>12102.715515289763</v>
      </c>
      <c r="J24" s="5">
        <f t="shared" si="19"/>
        <v>2251616.9324543015</v>
      </c>
      <c r="K24" s="5">
        <f t="shared" si="5"/>
        <v>132.86525000000006</v>
      </c>
      <c r="L24" s="5">
        <f t="shared" si="20"/>
        <v>13746.312916666673</v>
      </c>
      <c r="M24" s="5">
        <f t="shared" si="21"/>
        <v>319904.53874113137</v>
      </c>
      <c r="N24" s="5">
        <f t="shared" si="22"/>
        <v>568287.60628682806</v>
      </c>
      <c r="O24" s="13">
        <f t="shared" si="23"/>
        <v>2</v>
      </c>
      <c r="Q24">
        <f t="shared" si="6"/>
        <v>21</v>
      </c>
      <c r="R24">
        <f t="shared" si="7"/>
        <v>2028</v>
      </c>
      <c r="S24">
        <f t="shared" si="8"/>
        <v>9</v>
      </c>
      <c r="T24" s="5">
        <f t="shared" si="24"/>
        <v>2278398.5796306608</v>
      </c>
      <c r="U24" s="5">
        <f t="shared" si="9"/>
        <v>15189.323864204407</v>
      </c>
      <c r="V24" s="5">
        <f t="shared" si="10"/>
        <v>27061.314585087039</v>
      </c>
      <c r="W24" s="5">
        <f t="shared" si="25"/>
        <v>11871.990720882632</v>
      </c>
      <c r="X24" s="5">
        <f t="shared" si="26"/>
        <v>2266526.5889097783</v>
      </c>
      <c r="Y24" s="5">
        <f t="shared" si="27"/>
        <v>334814.19519660529</v>
      </c>
      <c r="Z24" s="5">
        <f t="shared" si="28"/>
        <v>568287.60628682806</v>
      </c>
      <c r="AA24" s="13">
        <f t="shared" si="29"/>
        <v>2</v>
      </c>
      <c r="AC24">
        <f t="shared" si="11"/>
        <v>21</v>
      </c>
      <c r="AD24">
        <f t="shared" si="12"/>
        <v>2028</v>
      </c>
      <c r="AE24">
        <f t="shared" si="13"/>
        <v>9</v>
      </c>
      <c r="AF24" s="5">
        <f t="shared" si="30"/>
        <v>2264541.359610267</v>
      </c>
      <c r="AG24" s="5">
        <f t="shared" si="14"/>
        <v>15096.942397401781</v>
      </c>
      <c r="AH24" s="5">
        <f t="shared" si="15"/>
        <v>27711.314585087039</v>
      </c>
      <c r="AI24" s="5">
        <f t="shared" si="31"/>
        <v>12614.372187685258</v>
      </c>
      <c r="AJ24" s="5">
        <f t="shared" si="32"/>
        <v>2251926.9874225818</v>
      </c>
      <c r="AK24" s="5">
        <f t="shared" si="33"/>
        <v>333864.59370940964</v>
      </c>
      <c r="AL24" s="5">
        <f t="shared" si="34"/>
        <v>581937.60628682794</v>
      </c>
      <c r="AM24" s="13">
        <f t="shared" si="35"/>
        <v>2</v>
      </c>
    </row>
    <row r="25" spans="1:39" x14ac:dyDescent="0.35">
      <c r="A25">
        <f t="shared" si="0"/>
        <v>22</v>
      </c>
      <c r="B25">
        <f t="shared" si="1"/>
        <v>2028</v>
      </c>
      <c r="C25">
        <f t="shared" si="2"/>
        <v>10</v>
      </c>
      <c r="D25" s="5">
        <f t="shared" si="18"/>
        <v>2251616.9324543015</v>
      </c>
      <c r="E25" s="5">
        <f>IFERROR(IF($A25="", "", _xlfn.XLOOKUP(A25,Offset!A:A,Offset!I:I, 0)), 0)</f>
        <v>22144.208333333339</v>
      </c>
      <c r="F25" s="5">
        <f t="shared" si="16"/>
        <v>2229472.724120968</v>
      </c>
      <c r="G25" s="5">
        <f t="shared" si="3"/>
        <v>14863.151494139787</v>
      </c>
      <c r="H25" s="5">
        <f t="shared" si="4"/>
        <v>27061.314585087039</v>
      </c>
      <c r="I25" s="5">
        <f t="shared" si="17"/>
        <v>12198.163090947251</v>
      </c>
      <c r="J25" s="5">
        <f t="shared" si="19"/>
        <v>2239418.7693633544</v>
      </c>
      <c r="K25" s="5">
        <f t="shared" si="5"/>
        <v>147.62805555555562</v>
      </c>
      <c r="L25" s="5">
        <f t="shared" si="20"/>
        <v>13893.940972222228</v>
      </c>
      <c r="M25" s="5">
        <f t="shared" si="21"/>
        <v>334767.69023527118</v>
      </c>
      <c r="N25" s="5">
        <f t="shared" si="22"/>
        <v>595348.92087191506</v>
      </c>
      <c r="O25" s="13">
        <f t="shared" si="23"/>
        <v>2</v>
      </c>
      <c r="Q25">
        <f t="shared" si="6"/>
        <v>22</v>
      </c>
      <c r="R25">
        <f t="shared" si="7"/>
        <v>2028</v>
      </c>
      <c r="S25">
        <f t="shared" si="8"/>
        <v>10</v>
      </c>
      <c r="T25" s="5">
        <f t="shared" si="24"/>
        <v>2266526.5889097783</v>
      </c>
      <c r="U25" s="5">
        <f t="shared" si="9"/>
        <v>15110.177259398522</v>
      </c>
      <c r="V25" s="5">
        <f t="shared" si="10"/>
        <v>27061.314585087039</v>
      </c>
      <c r="W25" s="5">
        <f t="shared" si="25"/>
        <v>11951.137325688516</v>
      </c>
      <c r="X25" s="5">
        <f t="shared" si="26"/>
        <v>2254575.4515840895</v>
      </c>
      <c r="Y25" s="5">
        <f t="shared" si="27"/>
        <v>349924.3724560038</v>
      </c>
      <c r="Z25" s="5">
        <f t="shared" si="28"/>
        <v>595348.92087191506</v>
      </c>
      <c r="AA25" s="13">
        <f t="shared" si="29"/>
        <v>2</v>
      </c>
      <c r="AC25">
        <f t="shared" si="11"/>
        <v>22</v>
      </c>
      <c r="AD25">
        <f t="shared" si="12"/>
        <v>2028</v>
      </c>
      <c r="AE25">
        <f t="shared" si="13"/>
        <v>10</v>
      </c>
      <c r="AF25" s="5">
        <f t="shared" si="30"/>
        <v>2251926.9874225818</v>
      </c>
      <c r="AG25" s="5">
        <f t="shared" si="14"/>
        <v>15012.846582817212</v>
      </c>
      <c r="AH25" s="5">
        <f t="shared" si="15"/>
        <v>27711.314585087039</v>
      </c>
      <c r="AI25" s="5">
        <f t="shared" si="31"/>
        <v>12698.468002269827</v>
      </c>
      <c r="AJ25" s="5">
        <f t="shared" si="32"/>
        <v>2239228.5194203118</v>
      </c>
      <c r="AK25" s="5">
        <f t="shared" si="33"/>
        <v>348877.44029222685</v>
      </c>
      <c r="AL25" s="5">
        <f t="shared" si="34"/>
        <v>609648.92087191495</v>
      </c>
      <c r="AM25" s="13">
        <f t="shared" si="35"/>
        <v>2</v>
      </c>
    </row>
    <row r="26" spans="1:39" ht="13.5" customHeight="1" x14ac:dyDescent="0.35">
      <c r="A26">
        <f t="shared" si="0"/>
        <v>23</v>
      </c>
      <c r="B26">
        <f t="shared" si="1"/>
        <v>2028</v>
      </c>
      <c r="C26">
        <f t="shared" si="2"/>
        <v>11</v>
      </c>
      <c r="D26" s="5">
        <f t="shared" si="18"/>
        <v>2239418.7693633544</v>
      </c>
      <c r="E26" s="5">
        <f>IFERROR(IF($A26="", "", _xlfn.XLOOKUP(A26,Offset!A:A,Offset!I:I, 0)), 0)</f>
        <v>24358.629166666673</v>
      </c>
      <c r="F26" s="5">
        <f t="shared" si="16"/>
        <v>2215060.1401966875</v>
      </c>
      <c r="G26" s="5">
        <f t="shared" si="3"/>
        <v>14767.067601311252</v>
      </c>
      <c r="H26" s="5">
        <f t="shared" si="4"/>
        <v>27061.314585087039</v>
      </c>
      <c r="I26" s="5">
        <f t="shared" si="17"/>
        <v>12294.246983775787</v>
      </c>
      <c r="J26" s="5">
        <f t="shared" si="19"/>
        <v>2227124.5223795786</v>
      </c>
      <c r="K26" s="5">
        <f t="shared" si="5"/>
        <v>162.39086111111115</v>
      </c>
      <c r="L26" s="5">
        <f t="shared" si="20"/>
        <v>14056.331833333339</v>
      </c>
      <c r="M26" s="5">
        <f t="shared" si="21"/>
        <v>349534.75783658243</v>
      </c>
      <c r="N26" s="5">
        <f t="shared" si="22"/>
        <v>622410.23545700207</v>
      </c>
      <c r="O26" s="13">
        <f t="shared" si="23"/>
        <v>2</v>
      </c>
      <c r="Q26">
        <f t="shared" si="6"/>
        <v>23</v>
      </c>
      <c r="R26">
        <f t="shared" si="7"/>
        <v>2028</v>
      </c>
      <c r="S26">
        <f t="shared" si="8"/>
        <v>11</v>
      </c>
      <c r="T26" s="5">
        <f t="shared" si="24"/>
        <v>2254575.4515840895</v>
      </c>
      <c r="U26" s="5">
        <f t="shared" si="9"/>
        <v>15030.503010560598</v>
      </c>
      <c r="V26" s="5">
        <f t="shared" si="10"/>
        <v>27061.314585087039</v>
      </c>
      <c r="W26" s="5">
        <f t="shared" si="25"/>
        <v>12030.81157452644</v>
      </c>
      <c r="X26" s="5">
        <f t="shared" si="26"/>
        <v>2242544.640009563</v>
      </c>
      <c r="Y26" s="5">
        <f t="shared" si="27"/>
        <v>364954.87546656438</v>
      </c>
      <c r="Z26" s="5">
        <f t="shared" si="28"/>
        <v>622410.23545700207</v>
      </c>
      <c r="AA26" s="13">
        <f t="shared" si="29"/>
        <v>2</v>
      </c>
      <c r="AC26">
        <f t="shared" si="11"/>
        <v>23</v>
      </c>
      <c r="AD26">
        <f t="shared" si="12"/>
        <v>2028</v>
      </c>
      <c r="AE26">
        <f t="shared" si="13"/>
        <v>11</v>
      </c>
      <c r="AF26" s="5">
        <f t="shared" si="30"/>
        <v>2239228.5194203118</v>
      </c>
      <c r="AG26" s="5">
        <f t="shared" si="14"/>
        <v>14928.190129468747</v>
      </c>
      <c r="AH26" s="5">
        <f t="shared" si="15"/>
        <v>27711.314585087039</v>
      </c>
      <c r="AI26" s="5">
        <f t="shared" si="31"/>
        <v>12783.124455618292</v>
      </c>
      <c r="AJ26" s="5">
        <f t="shared" si="32"/>
        <v>2226445.3949646936</v>
      </c>
      <c r="AK26" s="5">
        <f t="shared" si="33"/>
        <v>363805.63042169559</v>
      </c>
      <c r="AL26" s="5">
        <f t="shared" si="34"/>
        <v>637360.23545700195</v>
      </c>
      <c r="AM26" s="13">
        <f t="shared" si="35"/>
        <v>2</v>
      </c>
    </row>
    <row r="27" spans="1:39" x14ac:dyDescent="0.35">
      <c r="A27">
        <f t="shared" si="0"/>
        <v>24</v>
      </c>
      <c r="B27">
        <f t="shared" si="1"/>
        <v>2028</v>
      </c>
      <c r="C27">
        <f t="shared" si="2"/>
        <v>12</v>
      </c>
      <c r="D27" s="5">
        <f t="shared" si="18"/>
        <v>2227124.5223795786</v>
      </c>
      <c r="E27" s="5">
        <f>IFERROR(IF($A27="", "", _xlfn.XLOOKUP(A27,Offset!A:A,Offset!I:I, 0)), 0)</f>
        <v>26573.050000000007</v>
      </c>
      <c r="F27" s="5">
        <f t="shared" si="16"/>
        <v>2200551.4723795787</v>
      </c>
      <c r="G27" s="5">
        <f t="shared" si="3"/>
        <v>14670.343149197193</v>
      </c>
      <c r="H27" s="5">
        <f t="shared" si="4"/>
        <v>27061.314585087039</v>
      </c>
      <c r="I27" s="5">
        <f t="shared" si="17"/>
        <v>12390.971435889845</v>
      </c>
      <c r="J27" s="5">
        <f t="shared" si="19"/>
        <v>2214733.5509436885</v>
      </c>
      <c r="K27" s="5">
        <f t="shared" si="5"/>
        <v>177.15366666666671</v>
      </c>
      <c r="L27" s="5">
        <f t="shared" si="20"/>
        <v>14233.485500000006</v>
      </c>
      <c r="M27" s="5">
        <f t="shared" si="21"/>
        <v>364205.1009857796</v>
      </c>
      <c r="N27" s="5">
        <f t="shared" si="22"/>
        <v>649471.55004208907</v>
      </c>
      <c r="O27" s="13">
        <f t="shared" si="23"/>
        <v>2</v>
      </c>
      <c r="Q27">
        <f t="shared" si="6"/>
        <v>24</v>
      </c>
      <c r="R27">
        <f t="shared" si="7"/>
        <v>2028</v>
      </c>
      <c r="S27">
        <f t="shared" si="8"/>
        <v>12</v>
      </c>
      <c r="T27" s="5">
        <f t="shared" si="24"/>
        <v>2242544.640009563</v>
      </c>
      <c r="U27" s="5">
        <f t="shared" si="9"/>
        <v>14950.297600063754</v>
      </c>
      <c r="V27" s="5">
        <f t="shared" si="10"/>
        <v>27061.314585087039</v>
      </c>
      <c r="W27" s="5">
        <f t="shared" si="25"/>
        <v>12111.016985023285</v>
      </c>
      <c r="X27" s="5">
        <f t="shared" si="26"/>
        <v>2230433.6230245396</v>
      </c>
      <c r="Y27" s="5">
        <f t="shared" si="27"/>
        <v>379905.17306662811</v>
      </c>
      <c r="Z27" s="5">
        <f t="shared" si="28"/>
        <v>649471.55004208907</v>
      </c>
      <c r="AA27" s="13">
        <f t="shared" si="29"/>
        <v>2</v>
      </c>
      <c r="AC27">
        <f t="shared" si="11"/>
        <v>24</v>
      </c>
      <c r="AD27">
        <f t="shared" si="12"/>
        <v>2028</v>
      </c>
      <c r="AE27">
        <f t="shared" si="13"/>
        <v>12</v>
      </c>
      <c r="AF27" s="5">
        <f t="shared" si="30"/>
        <v>2226445.3949646936</v>
      </c>
      <c r="AG27" s="5">
        <f t="shared" si="14"/>
        <v>14842.969299764625</v>
      </c>
      <c r="AH27" s="5">
        <f t="shared" si="15"/>
        <v>27711.314585087039</v>
      </c>
      <c r="AI27" s="5">
        <f t="shared" si="31"/>
        <v>12868.345285322413</v>
      </c>
      <c r="AJ27" s="5">
        <f t="shared" si="32"/>
        <v>2213577.0496793711</v>
      </c>
      <c r="AK27" s="5">
        <f t="shared" si="33"/>
        <v>378648.5997214602</v>
      </c>
      <c r="AL27" s="5">
        <f t="shared" si="34"/>
        <v>665071.55004208896</v>
      </c>
      <c r="AM27" s="13">
        <f t="shared" si="35"/>
        <v>2</v>
      </c>
    </row>
    <row r="28" spans="1:39" x14ac:dyDescent="0.35">
      <c r="A28">
        <f t="shared" si="0"/>
        <v>25</v>
      </c>
      <c r="B28">
        <f t="shared" si="1"/>
        <v>2029</v>
      </c>
      <c r="C28">
        <f t="shared" si="2"/>
        <v>1</v>
      </c>
      <c r="D28" s="5">
        <f t="shared" si="18"/>
        <v>2214733.5509436885</v>
      </c>
      <c r="E28" s="5">
        <f>IFERROR(IF($A28="", "", _xlfn.XLOOKUP(A28,Offset!A:A,Offset!I:I, 0)), 0)</f>
        <v>2671.9688541666674</v>
      </c>
      <c r="F28" s="5">
        <f t="shared" si="16"/>
        <v>2212061.5820895219</v>
      </c>
      <c r="G28" s="5">
        <f t="shared" si="3"/>
        <v>14747.077213930148</v>
      </c>
      <c r="H28" s="5">
        <f t="shared" si="4"/>
        <v>27061.314585087039</v>
      </c>
      <c r="I28" s="5">
        <f t="shared" si="17"/>
        <v>12314.237371156891</v>
      </c>
      <c r="J28" s="5">
        <f t="shared" si="19"/>
        <v>2202419.3135725316</v>
      </c>
      <c r="K28" s="5">
        <f t="shared" si="5"/>
        <v>17.813125694444452</v>
      </c>
      <c r="L28" s="5">
        <f t="shared" si="20"/>
        <v>14251.298625694451</v>
      </c>
      <c r="M28" s="5">
        <f t="shared" si="21"/>
        <v>378952.17819970974</v>
      </c>
      <c r="N28" s="5">
        <f t="shared" si="22"/>
        <v>676532.86462717608</v>
      </c>
      <c r="O28" s="13">
        <f t="shared" si="23"/>
        <v>3</v>
      </c>
      <c r="Q28">
        <f t="shared" si="6"/>
        <v>25</v>
      </c>
      <c r="R28">
        <f t="shared" si="7"/>
        <v>2029</v>
      </c>
      <c r="S28">
        <f t="shared" si="8"/>
        <v>1</v>
      </c>
      <c r="T28" s="5">
        <f t="shared" si="24"/>
        <v>2230433.6230245396</v>
      </c>
      <c r="U28" s="5">
        <f t="shared" si="9"/>
        <v>14869.557486830265</v>
      </c>
      <c r="V28" s="5">
        <f t="shared" si="10"/>
        <v>27061.314585087039</v>
      </c>
      <c r="W28" s="5">
        <f t="shared" si="25"/>
        <v>12191.757098256774</v>
      </c>
      <c r="X28" s="5">
        <f t="shared" si="26"/>
        <v>2218241.8659262829</v>
      </c>
      <c r="Y28" s="5">
        <f t="shared" si="27"/>
        <v>394774.73055345839</v>
      </c>
      <c r="Z28" s="5">
        <f t="shared" si="28"/>
        <v>676532.86462717608</v>
      </c>
      <c r="AA28" s="13">
        <f t="shared" si="29"/>
        <v>3</v>
      </c>
      <c r="AC28">
        <f t="shared" si="11"/>
        <v>25</v>
      </c>
      <c r="AD28">
        <f t="shared" si="12"/>
        <v>2029</v>
      </c>
      <c r="AE28">
        <f t="shared" si="13"/>
        <v>1</v>
      </c>
      <c r="AF28" s="5">
        <f t="shared" si="30"/>
        <v>2213577.0496793711</v>
      </c>
      <c r="AG28" s="5">
        <f t="shared" si="14"/>
        <v>14757.180331195808</v>
      </c>
      <c r="AH28" s="5">
        <f t="shared" si="15"/>
        <v>27711.314585087039</v>
      </c>
      <c r="AI28" s="5">
        <f t="shared" si="31"/>
        <v>12954.13425389123</v>
      </c>
      <c r="AJ28" s="5">
        <f t="shared" si="32"/>
        <v>2200622.9154254799</v>
      </c>
      <c r="AK28" s="5">
        <f t="shared" si="33"/>
        <v>393405.78005265602</v>
      </c>
      <c r="AL28" s="5">
        <f t="shared" si="34"/>
        <v>692782.86462717596</v>
      </c>
      <c r="AM28" s="13">
        <f t="shared" si="35"/>
        <v>3</v>
      </c>
    </row>
    <row r="29" spans="1:39" x14ac:dyDescent="0.35">
      <c r="A29">
        <f t="shared" si="0"/>
        <v>26</v>
      </c>
      <c r="B29">
        <f t="shared" si="1"/>
        <v>2029</v>
      </c>
      <c r="C29">
        <f t="shared" si="2"/>
        <v>2</v>
      </c>
      <c r="D29" s="5">
        <f t="shared" si="18"/>
        <v>2202419.3135725316</v>
      </c>
      <c r="E29" s="5">
        <f>IFERROR(IF($A29="", "", _xlfn.XLOOKUP(A29,Offset!A:A,Offset!I:I, 0)), 0)</f>
        <v>5343.9377083333347</v>
      </c>
      <c r="F29" s="5">
        <f t="shared" si="16"/>
        <v>2197075.3758641984</v>
      </c>
      <c r="G29" s="5">
        <f t="shared" si="3"/>
        <v>14647.16917242799</v>
      </c>
      <c r="H29" s="5">
        <f t="shared" si="4"/>
        <v>27061.314585087039</v>
      </c>
      <c r="I29" s="5">
        <f t="shared" si="17"/>
        <v>12414.145412659049</v>
      </c>
      <c r="J29" s="5">
        <f t="shared" si="19"/>
        <v>2190005.1681598723</v>
      </c>
      <c r="K29" s="5">
        <f t="shared" si="5"/>
        <v>35.626251388888903</v>
      </c>
      <c r="L29" s="5">
        <f t="shared" si="20"/>
        <v>14286.92487708334</v>
      </c>
      <c r="M29" s="5">
        <f t="shared" si="21"/>
        <v>393599.34737213771</v>
      </c>
      <c r="N29" s="5">
        <f t="shared" si="22"/>
        <v>703594.17921226309</v>
      </c>
      <c r="O29" s="13">
        <f t="shared" si="23"/>
        <v>3</v>
      </c>
      <c r="Q29">
        <f t="shared" si="6"/>
        <v>26</v>
      </c>
      <c r="R29">
        <f t="shared" si="7"/>
        <v>2029</v>
      </c>
      <c r="S29">
        <f t="shared" si="8"/>
        <v>2</v>
      </c>
      <c r="T29" s="5">
        <f t="shared" si="24"/>
        <v>2218241.8659262829</v>
      </c>
      <c r="U29" s="5">
        <f t="shared" si="9"/>
        <v>14788.279106175221</v>
      </c>
      <c r="V29" s="5">
        <f t="shared" si="10"/>
        <v>27061.314585087039</v>
      </c>
      <c r="W29" s="5">
        <f t="shared" si="25"/>
        <v>12273.035478911817</v>
      </c>
      <c r="X29" s="5">
        <f t="shared" si="26"/>
        <v>2205968.8304473711</v>
      </c>
      <c r="Y29" s="5">
        <f t="shared" si="27"/>
        <v>409563.00965963362</v>
      </c>
      <c r="Z29" s="5">
        <f t="shared" si="28"/>
        <v>703594.17921226309</v>
      </c>
      <c r="AA29" s="13">
        <f t="shared" si="29"/>
        <v>3</v>
      </c>
      <c r="AC29">
        <f t="shared" si="11"/>
        <v>26</v>
      </c>
      <c r="AD29">
        <f t="shared" si="12"/>
        <v>2029</v>
      </c>
      <c r="AE29">
        <f t="shared" si="13"/>
        <v>2</v>
      </c>
      <c r="AF29" s="5">
        <f t="shared" si="30"/>
        <v>2200622.9154254799</v>
      </c>
      <c r="AG29" s="5">
        <f t="shared" si="14"/>
        <v>14670.819436169866</v>
      </c>
      <c r="AH29" s="5">
        <f t="shared" si="15"/>
        <v>27711.314585087039</v>
      </c>
      <c r="AI29" s="5">
        <f t="shared" si="31"/>
        <v>13040.495148917173</v>
      </c>
      <c r="AJ29" s="5">
        <f t="shared" si="32"/>
        <v>2187582.4202765627</v>
      </c>
      <c r="AK29" s="5">
        <f t="shared" si="33"/>
        <v>408076.59948882589</v>
      </c>
      <c r="AL29" s="5">
        <f t="shared" si="34"/>
        <v>720494.17921226297</v>
      </c>
      <c r="AM29" s="13">
        <f t="shared" si="35"/>
        <v>3</v>
      </c>
    </row>
    <row r="30" spans="1:39" x14ac:dyDescent="0.35">
      <c r="A30">
        <f t="shared" si="0"/>
        <v>27</v>
      </c>
      <c r="B30">
        <f t="shared" si="1"/>
        <v>2029</v>
      </c>
      <c r="C30">
        <f t="shared" si="2"/>
        <v>3</v>
      </c>
      <c r="D30" s="5">
        <f t="shared" si="18"/>
        <v>2190005.1681598723</v>
      </c>
      <c r="E30" s="5">
        <f>IFERROR(IF($A30="", "", _xlfn.XLOOKUP(A30,Offset!A:A,Offset!I:I, 0)), 0)</f>
        <v>8015.9065625000021</v>
      </c>
      <c r="F30" s="5">
        <f t="shared" si="16"/>
        <v>2181989.2615973721</v>
      </c>
      <c r="G30" s="5">
        <f t="shared" si="3"/>
        <v>14546.595077315815</v>
      </c>
      <c r="H30" s="5">
        <f t="shared" si="4"/>
        <v>27061.314585087039</v>
      </c>
      <c r="I30" s="5">
        <f t="shared" si="17"/>
        <v>12514.719507771224</v>
      </c>
      <c r="J30" s="5">
        <f t="shared" si="19"/>
        <v>2177490.4486521012</v>
      </c>
      <c r="K30" s="5">
        <f t="shared" si="5"/>
        <v>53.439377083333348</v>
      </c>
      <c r="L30" s="5">
        <f t="shared" si="20"/>
        <v>14340.364254166674</v>
      </c>
      <c r="M30" s="5">
        <f t="shared" si="21"/>
        <v>408145.94244945352</v>
      </c>
      <c r="N30" s="5">
        <f t="shared" si="22"/>
        <v>730655.49379735009</v>
      </c>
      <c r="O30" s="13">
        <f t="shared" si="23"/>
        <v>3</v>
      </c>
      <c r="Q30">
        <f t="shared" si="6"/>
        <v>27</v>
      </c>
      <c r="R30">
        <f t="shared" si="7"/>
        <v>2029</v>
      </c>
      <c r="S30">
        <f t="shared" si="8"/>
        <v>3</v>
      </c>
      <c r="T30" s="5">
        <f t="shared" si="24"/>
        <v>2205968.8304473711</v>
      </c>
      <c r="U30" s="5">
        <f t="shared" si="9"/>
        <v>14706.458869649141</v>
      </c>
      <c r="V30" s="5">
        <f t="shared" si="10"/>
        <v>27061.314585087039</v>
      </c>
      <c r="W30" s="5">
        <f t="shared" si="25"/>
        <v>12354.855715437898</v>
      </c>
      <c r="X30" s="5">
        <f t="shared" si="26"/>
        <v>2193613.9747319333</v>
      </c>
      <c r="Y30" s="5">
        <f t="shared" si="27"/>
        <v>424269.46852928278</v>
      </c>
      <c r="Z30" s="5">
        <f t="shared" si="28"/>
        <v>730655.49379735009</v>
      </c>
      <c r="AA30" s="13">
        <f t="shared" si="29"/>
        <v>3</v>
      </c>
      <c r="AC30">
        <f t="shared" si="11"/>
        <v>27</v>
      </c>
      <c r="AD30">
        <f t="shared" si="12"/>
        <v>2029</v>
      </c>
      <c r="AE30">
        <f t="shared" si="13"/>
        <v>3</v>
      </c>
      <c r="AF30" s="5">
        <f t="shared" si="30"/>
        <v>2187582.4202765627</v>
      </c>
      <c r="AG30" s="5">
        <f t="shared" si="14"/>
        <v>14583.882801843753</v>
      </c>
      <c r="AH30" s="5">
        <f t="shared" si="15"/>
        <v>27711.314585087039</v>
      </c>
      <c r="AI30" s="5">
        <f t="shared" si="31"/>
        <v>13127.431783243286</v>
      </c>
      <c r="AJ30" s="5">
        <f t="shared" si="32"/>
        <v>2174454.9884933196</v>
      </c>
      <c r="AK30" s="5">
        <f t="shared" si="33"/>
        <v>422660.48229066964</v>
      </c>
      <c r="AL30" s="5">
        <f t="shared" si="34"/>
        <v>748205.49379734998</v>
      </c>
      <c r="AM30" s="13">
        <f t="shared" si="35"/>
        <v>3</v>
      </c>
    </row>
    <row r="31" spans="1:39" x14ac:dyDescent="0.35">
      <c r="A31">
        <f t="shared" si="0"/>
        <v>28</v>
      </c>
      <c r="B31">
        <f t="shared" si="1"/>
        <v>2029</v>
      </c>
      <c r="C31">
        <f t="shared" si="2"/>
        <v>4</v>
      </c>
      <c r="D31" s="5">
        <f t="shared" si="18"/>
        <v>2177490.4486521012</v>
      </c>
      <c r="E31" s="5">
        <f>IFERROR(IF($A31="", "", _xlfn.XLOOKUP(A31,Offset!A:A,Offset!I:I, 0)), 0)</f>
        <v>10687.875416666669</v>
      </c>
      <c r="F31" s="5">
        <f t="shared" si="16"/>
        <v>2166802.5732354345</v>
      </c>
      <c r="G31" s="5">
        <f t="shared" si="3"/>
        <v>14445.35048823623</v>
      </c>
      <c r="H31" s="5">
        <f t="shared" si="4"/>
        <v>27061.314585087039</v>
      </c>
      <c r="I31" s="5">
        <f t="shared" si="17"/>
        <v>12615.964096850808</v>
      </c>
      <c r="J31" s="5">
        <f t="shared" si="19"/>
        <v>2164874.4845552505</v>
      </c>
      <c r="K31" s="5">
        <f t="shared" si="5"/>
        <v>71.252502777777806</v>
      </c>
      <c r="L31" s="5">
        <f t="shared" si="20"/>
        <v>14411.616756944451</v>
      </c>
      <c r="M31" s="5">
        <f t="shared" si="21"/>
        <v>422591.29293768975</v>
      </c>
      <c r="N31" s="5">
        <f t="shared" si="22"/>
        <v>757716.8083824371</v>
      </c>
      <c r="O31" s="13">
        <f t="shared" si="23"/>
        <v>3</v>
      </c>
      <c r="Q31">
        <f t="shared" si="6"/>
        <v>28</v>
      </c>
      <c r="R31">
        <f t="shared" si="7"/>
        <v>2029</v>
      </c>
      <c r="S31">
        <f t="shared" si="8"/>
        <v>4</v>
      </c>
      <c r="T31" s="5">
        <f t="shared" si="24"/>
        <v>2193613.9747319333</v>
      </c>
      <c r="U31" s="5">
        <f t="shared" si="9"/>
        <v>14624.093164879556</v>
      </c>
      <c r="V31" s="5">
        <f t="shared" si="10"/>
        <v>27061.314585087039</v>
      </c>
      <c r="W31" s="5">
        <f t="shared" si="25"/>
        <v>12437.221420207483</v>
      </c>
      <c r="X31" s="5">
        <f t="shared" si="26"/>
        <v>2181176.7533117258</v>
      </c>
      <c r="Y31" s="5">
        <f t="shared" si="27"/>
        <v>438893.56169416232</v>
      </c>
      <c r="Z31" s="5">
        <f t="shared" si="28"/>
        <v>757716.8083824371</v>
      </c>
      <c r="AA31" s="13">
        <f t="shared" si="29"/>
        <v>3</v>
      </c>
      <c r="AC31">
        <f t="shared" si="11"/>
        <v>28</v>
      </c>
      <c r="AD31">
        <f t="shared" si="12"/>
        <v>2029</v>
      </c>
      <c r="AE31">
        <f t="shared" si="13"/>
        <v>4</v>
      </c>
      <c r="AF31" s="5">
        <f t="shared" si="30"/>
        <v>2174454.9884933196</v>
      </c>
      <c r="AG31" s="5">
        <f t="shared" si="14"/>
        <v>14496.366589955465</v>
      </c>
      <c r="AH31" s="5">
        <f t="shared" si="15"/>
        <v>27711.314585087039</v>
      </c>
      <c r="AI31" s="5">
        <f t="shared" si="31"/>
        <v>13214.947995131573</v>
      </c>
      <c r="AJ31" s="5">
        <f t="shared" si="32"/>
        <v>2161240.0404981882</v>
      </c>
      <c r="AK31" s="5">
        <f t="shared" si="33"/>
        <v>437156.8488806251</v>
      </c>
      <c r="AL31" s="5">
        <f t="shared" si="34"/>
        <v>775916.80838243698</v>
      </c>
      <c r="AM31" s="13">
        <f t="shared" si="35"/>
        <v>3</v>
      </c>
    </row>
    <row r="32" spans="1:39" x14ac:dyDescent="0.35">
      <c r="A32">
        <f t="shared" si="0"/>
        <v>29</v>
      </c>
      <c r="B32">
        <f t="shared" si="1"/>
        <v>2029</v>
      </c>
      <c r="C32">
        <f t="shared" si="2"/>
        <v>5</v>
      </c>
      <c r="D32" s="5">
        <f t="shared" si="18"/>
        <v>2164874.4845552505</v>
      </c>
      <c r="E32" s="5">
        <f>IFERROR(IF($A32="", "", _xlfn.XLOOKUP(A32,Offset!A:A,Offset!I:I, 0)), 0)</f>
        <v>13359.844270833337</v>
      </c>
      <c r="F32" s="5">
        <f t="shared" si="16"/>
        <v>2151514.6402844172</v>
      </c>
      <c r="G32" s="5">
        <f t="shared" si="3"/>
        <v>14343.430935229449</v>
      </c>
      <c r="H32" s="5">
        <f t="shared" si="4"/>
        <v>27061.314585087039</v>
      </c>
      <c r="I32" s="5">
        <f t="shared" si="17"/>
        <v>12717.883649857589</v>
      </c>
      <c r="J32" s="5">
        <f t="shared" si="19"/>
        <v>2152156.6009053928</v>
      </c>
      <c r="K32" s="5">
        <f t="shared" si="5"/>
        <v>89.065628472222258</v>
      </c>
      <c r="L32" s="5">
        <f t="shared" si="20"/>
        <v>14500.682385416674</v>
      </c>
      <c r="M32" s="5">
        <f t="shared" si="21"/>
        <v>436934.72387291922</v>
      </c>
      <c r="N32" s="5">
        <f t="shared" si="22"/>
        <v>784778.1229675241</v>
      </c>
      <c r="O32" s="13">
        <f t="shared" si="23"/>
        <v>3</v>
      </c>
      <c r="Q32">
        <f t="shared" si="6"/>
        <v>29</v>
      </c>
      <c r="R32">
        <f t="shared" si="7"/>
        <v>2029</v>
      </c>
      <c r="S32">
        <f t="shared" si="8"/>
        <v>5</v>
      </c>
      <c r="T32" s="5">
        <f t="shared" si="24"/>
        <v>2181176.7533117258</v>
      </c>
      <c r="U32" s="5">
        <f t="shared" si="9"/>
        <v>14541.178355411506</v>
      </c>
      <c r="V32" s="5">
        <f t="shared" si="10"/>
        <v>27061.314585087039</v>
      </c>
      <c r="W32" s="5">
        <f t="shared" si="25"/>
        <v>12520.136229675532</v>
      </c>
      <c r="X32" s="5">
        <f t="shared" si="26"/>
        <v>2168656.6170820501</v>
      </c>
      <c r="Y32" s="5">
        <f t="shared" si="27"/>
        <v>453434.74004957383</v>
      </c>
      <c r="Z32" s="5">
        <f t="shared" si="28"/>
        <v>784778.1229675241</v>
      </c>
      <c r="AA32" s="13">
        <f t="shared" si="29"/>
        <v>3</v>
      </c>
      <c r="AC32">
        <f t="shared" si="11"/>
        <v>29</v>
      </c>
      <c r="AD32">
        <f t="shared" si="12"/>
        <v>2029</v>
      </c>
      <c r="AE32">
        <f t="shared" si="13"/>
        <v>5</v>
      </c>
      <c r="AF32" s="5">
        <f t="shared" si="30"/>
        <v>2161240.0404981882</v>
      </c>
      <c r="AG32" s="5">
        <f t="shared" si="14"/>
        <v>14408.266936654589</v>
      </c>
      <c r="AH32" s="5">
        <f t="shared" si="15"/>
        <v>27711.314585087039</v>
      </c>
      <c r="AI32" s="5">
        <f t="shared" si="31"/>
        <v>13303.04764843245</v>
      </c>
      <c r="AJ32" s="5">
        <f t="shared" si="32"/>
        <v>2147936.9928497556</v>
      </c>
      <c r="AK32" s="5">
        <f t="shared" si="33"/>
        <v>451565.11581727967</v>
      </c>
      <c r="AL32" s="5">
        <f t="shared" si="34"/>
        <v>803628.12296752399</v>
      </c>
      <c r="AM32" s="13">
        <f t="shared" si="35"/>
        <v>3</v>
      </c>
    </row>
    <row r="33" spans="1:39" x14ac:dyDescent="0.35">
      <c r="A33">
        <f t="shared" si="0"/>
        <v>30</v>
      </c>
      <c r="B33">
        <f t="shared" si="1"/>
        <v>2029</v>
      </c>
      <c r="C33">
        <f t="shared" si="2"/>
        <v>6</v>
      </c>
      <c r="D33" s="5">
        <f t="shared" si="18"/>
        <v>2152156.6009053928</v>
      </c>
      <c r="E33" s="5">
        <f>IFERROR(IF($A33="", "", _xlfn.XLOOKUP(A33,Offset!A:A,Offset!I:I, 0)), 0)</f>
        <v>16031.813125000004</v>
      </c>
      <c r="F33" s="5">
        <f t="shared" si="16"/>
        <v>2136124.7877803929</v>
      </c>
      <c r="G33" s="5">
        <f t="shared" si="3"/>
        <v>14240.831918535954</v>
      </c>
      <c r="H33" s="5">
        <f t="shared" si="4"/>
        <v>27061.314585087039</v>
      </c>
      <c r="I33" s="5">
        <f t="shared" si="17"/>
        <v>12820.482666551085</v>
      </c>
      <c r="J33" s="5">
        <f t="shared" si="19"/>
        <v>2139336.1182388416</v>
      </c>
      <c r="K33" s="5">
        <f t="shared" si="5"/>
        <v>106.8787541666667</v>
      </c>
      <c r="L33" s="5">
        <f t="shared" si="20"/>
        <v>14607.56113958334</v>
      </c>
      <c r="M33" s="5">
        <f t="shared" si="21"/>
        <v>451175.55579145515</v>
      </c>
      <c r="N33" s="5">
        <f t="shared" si="22"/>
        <v>811839.43755261111</v>
      </c>
      <c r="O33" s="13">
        <f t="shared" si="23"/>
        <v>3</v>
      </c>
      <c r="Q33">
        <f t="shared" si="6"/>
        <v>30</v>
      </c>
      <c r="R33">
        <f t="shared" si="7"/>
        <v>2029</v>
      </c>
      <c r="S33">
        <f t="shared" si="8"/>
        <v>6</v>
      </c>
      <c r="T33" s="5">
        <f t="shared" si="24"/>
        <v>2168656.6170820501</v>
      </c>
      <c r="U33" s="5">
        <f t="shared" si="9"/>
        <v>14457.710780547002</v>
      </c>
      <c r="V33" s="5">
        <f t="shared" si="10"/>
        <v>27061.314585087039</v>
      </c>
      <c r="W33" s="5">
        <f t="shared" si="25"/>
        <v>12603.603804540036</v>
      </c>
      <c r="X33" s="5">
        <f t="shared" si="26"/>
        <v>2156053.0132775102</v>
      </c>
      <c r="Y33" s="5">
        <f t="shared" si="27"/>
        <v>467892.45083012083</v>
      </c>
      <c r="Z33" s="5">
        <f t="shared" si="28"/>
        <v>811839.43755261111</v>
      </c>
      <c r="AA33" s="13">
        <f t="shared" si="29"/>
        <v>3</v>
      </c>
      <c r="AC33">
        <f t="shared" si="11"/>
        <v>30</v>
      </c>
      <c r="AD33">
        <f t="shared" si="12"/>
        <v>2029</v>
      </c>
      <c r="AE33">
        <f t="shared" si="13"/>
        <v>6</v>
      </c>
      <c r="AF33" s="5">
        <f t="shared" si="30"/>
        <v>2147936.9928497556</v>
      </c>
      <c r="AG33" s="5">
        <f t="shared" si="14"/>
        <v>14319.579952331705</v>
      </c>
      <c r="AH33" s="5">
        <f t="shared" si="15"/>
        <v>27711.314585087039</v>
      </c>
      <c r="AI33" s="5">
        <f t="shared" si="31"/>
        <v>13391.734632755333</v>
      </c>
      <c r="AJ33" s="5">
        <f t="shared" si="32"/>
        <v>2134545.2582170004</v>
      </c>
      <c r="AK33" s="5">
        <f t="shared" si="33"/>
        <v>465884.6957696114</v>
      </c>
      <c r="AL33" s="5">
        <f t="shared" si="34"/>
        <v>831339.43755261099</v>
      </c>
      <c r="AM33" s="13">
        <f t="shared" si="35"/>
        <v>3</v>
      </c>
    </row>
    <row r="34" spans="1:39" x14ac:dyDescent="0.35">
      <c r="A34">
        <f t="shared" si="0"/>
        <v>31</v>
      </c>
      <c r="B34">
        <f t="shared" si="1"/>
        <v>2029</v>
      </c>
      <c r="C34">
        <f t="shared" si="2"/>
        <v>7</v>
      </c>
      <c r="D34" s="5">
        <f t="shared" si="18"/>
        <v>2139336.1182388416</v>
      </c>
      <c r="E34" s="5">
        <f>IFERROR(IF($A34="", "", _xlfn.XLOOKUP(A34,Offset!A:A,Offset!I:I, 0)), 0)</f>
        <v>18703.78197916667</v>
      </c>
      <c r="F34" s="5">
        <f t="shared" si="16"/>
        <v>2120632.3362596752</v>
      </c>
      <c r="G34" s="5">
        <f t="shared" si="3"/>
        <v>14137.548908397835</v>
      </c>
      <c r="H34" s="5">
        <f t="shared" si="4"/>
        <v>27061.314585087039</v>
      </c>
      <c r="I34" s="5">
        <f t="shared" si="17"/>
        <v>12923.765676689203</v>
      </c>
      <c r="J34" s="5">
        <f t="shared" si="19"/>
        <v>2126412.3525621523</v>
      </c>
      <c r="K34" s="5">
        <f t="shared" si="5"/>
        <v>124.69187986111113</v>
      </c>
      <c r="L34" s="5">
        <f t="shared" si="20"/>
        <v>14732.253019444452</v>
      </c>
      <c r="M34" s="5">
        <f t="shared" si="21"/>
        <v>465313.10469985299</v>
      </c>
      <c r="N34" s="5">
        <f t="shared" si="22"/>
        <v>838900.75213769812</v>
      </c>
      <c r="O34" s="13">
        <f t="shared" si="23"/>
        <v>3</v>
      </c>
      <c r="Q34">
        <f t="shared" si="6"/>
        <v>31</v>
      </c>
      <c r="R34">
        <f t="shared" si="7"/>
        <v>2029</v>
      </c>
      <c r="S34">
        <f t="shared" si="8"/>
        <v>7</v>
      </c>
      <c r="T34" s="5">
        <f t="shared" si="24"/>
        <v>2156053.0132775102</v>
      </c>
      <c r="U34" s="5">
        <f t="shared" si="9"/>
        <v>14373.686755183402</v>
      </c>
      <c r="V34" s="5">
        <f t="shared" si="10"/>
        <v>27061.314585087039</v>
      </c>
      <c r="W34" s="5">
        <f t="shared" si="25"/>
        <v>12687.627829903637</v>
      </c>
      <c r="X34" s="5">
        <f t="shared" si="26"/>
        <v>2143365.3854476064</v>
      </c>
      <c r="Y34" s="5">
        <f t="shared" si="27"/>
        <v>482266.13758530421</v>
      </c>
      <c r="Z34" s="5">
        <f t="shared" si="28"/>
        <v>838900.75213769812</v>
      </c>
      <c r="AA34" s="13">
        <f t="shared" si="29"/>
        <v>3</v>
      </c>
      <c r="AC34">
        <f t="shared" si="11"/>
        <v>31</v>
      </c>
      <c r="AD34">
        <f t="shared" si="12"/>
        <v>2029</v>
      </c>
      <c r="AE34">
        <f t="shared" si="13"/>
        <v>7</v>
      </c>
      <c r="AF34" s="5">
        <f t="shared" si="30"/>
        <v>2134545.2582170004</v>
      </c>
      <c r="AG34" s="5">
        <f t="shared" si="14"/>
        <v>14230.301721446671</v>
      </c>
      <c r="AH34" s="5">
        <f t="shared" si="15"/>
        <v>27711.314585087039</v>
      </c>
      <c r="AI34" s="5">
        <f t="shared" si="31"/>
        <v>13481.012863640368</v>
      </c>
      <c r="AJ34" s="5">
        <f t="shared" si="32"/>
        <v>2121064.2453533602</v>
      </c>
      <c r="AK34" s="5">
        <f t="shared" si="33"/>
        <v>480114.99749105808</v>
      </c>
      <c r="AL34" s="5">
        <f t="shared" si="34"/>
        <v>859050.752137698</v>
      </c>
      <c r="AM34" s="13">
        <f t="shared" si="35"/>
        <v>3</v>
      </c>
    </row>
    <row r="35" spans="1:39" x14ac:dyDescent="0.35">
      <c r="A35">
        <f t="shared" si="0"/>
        <v>32</v>
      </c>
      <c r="B35">
        <f t="shared" si="1"/>
        <v>2029</v>
      </c>
      <c r="C35">
        <f t="shared" si="2"/>
        <v>8</v>
      </c>
      <c r="D35" s="5">
        <f t="shared" si="18"/>
        <v>2126412.3525621523</v>
      </c>
      <c r="E35" s="5">
        <f>IFERROR(IF($A35="", "", _xlfn.XLOOKUP(A35,Offset!A:A,Offset!I:I, 0)), 0)</f>
        <v>21375.750833333339</v>
      </c>
      <c r="F35" s="5">
        <f t="shared" si="16"/>
        <v>2105036.6017288188</v>
      </c>
      <c r="G35" s="5">
        <f t="shared" si="3"/>
        <v>14033.577344858793</v>
      </c>
      <c r="H35" s="5">
        <f t="shared" si="4"/>
        <v>27061.314585087039</v>
      </c>
      <c r="I35" s="5">
        <f t="shared" si="17"/>
        <v>13027.737240228245</v>
      </c>
      <c r="J35" s="5">
        <f t="shared" si="19"/>
        <v>2113384.615321924</v>
      </c>
      <c r="K35" s="5">
        <f t="shared" si="5"/>
        <v>142.50500555555561</v>
      </c>
      <c r="L35" s="5">
        <f t="shared" si="20"/>
        <v>14874.758025000006</v>
      </c>
      <c r="M35" s="5">
        <f t="shared" si="21"/>
        <v>479346.68204471178</v>
      </c>
      <c r="N35" s="5">
        <f t="shared" si="22"/>
        <v>865962.06672278512</v>
      </c>
      <c r="O35" s="13">
        <f t="shared" si="23"/>
        <v>3</v>
      </c>
      <c r="Q35">
        <f t="shared" si="6"/>
        <v>32</v>
      </c>
      <c r="R35">
        <f t="shared" si="7"/>
        <v>2029</v>
      </c>
      <c r="S35">
        <f t="shared" si="8"/>
        <v>8</v>
      </c>
      <c r="T35" s="5">
        <f t="shared" si="24"/>
        <v>2143365.3854476064</v>
      </c>
      <c r="U35" s="5">
        <f t="shared" si="9"/>
        <v>14289.102569650711</v>
      </c>
      <c r="V35" s="5">
        <f t="shared" si="10"/>
        <v>27061.314585087039</v>
      </c>
      <c r="W35" s="5">
        <f t="shared" si="25"/>
        <v>12772.212015436327</v>
      </c>
      <c r="X35" s="5">
        <f t="shared" si="26"/>
        <v>2130593.1734321699</v>
      </c>
      <c r="Y35" s="5">
        <f t="shared" si="27"/>
        <v>496555.2401549549</v>
      </c>
      <c r="Z35" s="5">
        <f t="shared" si="28"/>
        <v>865962.06672278512</v>
      </c>
      <c r="AA35" s="13">
        <f t="shared" si="29"/>
        <v>3</v>
      </c>
      <c r="AC35">
        <f t="shared" si="11"/>
        <v>32</v>
      </c>
      <c r="AD35">
        <f t="shared" si="12"/>
        <v>2029</v>
      </c>
      <c r="AE35">
        <f t="shared" si="13"/>
        <v>8</v>
      </c>
      <c r="AF35" s="5">
        <f t="shared" si="30"/>
        <v>2121064.2453533602</v>
      </c>
      <c r="AG35" s="5">
        <f t="shared" si="14"/>
        <v>14140.428302355736</v>
      </c>
      <c r="AH35" s="5">
        <f t="shared" si="15"/>
        <v>27711.314585087039</v>
      </c>
      <c r="AI35" s="5">
        <f t="shared" si="31"/>
        <v>13570.886282731302</v>
      </c>
      <c r="AJ35" s="5">
        <f t="shared" si="32"/>
        <v>2107493.3590706289</v>
      </c>
      <c r="AK35" s="5">
        <f t="shared" si="33"/>
        <v>494255.42579341383</v>
      </c>
      <c r="AL35" s="5">
        <f t="shared" si="34"/>
        <v>886762.06672278501</v>
      </c>
      <c r="AM35" s="13">
        <f t="shared" si="35"/>
        <v>3</v>
      </c>
    </row>
    <row r="36" spans="1:39" x14ac:dyDescent="0.35">
      <c r="A36">
        <f t="shared" ref="A36:A67" si="36">IF(ROW()-3&lt;=TotalPeriods_Loan,ROW()-3,"")</f>
        <v>33</v>
      </c>
      <c r="B36">
        <f t="shared" ref="B36:B67" si="37">IF($A36="", "", YEAR(StartYear) + INT(($A36-1)/PPY_Loan))</f>
        <v>2029</v>
      </c>
      <c r="C36">
        <f t="shared" ref="C36:C67" si="38">IF($A36="", "", MOD(A36-1, PPY_Loan)+1)</f>
        <v>9</v>
      </c>
      <c r="D36" s="5">
        <f t="shared" si="18"/>
        <v>2113384.615321924</v>
      </c>
      <c r="E36" s="5">
        <f>IFERROR(IF($A36="", "", _xlfn.XLOOKUP(A36,Offset!A:A,Offset!I:I, 0)), 0)</f>
        <v>24047.719687500008</v>
      </c>
      <c r="F36" s="5">
        <f t="shared" si="16"/>
        <v>2089336.8956344239</v>
      </c>
      <c r="G36" s="5">
        <f t="shared" ref="G36:G67" si="39">IFERROR(IF($A36="", "", F36*(LoanRate/PPY_Loan)), 0)</f>
        <v>13928.912637562828</v>
      </c>
      <c r="H36" s="5">
        <f t="shared" ref="H36:H67" si="40">IFERROR(IF($A36="", "", IF(D36&lt;=0, 0, MIN(StdPayment, D36+G36))), 0)</f>
        <v>27061.314585087039</v>
      </c>
      <c r="I36" s="5">
        <f t="shared" si="17"/>
        <v>13132.401947524211</v>
      </c>
      <c r="J36" s="5">
        <f t="shared" si="19"/>
        <v>2100252.2133743996</v>
      </c>
      <c r="K36" s="5">
        <f t="shared" ref="K36:K67" si="41">IFERROR(IF($A36="", "", IF(D36&lt;=0, 0, E36*(LoanRate/PPY_Loan))), 0)</f>
        <v>160.31813125000008</v>
      </c>
      <c r="L36" s="5">
        <f t="shared" si="20"/>
        <v>15035.076156250007</v>
      </c>
      <c r="M36" s="5">
        <f t="shared" si="21"/>
        <v>493275.59468227462</v>
      </c>
      <c r="N36" s="5">
        <f t="shared" si="22"/>
        <v>893023.38130787213</v>
      </c>
      <c r="O36" s="13">
        <f t="shared" si="23"/>
        <v>3</v>
      </c>
      <c r="Q36">
        <f t="shared" ref="Q36:Q67" si="42">IF(ROW()-3&lt;=TotalPeriods_Loan,ROW()-3,"")</f>
        <v>33</v>
      </c>
      <c r="R36">
        <f t="shared" ref="R36:R67" si="43">IF($Q36="", "", YEAR(StartYear) + INT(($Q36-1)/PPY_Loan))</f>
        <v>2029</v>
      </c>
      <c r="S36">
        <f t="shared" ref="S36:S67" si="44">IF($Q36="", "", MOD(Q36-1, PPY_Loan)+1)</f>
        <v>9</v>
      </c>
      <c r="T36" s="5">
        <f t="shared" si="24"/>
        <v>2130593.1734321699</v>
      </c>
      <c r="U36" s="5">
        <f t="shared" ref="U36:U67" si="45">IFERROR(IF($Q36="", "", T36*(LoanRate/PPY_Loan)), 0)</f>
        <v>14203.954489547801</v>
      </c>
      <c r="V36" s="5">
        <f t="shared" si="10"/>
        <v>27061.314585087039</v>
      </c>
      <c r="W36" s="5">
        <f t="shared" si="25"/>
        <v>12857.360095539238</v>
      </c>
      <c r="X36" s="5">
        <f t="shared" si="26"/>
        <v>2117735.8133366308</v>
      </c>
      <c r="Y36" s="5">
        <f t="shared" si="27"/>
        <v>510759.19464450271</v>
      </c>
      <c r="Z36" s="5">
        <f t="shared" si="28"/>
        <v>893023.38130787213</v>
      </c>
      <c r="AA36" s="13">
        <f t="shared" si="29"/>
        <v>3</v>
      </c>
      <c r="AC36">
        <f t="shared" ref="AC36:AC67" si="46">IF(ROW()-3&lt;=TotalPeriods_Loan,ROW()-3,"")</f>
        <v>33</v>
      </c>
      <c r="AD36">
        <f t="shared" ref="AD36:AD67" si="47">IF($AC36="", "", YEAR(StartYear) + INT(($AC36-1)/PPY_Loan))</f>
        <v>2029</v>
      </c>
      <c r="AE36">
        <f t="shared" ref="AE36:AE67" si="48">IF($AC36="", "", MOD(AC36-1, PPY_Loan)+1)</f>
        <v>9</v>
      </c>
      <c r="AF36" s="5">
        <f t="shared" si="30"/>
        <v>2107493.3590706289</v>
      </c>
      <c r="AG36" s="5">
        <f t="shared" ref="AG36:AG67" si="49">IFERROR(IF($AC36="", "", AF36*(LoanRate/PPY_Loan)), 0)</f>
        <v>14049.955727137527</v>
      </c>
      <c r="AH36" s="5">
        <f t="shared" si="15"/>
        <v>27711.314585087039</v>
      </c>
      <c r="AI36" s="5">
        <f t="shared" si="31"/>
        <v>13661.358857949512</v>
      </c>
      <c r="AJ36" s="5">
        <f t="shared" si="32"/>
        <v>2093832.0002126794</v>
      </c>
      <c r="AK36" s="5">
        <f t="shared" si="33"/>
        <v>508305.38152055134</v>
      </c>
      <c r="AL36" s="5">
        <f t="shared" si="34"/>
        <v>914473.38130787201</v>
      </c>
      <c r="AM36" s="13">
        <f t="shared" si="35"/>
        <v>3</v>
      </c>
    </row>
    <row r="37" spans="1:39" x14ac:dyDescent="0.35">
      <c r="A37">
        <f t="shared" si="36"/>
        <v>34</v>
      </c>
      <c r="B37">
        <f t="shared" si="37"/>
        <v>2029</v>
      </c>
      <c r="C37">
        <f t="shared" si="38"/>
        <v>10</v>
      </c>
      <c r="D37" s="5">
        <f t="shared" si="18"/>
        <v>2100252.2133743996</v>
      </c>
      <c r="E37" s="5">
        <f>IFERROR(IF($A37="", "", _xlfn.XLOOKUP(A37,Offset!A:A,Offset!I:I, 0)), 0)</f>
        <v>26719.688541666677</v>
      </c>
      <c r="F37" s="5">
        <f t="shared" si="16"/>
        <v>2073532.524832733</v>
      </c>
      <c r="G37" s="5">
        <f t="shared" si="39"/>
        <v>13823.550165551555</v>
      </c>
      <c r="H37" s="5">
        <f t="shared" si="40"/>
        <v>27061.314585087039</v>
      </c>
      <c r="I37" s="5">
        <f t="shared" si="17"/>
        <v>13237.764419535484</v>
      </c>
      <c r="J37" s="5">
        <f t="shared" si="19"/>
        <v>2087014.4489548642</v>
      </c>
      <c r="K37" s="5">
        <f t="shared" si="41"/>
        <v>178.13125694444452</v>
      </c>
      <c r="L37" s="5">
        <f t="shared" si="20"/>
        <v>15213.207413194452</v>
      </c>
      <c r="M37" s="5">
        <f t="shared" si="21"/>
        <v>507099.14484782616</v>
      </c>
      <c r="N37" s="5">
        <f t="shared" si="22"/>
        <v>920084.69589295913</v>
      </c>
      <c r="O37" s="13">
        <f t="shared" si="23"/>
        <v>3</v>
      </c>
      <c r="Q37">
        <f t="shared" si="42"/>
        <v>34</v>
      </c>
      <c r="R37">
        <f t="shared" si="43"/>
        <v>2029</v>
      </c>
      <c r="S37">
        <f t="shared" si="44"/>
        <v>10</v>
      </c>
      <c r="T37" s="5">
        <f t="shared" si="24"/>
        <v>2117735.8133366308</v>
      </c>
      <c r="U37" s="5">
        <f t="shared" si="45"/>
        <v>14118.23875557754</v>
      </c>
      <c r="V37" s="5">
        <f t="shared" si="10"/>
        <v>27061.314585087039</v>
      </c>
      <c r="W37" s="5">
        <f t="shared" si="25"/>
        <v>12943.075829509498</v>
      </c>
      <c r="X37" s="5">
        <f t="shared" si="26"/>
        <v>2104792.7375071212</v>
      </c>
      <c r="Y37" s="5">
        <f t="shared" si="27"/>
        <v>524877.43340008031</v>
      </c>
      <c r="Z37" s="5">
        <f t="shared" si="28"/>
        <v>920084.69589295913</v>
      </c>
      <c r="AA37" s="13">
        <f t="shared" si="29"/>
        <v>3</v>
      </c>
      <c r="AC37">
        <f t="shared" si="46"/>
        <v>34</v>
      </c>
      <c r="AD37">
        <f t="shared" si="47"/>
        <v>2029</v>
      </c>
      <c r="AE37">
        <f t="shared" si="48"/>
        <v>10</v>
      </c>
      <c r="AF37" s="5">
        <f t="shared" si="30"/>
        <v>2093832.0002126794</v>
      </c>
      <c r="AG37" s="5">
        <f t="shared" si="49"/>
        <v>13958.880001417863</v>
      </c>
      <c r="AH37" s="5">
        <f t="shared" si="15"/>
        <v>27711.314585087039</v>
      </c>
      <c r="AI37" s="5">
        <f t="shared" si="31"/>
        <v>13752.434583669175</v>
      </c>
      <c r="AJ37" s="5">
        <f t="shared" si="32"/>
        <v>2080079.5656290103</v>
      </c>
      <c r="AK37" s="5">
        <f t="shared" si="33"/>
        <v>522264.26152196922</v>
      </c>
      <c r="AL37" s="5">
        <f t="shared" si="34"/>
        <v>942184.69589295902</v>
      </c>
      <c r="AM37" s="13">
        <f t="shared" si="35"/>
        <v>3</v>
      </c>
    </row>
    <row r="38" spans="1:39" x14ac:dyDescent="0.35">
      <c r="A38">
        <f t="shared" si="36"/>
        <v>35</v>
      </c>
      <c r="B38">
        <f t="shared" si="37"/>
        <v>2029</v>
      </c>
      <c r="C38">
        <f t="shared" si="38"/>
        <v>11</v>
      </c>
      <c r="D38" s="5">
        <f t="shared" si="18"/>
        <v>2087014.4489548642</v>
      </c>
      <c r="E38" s="5">
        <f>IFERROR(IF($A38="", "", _xlfn.XLOOKUP(A38,Offset!A:A,Offset!I:I, 0)), 0)</f>
        <v>29391.657395833347</v>
      </c>
      <c r="F38" s="5">
        <f t="shared" si="16"/>
        <v>2057622.7915590308</v>
      </c>
      <c r="G38" s="5">
        <f t="shared" si="39"/>
        <v>13717.485277060206</v>
      </c>
      <c r="H38" s="5">
        <f t="shared" si="40"/>
        <v>27061.314585087039</v>
      </c>
      <c r="I38" s="5">
        <f t="shared" si="17"/>
        <v>13343.829308026832</v>
      </c>
      <c r="J38" s="5">
        <f t="shared" si="19"/>
        <v>2073670.6196468372</v>
      </c>
      <c r="K38" s="5">
        <f t="shared" si="41"/>
        <v>195.94438263888898</v>
      </c>
      <c r="L38" s="5">
        <f t="shared" si="20"/>
        <v>15409.151795833341</v>
      </c>
      <c r="M38" s="5">
        <f t="shared" si="21"/>
        <v>520816.63012488635</v>
      </c>
      <c r="N38" s="5">
        <f t="shared" si="22"/>
        <v>947146.01047804614</v>
      </c>
      <c r="O38" s="13">
        <f t="shared" si="23"/>
        <v>3</v>
      </c>
      <c r="Q38">
        <f t="shared" si="42"/>
        <v>35</v>
      </c>
      <c r="R38">
        <f t="shared" si="43"/>
        <v>2029</v>
      </c>
      <c r="S38">
        <f t="shared" si="44"/>
        <v>11</v>
      </c>
      <c r="T38" s="5">
        <f t="shared" si="24"/>
        <v>2104792.7375071212</v>
      </c>
      <c r="U38" s="5">
        <f t="shared" si="45"/>
        <v>14031.951583380809</v>
      </c>
      <c r="V38" s="5">
        <f t="shared" si="10"/>
        <v>27061.314585087039</v>
      </c>
      <c r="W38" s="5">
        <f t="shared" si="25"/>
        <v>13029.36300170623</v>
      </c>
      <c r="X38" s="5">
        <f t="shared" si="26"/>
        <v>2091763.3745054149</v>
      </c>
      <c r="Y38" s="5">
        <f t="shared" si="27"/>
        <v>538909.38498346112</v>
      </c>
      <c r="Z38" s="5">
        <f t="shared" si="28"/>
        <v>947146.01047804614</v>
      </c>
      <c r="AA38" s="13">
        <f t="shared" si="29"/>
        <v>3</v>
      </c>
      <c r="AC38">
        <f t="shared" si="46"/>
        <v>35</v>
      </c>
      <c r="AD38">
        <f t="shared" si="47"/>
        <v>2029</v>
      </c>
      <c r="AE38">
        <f t="shared" si="48"/>
        <v>11</v>
      </c>
      <c r="AF38" s="5">
        <f t="shared" si="30"/>
        <v>2080079.5656290103</v>
      </c>
      <c r="AG38" s="5">
        <f t="shared" si="49"/>
        <v>13867.197104193403</v>
      </c>
      <c r="AH38" s="5">
        <f t="shared" si="15"/>
        <v>27711.314585087039</v>
      </c>
      <c r="AI38" s="5">
        <f t="shared" si="31"/>
        <v>13844.117480893636</v>
      </c>
      <c r="AJ38" s="5">
        <f t="shared" si="32"/>
        <v>2066235.4481481167</v>
      </c>
      <c r="AK38" s="5">
        <f t="shared" si="33"/>
        <v>536131.45862616261</v>
      </c>
      <c r="AL38" s="5">
        <f t="shared" si="34"/>
        <v>969896.01047804602</v>
      </c>
      <c r="AM38" s="13">
        <f t="shared" si="35"/>
        <v>3</v>
      </c>
    </row>
    <row r="39" spans="1:39" x14ac:dyDescent="0.35">
      <c r="A39">
        <f t="shared" si="36"/>
        <v>36</v>
      </c>
      <c r="B39">
        <f t="shared" si="37"/>
        <v>2029</v>
      </c>
      <c r="C39">
        <f t="shared" si="38"/>
        <v>12</v>
      </c>
      <c r="D39" s="5">
        <f t="shared" si="18"/>
        <v>2073670.6196468372</v>
      </c>
      <c r="E39" s="5">
        <f>IFERROR(IF($A39="", "", _xlfn.XLOOKUP(A39,Offset!A:A,Offset!I:I, 0)), 0)</f>
        <v>32063.626250000016</v>
      </c>
      <c r="F39" s="5">
        <f t="shared" si="16"/>
        <v>2041606.9933968373</v>
      </c>
      <c r="G39" s="5">
        <f t="shared" si="39"/>
        <v>13610.713289312249</v>
      </c>
      <c r="H39" s="5">
        <f t="shared" si="40"/>
        <v>27061.314585087039</v>
      </c>
      <c r="I39" s="5">
        <f t="shared" si="17"/>
        <v>13450.60129577479</v>
      </c>
      <c r="J39" s="5">
        <f t="shared" si="19"/>
        <v>2060220.0183510624</v>
      </c>
      <c r="K39" s="5">
        <f t="shared" si="41"/>
        <v>213.75750833333345</v>
      </c>
      <c r="L39" s="5">
        <f t="shared" si="20"/>
        <v>15622.909304166675</v>
      </c>
      <c r="M39" s="5">
        <f t="shared" si="21"/>
        <v>534427.34341419861</v>
      </c>
      <c r="N39" s="5">
        <f t="shared" si="22"/>
        <v>974207.32506313315</v>
      </c>
      <c r="O39" s="13">
        <f t="shared" si="23"/>
        <v>3</v>
      </c>
      <c r="Q39">
        <f t="shared" si="42"/>
        <v>36</v>
      </c>
      <c r="R39">
        <f t="shared" si="43"/>
        <v>2029</v>
      </c>
      <c r="S39">
        <f t="shared" si="44"/>
        <v>12</v>
      </c>
      <c r="T39" s="5">
        <f t="shared" si="24"/>
        <v>2091763.3745054149</v>
      </c>
      <c r="U39" s="5">
        <f t="shared" si="45"/>
        <v>13945.089163369434</v>
      </c>
      <c r="V39" s="5">
        <f t="shared" si="10"/>
        <v>27061.314585087039</v>
      </c>
      <c r="W39" s="5">
        <f t="shared" si="25"/>
        <v>13116.225421717605</v>
      </c>
      <c r="X39" s="5">
        <f t="shared" si="26"/>
        <v>2078647.1490836972</v>
      </c>
      <c r="Y39" s="5">
        <f t="shared" si="27"/>
        <v>552854.4741468305</v>
      </c>
      <c r="Z39" s="5">
        <f t="shared" si="28"/>
        <v>974207.32506313315</v>
      </c>
      <c r="AA39" s="13">
        <f t="shared" si="29"/>
        <v>3</v>
      </c>
      <c r="AC39">
        <f t="shared" si="46"/>
        <v>36</v>
      </c>
      <c r="AD39">
        <f t="shared" si="47"/>
        <v>2029</v>
      </c>
      <c r="AE39">
        <f t="shared" si="48"/>
        <v>12</v>
      </c>
      <c r="AF39" s="5">
        <f t="shared" si="30"/>
        <v>2066235.4481481167</v>
      </c>
      <c r="AG39" s="5">
        <f t="shared" si="49"/>
        <v>13774.902987654112</v>
      </c>
      <c r="AH39" s="5">
        <f t="shared" si="15"/>
        <v>27711.314585087039</v>
      </c>
      <c r="AI39" s="5">
        <f t="shared" si="31"/>
        <v>13936.411597432927</v>
      </c>
      <c r="AJ39" s="5">
        <f t="shared" si="32"/>
        <v>2052299.0365506837</v>
      </c>
      <c r="AK39" s="5">
        <f t="shared" si="33"/>
        <v>549906.3616138167</v>
      </c>
      <c r="AL39" s="5">
        <f t="shared" si="34"/>
        <v>997607.32506313303</v>
      </c>
      <c r="AM39" s="13">
        <f t="shared" si="35"/>
        <v>3</v>
      </c>
    </row>
    <row r="40" spans="1:39" x14ac:dyDescent="0.35">
      <c r="A40">
        <f t="shared" si="36"/>
        <v>37</v>
      </c>
      <c r="B40">
        <f t="shared" si="37"/>
        <v>2030</v>
      </c>
      <c r="C40">
        <f t="shared" si="38"/>
        <v>1</v>
      </c>
      <c r="D40" s="5">
        <f t="shared" si="18"/>
        <v>2060220.0183510624</v>
      </c>
      <c r="E40" s="5">
        <f>IFERROR(IF($A40="", "", _xlfn.XLOOKUP(A40,Offset!A:A,Offset!I:I, 0)), 0)</f>
        <v>2530.2264088541688</v>
      </c>
      <c r="F40" s="5">
        <f t="shared" si="16"/>
        <v>2057689.7919422083</v>
      </c>
      <c r="G40" s="5">
        <f t="shared" si="39"/>
        <v>13717.931946281389</v>
      </c>
      <c r="H40" s="5">
        <f t="shared" si="40"/>
        <v>27061.314585087039</v>
      </c>
      <c r="I40" s="5">
        <f t="shared" si="17"/>
        <v>13343.38263880565</v>
      </c>
      <c r="J40" s="5">
        <f t="shared" si="19"/>
        <v>2046876.6357122569</v>
      </c>
      <c r="K40" s="5">
        <f t="shared" si="41"/>
        <v>16.868176059027792</v>
      </c>
      <c r="L40" s="5">
        <f t="shared" si="20"/>
        <v>15639.777480225703</v>
      </c>
      <c r="M40" s="5">
        <f t="shared" si="21"/>
        <v>548145.27536047995</v>
      </c>
      <c r="N40" s="5">
        <f t="shared" si="22"/>
        <v>1001268.6396482202</v>
      </c>
      <c r="O40" s="13">
        <f t="shared" si="23"/>
        <v>4</v>
      </c>
      <c r="Q40">
        <f t="shared" si="42"/>
        <v>37</v>
      </c>
      <c r="R40">
        <f t="shared" si="43"/>
        <v>2030</v>
      </c>
      <c r="S40">
        <f t="shared" si="44"/>
        <v>1</v>
      </c>
      <c r="T40" s="5">
        <f t="shared" si="24"/>
        <v>2078647.1490836972</v>
      </c>
      <c r="U40" s="5">
        <f t="shared" si="45"/>
        <v>13857.647660557983</v>
      </c>
      <c r="V40" s="5">
        <f t="shared" si="10"/>
        <v>27061.314585087039</v>
      </c>
      <c r="W40" s="5">
        <f t="shared" si="25"/>
        <v>13203.666924529056</v>
      </c>
      <c r="X40" s="5">
        <f t="shared" si="26"/>
        <v>2065443.4821591682</v>
      </c>
      <c r="Y40" s="5">
        <f t="shared" si="27"/>
        <v>566712.1218073885</v>
      </c>
      <c r="Z40" s="5">
        <f t="shared" si="28"/>
        <v>1001268.6396482202</v>
      </c>
      <c r="AA40" s="13">
        <f t="shared" si="29"/>
        <v>4</v>
      </c>
      <c r="AC40">
        <f t="shared" si="46"/>
        <v>37</v>
      </c>
      <c r="AD40">
        <f t="shared" si="47"/>
        <v>2030</v>
      </c>
      <c r="AE40">
        <f t="shared" si="48"/>
        <v>1</v>
      </c>
      <c r="AF40" s="5">
        <f t="shared" si="30"/>
        <v>2052299.0365506837</v>
      </c>
      <c r="AG40" s="5">
        <f t="shared" si="49"/>
        <v>13681.993577004559</v>
      </c>
      <c r="AH40" s="5">
        <f t="shared" si="15"/>
        <v>27711.314585087039</v>
      </c>
      <c r="AI40" s="5">
        <f t="shared" si="31"/>
        <v>14029.321008082479</v>
      </c>
      <c r="AJ40" s="5">
        <f t="shared" si="32"/>
        <v>2038269.7155426012</v>
      </c>
      <c r="AK40" s="5">
        <f t="shared" si="33"/>
        <v>563588.35519082122</v>
      </c>
      <c r="AL40" s="5">
        <f t="shared" si="34"/>
        <v>1025318.63964822</v>
      </c>
      <c r="AM40" s="13">
        <f t="shared" si="35"/>
        <v>4</v>
      </c>
    </row>
    <row r="41" spans="1:39" x14ac:dyDescent="0.35">
      <c r="A41">
        <f t="shared" si="36"/>
        <v>38</v>
      </c>
      <c r="B41">
        <f t="shared" si="37"/>
        <v>2030</v>
      </c>
      <c r="C41">
        <f t="shared" si="38"/>
        <v>2</v>
      </c>
      <c r="D41" s="5">
        <f t="shared" si="18"/>
        <v>2046876.6357122569</v>
      </c>
      <c r="E41" s="5">
        <f>IFERROR(IF($A41="", "", _xlfn.XLOOKUP(A41,Offset!A:A,Offset!I:I, 0)), 0)</f>
        <v>5060.4528177083375</v>
      </c>
      <c r="F41" s="5">
        <f t="shared" si="16"/>
        <v>2041816.1828945486</v>
      </c>
      <c r="G41" s="5">
        <f t="shared" si="39"/>
        <v>13612.107885963658</v>
      </c>
      <c r="H41" s="5">
        <f t="shared" si="40"/>
        <v>27061.314585087039</v>
      </c>
      <c r="I41" s="5">
        <f t="shared" si="17"/>
        <v>13449.206699123381</v>
      </c>
      <c r="J41" s="5">
        <f t="shared" si="19"/>
        <v>2033427.4290131335</v>
      </c>
      <c r="K41" s="5">
        <f t="shared" si="41"/>
        <v>33.736352118055585</v>
      </c>
      <c r="L41" s="5">
        <f t="shared" si="20"/>
        <v>15673.513832343759</v>
      </c>
      <c r="M41" s="5">
        <f t="shared" si="21"/>
        <v>561757.38324644358</v>
      </c>
      <c r="N41" s="5">
        <f t="shared" si="22"/>
        <v>1028329.9542333072</v>
      </c>
      <c r="O41" s="13">
        <f t="shared" si="23"/>
        <v>4</v>
      </c>
      <c r="Q41">
        <f t="shared" si="42"/>
        <v>38</v>
      </c>
      <c r="R41">
        <f t="shared" si="43"/>
        <v>2030</v>
      </c>
      <c r="S41">
        <f t="shared" si="44"/>
        <v>2</v>
      </c>
      <c r="T41" s="5">
        <f t="shared" si="24"/>
        <v>2065443.4821591682</v>
      </c>
      <c r="U41" s="5">
        <f t="shared" si="45"/>
        <v>13769.623214394456</v>
      </c>
      <c r="V41" s="5">
        <f t="shared" si="10"/>
        <v>27061.314585087039</v>
      </c>
      <c r="W41" s="5">
        <f t="shared" si="25"/>
        <v>13291.691370692582</v>
      </c>
      <c r="X41" s="5">
        <f t="shared" si="26"/>
        <v>2052151.7907884757</v>
      </c>
      <c r="Y41" s="5">
        <f t="shared" si="27"/>
        <v>580481.74502178293</v>
      </c>
      <c r="Z41" s="5">
        <f t="shared" si="28"/>
        <v>1028329.9542333072</v>
      </c>
      <c r="AA41" s="13">
        <f t="shared" si="29"/>
        <v>4</v>
      </c>
      <c r="AC41">
        <f t="shared" si="46"/>
        <v>38</v>
      </c>
      <c r="AD41">
        <f t="shared" si="47"/>
        <v>2030</v>
      </c>
      <c r="AE41">
        <f t="shared" si="48"/>
        <v>2</v>
      </c>
      <c r="AF41" s="5">
        <f t="shared" si="30"/>
        <v>2038269.7155426012</v>
      </c>
      <c r="AG41" s="5">
        <f t="shared" si="49"/>
        <v>13588.464770284008</v>
      </c>
      <c r="AH41" s="5">
        <f t="shared" si="15"/>
        <v>27711.314585087039</v>
      </c>
      <c r="AI41" s="5">
        <f t="shared" si="31"/>
        <v>14122.84981480303</v>
      </c>
      <c r="AJ41" s="5">
        <f t="shared" si="32"/>
        <v>2024146.8657277981</v>
      </c>
      <c r="AK41" s="5">
        <f t="shared" si="33"/>
        <v>577176.81996110524</v>
      </c>
      <c r="AL41" s="5">
        <f t="shared" si="34"/>
        <v>1053029.9542333072</v>
      </c>
      <c r="AM41" s="13">
        <f t="shared" si="35"/>
        <v>4</v>
      </c>
    </row>
    <row r="42" spans="1:39" x14ac:dyDescent="0.35">
      <c r="A42">
        <f t="shared" si="36"/>
        <v>39</v>
      </c>
      <c r="B42">
        <f t="shared" si="37"/>
        <v>2030</v>
      </c>
      <c r="C42">
        <f t="shared" si="38"/>
        <v>3</v>
      </c>
      <c r="D42" s="5">
        <f t="shared" si="18"/>
        <v>2033427.4290131335</v>
      </c>
      <c r="E42" s="5">
        <f>IFERROR(IF($A42="", "", _xlfn.XLOOKUP(A42,Offset!A:A,Offset!I:I, 0)), 0)</f>
        <v>7590.6792265625063</v>
      </c>
      <c r="F42" s="5">
        <f t="shared" si="16"/>
        <v>2025836.7497865709</v>
      </c>
      <c r="G42" s="5">
        <f t="shared" si="39"/>
        <v>13505.578331910474</v>
      </c>
      <c r="H42" s="5">
        <f t="shared" si="40"/>
        <v>27061.314585087039</v>
      </c>
      <c r="I42" s="5">
        <f t="shared" si="17"/>
        <v>13555.736253176565</v>
      </c>
      <c r="J42" s="5">
        <f t="shared" si="19"/>
        <v>2019871.6927599569</v>
      </c>
      <c r="K42" s="5">
        <f t="shared" si="41"/>
        <v>50.604528177083381</v>
      </c>
      <c r="L42" s="5">
        <f t="shared" si="20"/>
        <v>15724.118360520843</v>
      </c>
      <c r="M42" s="5">
        <f t="shared" si="21"/>
        <v>575262.96157835401</v>
      </c>
      <c r="N42" s="5">
        <f t="shared" si="22"/>
        <v>1055391.2688183943</v>
      </c>
      <c r="O42" s="13">
        <f t="shared" si="23"/>
        <v>4</v>
      </c>
      <c r="Q42">
        <f t="shared" si="42"/>
        <v>39</v>
      </c>
      <c r="R42">
        <f t="shared" si="43"/>
        <v>2030</v>
      </c>
      <c r="S42">
        <f t="shared" si="44"/>
        <v>3</v>
      </c>
      <c r="T42" s="5">
        <f t="shared" si="24"/>
        <v>2052151.7907884757</v>
      </c>
      <c r="U42" s="5">
        <f t="shared" si="45"/>
        <v>13681.011938589838</v>
      </c>
      <c r="V42" s="5">
        <f t="shared" si="10"/>
        <v>27061.314585087039</v>
      </c>
      <c r="W42" s="5">
        <f t="shared" si="25"/>
        <v>13380.302646497201</v>
      </c>
      <c r="X42" s="5">
        <f t="shared" si="26"/>
        <v>2038771.4881419784</v>
      </c>
      <c r="Y42" s="5">
        <f t="shared" si="27"/>
        <v>594162.75696037279</v>
      </c>
      <c r="Z42" s="5">
        <f t="shared" si="28"/>
        <v>1055391.2688183943</v>
      </c>
      <c r="AA42" s="13">
        <f t="shared" si="29"/>
        <v>4</v>
      </c>
      <c r="AC42">
        <f t="shared" si="46"/>
        <v>39</v>
      </c>
      <c r="AD42">
        <f t="shared" si="47"/>
        <v>2030</v>
      </c>
      <c r="AE42">
        <f t="shared" si="48"/>
        <v>3</v>
      </c>
      <c r="AF42" s="5">
        <f t="shared" si="30"/>
        <v>2024146.8657277981</v>
      </c>
      <c r="AG42" s="5">
        <f t="shared" si="49"/>
        <v>13494.312438185321</v>
      </c>
      <c r="AH42" s="5">
        <f t="shared" si="15"/>
        <v>27711.314585087039</v>
      </c>
      <c r="AI42" s="5">
        <f t="shared" si="31"/>
        <v>14217.002146901717</v>
      </c>
      <c r="AJ42" s="5">
        <f t="shared" si="32"/>
        <v>2009929.8635808963</v>
      </c>
      <c r="AK42" s="5">
        <f t="shared" si="33"/>
        <v>590671.13239929057</v>
      </c>
      <c r="AL42" s="5">
        <f t="shared" si="34"/>
        <v>1080741.2688183943</v>
      </c>
      <c r="AM42" s="13">
        <f t="shared" si="35"/>
        <v>4</v>
      </c>
    </row>
    <row r="43" spans="1:39" x14ac:dyDescent="0.35">
      <c r="A43">
        <f t="shared" si="36"/>
        <v>40</v>
      </c>
      <c r="B43">
        <f t="shared" si="37"/>
        <v>2030</v>
      </c>
      <c r="C43">
        <f t="shared" si="38"/>
        <v>4</v>
      </c>
      <c r="D43" s="5">
        <f t="shared" si="18"/>
        <v>2019871.6927599569</v>
      </c>
      <c r="E43" s="5">
        <f>IFERROR(IF($A43="", "", _xlfn.XLOOKUP(A43,Offset!A:A,Offset!I:I, 0)), 0)</f>
        <v>10120.905635416675</v>
      </c>
      <c r="F43" s="5">
        <f t="shared" si="16"/>
        <v>2009750.7871245402</v>
      </c>
      <c r="G43" s="5">
        <f t="shared" si="39"/>
        <v>13398.338580830268</v>
      </c>
      <c r="H43" s="5">
        <f t="shared" si="40"/>
        <v>27061.314585087039</v>
      </c>
      <c r="I43" s="5">
        <f t="shared" si="17"/>
        <v>13662.97600425677</v>
      </c>
      <c r="J43" s="5">
        <f t="shared" si="19"/>
        <v>2006208.7167557001</v>
      </c>
      <c r="K43" s="5">
        <f t="shared" si="41"/>
        <v>67.47270423611117</v>
      </c>
      <c r="L43" s="5">
        <f t="shared" si="20"/>
        <v>15791.591064756954</v>
      </c>
      <c r="M43" s="5">
        <f t="shared" si="21"/>
        <v>588661.30015918426</v>
      </c>
      <c r="N43" s="5">
        <f t="shared" si="22"/>
        <v>1082452.5834034814</v>
      </c>
      <c r="O43" s="13">
        <f t="shared" si="23"/>
        <v>4</v>
      </c>
      <c r="Q43">
        <f t="shared" si="42"/>
        <v>40</v>
      </c>
      <c r="R43">
        <f t="shared" si="43"/>
        <v>2030</v>
      </c>
      <c r="S43">
        <f t="shared" si="44"/>
        <v>4</v>
      </c>
      <c r="T43" s="5">
        <f t="shared" si="24"/>
        <v>2038771.4881419784</v>
      </c>
      <c r="U43" s="5">
        <f t="shared" si="45"/>
        <v>13591.809920946524</v>
      </c>
      <c r="V43" s="5">
        <f t="shared" si="10"/>
        <v>27061.314585087039</v>
      </c>
      <c r="W43" s="5">
        <f t="shared" si="25"/>
        <v>13469.504664140515</v>
      </c>
      <c r="X43" s="5">
        <f t="shared" si="26"/>
        <v>2025301.9834778379</v>
      </c>
      <c r="Y43" s="5">
        <f t="shared" si="27"/>
        <v>607754.56688131928</v>
      </c>
      <c r="Z43" s="5">
        <f t="shared" si="28"/>
        <v>1082452.5834034814</v>
      </c>
      <c r="AA43" s="13">
        <f t="shared" si="29"/>
        <v>4</v>
      </c>
      <c r="AC43">
        <f t="shared" si="46"/>
        <v>40</v>
      </c>
      <c r="AD43">
        <f t="shared" si="47"/>
        <v>2030</v>
      </c>
      <c r="AE43">
        <f t="shared" si="48"/>
        <v>4</v>
      </c>
      <c r="AF43" s="5">
        <f t="shared" si="30"/>
        <v>2009929.8635808963</v>
      </c>
      <c r="AG43" s="5">
        <f t="shared" si="49"/>
        <v>13399.532423872643</v>
      </c>
      <c r="AH43" s="5">
        <f t="shared" si="15"/>
        <v>27711.314585087039</v>
      </c>
      <c r="AI43" s="5">
        <f t="shared" si="31"/>
        <v>14311.782161214396</v>
      </c>
      <c r="AJ43" s="5">
        <f t="shared" si="32"/>
        <v>1995618.0814196819</v>
      </c>
      <c r="AK43" s="5">
        <f t="shared" si="33"/>
        <v>604070.66482316318</v>
      </c>
      <c r="AL43" s="5">
        <f t="shared" si="34"/>
        <v>1108452.5834034814</v>
      </c>
      <c r="AM43" s="13">
        <f t="shared" si="35"/>
        <v>4</v>
      </c>
    </row>
    <row r="44" spans="1:39" x14ac:dyDescent="0.35">
      <c r="A44">
        <f t="shared" si="36"/>
        <v>41</v>
      </c>
      <c r="B44">
        <f t="shared" si="37"/>
        <v>2030</v>
      </c>
      <c r="C44">
        <f t="shared" si="38"/>
        <v>5</v>
      </c>
      <c r="D44" s="5">
        <f t="shared" si="18"/>
        <v>2006208.7167557001</v>
      </c>
      <c r="E44" s="5">
        <f>IFERROR(IF($A44="", "", _xlfn.XLOOKUP(A44,Offset!A:A,Offset!I:I, 0)), 0)</f>
        <v>12651.132044270844</v>
      </c>
      <c r="F44" s="5">
        <f t="shared" si="16"/>
        <v>1993557.5847114292</v>
      </c>
      <c r="G44" s="5">
        <f t="shared" si="39"/>
        <v>13290.383898076196</v>
      </c>
      <c r="H44" s="5">
        <f t="shared" si="40"/>
        <v>27061.314585087039</v>
      </c>
      <c r="I44" s="5">
        <f t="shared" si="17"/>
        <v>13770.930687010843</v>
      </c>
      <c r="J44" s="5">
        <f t="shared" si="19"/>
        <v>1992437.7860686893</v>
      </c>
      <c r="K44" s="5">
        <f t="shared" si="41"/>
        <v>84.340880295138959</v>
      </c>
      <c r="L44" s="5">
        <f t="shared" si="20"/>
        <v>15875.931945052092</v>
      </c>
      <c r="M44" s="5">
        <f t="shared" si="21"/>
        <v>601951.68405726051</v>
      </c>
      <c r="N44" s="5">
        <f t="shared" si="22"/>
        <v>1109513.8979885685</v>
      </c>
      <c r="O44" s="13">
        <f t="shared" si="23"/>
        <v>4</v>
      </c>
      <c r="Q44">
        <f t="shared" si="42"/>
        <v>41</v>
      </c>
      <c r="R44">
        <f t="shared" si="43"/>
        <v>2030</v>
      </c>
      <c r="S44">
        <f t="shared" si="44"/>
        <v>5</v>
      </c>
      <c r="T44" s="5">
        <f t="shared" si="24"/>
        <v>2025301.9834778379</v>
      </c>
      <c r="U44" s="5">
        <f t="shared" si="45"/>
        <v>13502.013223185586</v>
      </c>
      <c r="V44" s="5">
        <f t="shared" si="10"/>
        <v>27061.314585087039</v>
      </c>
      <c r="W44" s="5">
        <f t="shared" si="25"/>
        <v>13559.301361901453</v>
      </c>
      <c r="X44" s="5">
        <f t="shared" si="26"/>
        <v>2011742.6821159364</v>
      </c>
      <c r="Y44" s="5">
        <f t="shared" si="27"/>
        <v>621256.58010450483</v>
      </c>
      <c r="Z44" s="5">
        <f t="shared" si="28"/>
        <v>1109513.8979885685</v>
      </c>
      <c r="AA44" s="13">
        <f t="shared" si="29"/>
        <v>4</v>
      </c>
      <c r="AC44">
        <f t="shared" si="46"/>
        <v>41</v>
      </c>
      <c r="AD44">
        <f t="shared" si="47"/>
        <v>2030</v>
      </c>
      <c r="AE44">
        <f t="shared" si="48"/>
        <v>5</v>
      </c>
      <c r="AF44" s="5">
        <f t="shared" si="30"/>
        <v>1995618.0814196819</v>
      </c>
      <c r="AG44" s="5">
        <f t="shared" si="49"/>
        <v>13304.12054279788</v>
      </c>
      <c r="AH44" s="5">
        <f t="shared" si="15"/>
        <v>27711.314585087039</v>
      </c>
      <c r="AI44" s="5">
        <f t="shared" si="31"/>
        <v>14407.194042289158</v>
      </c>
      <c r="AJ44" s="5">
        <f t="shared" si="32"/>
        <v>1981210.8873773927</v>
      </c>
      <c r="AK44" s="5">
        <f t="shared" si="33"/>
        <v>617374.78536596103</v>
      </c>
      <c r="AL44" s="5">
        <f t="shared" si="34"/>
        <v>1136163.8979885685</v>
      </c>
      <c r="AM44" s="13">
        <f t="shared" si="35"/>
        <v>4</v>
      </c>
    </row>
    <row r="45" spans="1:39" x14ac:dyDescent="0.35">
      <c r="A45">
        <f t="shared" si="36"/>
        <v>42</v>
      </c>
      <c r="B45">
        <f t="shared" si="37"/>
        <v>2030</v>
      </c>
      <c r="C45">
        <f t="shared" si="38"/>
        <v>6</v>
      </c>
      <c r="D45" s="5">
        <f t="shared" si="18"/>
        <v>1992437.7860686893</v>
      </c>
      <c r="E45" s="5">
        <f>IFERROR(IF($A45="", "", _xlfn.XLOOKUP(A45,Offset!A:A,Offset!I:I, 0)), 0)</f>
        <v>15181.358453125013</v>
      </c>
      <c r="F45" s="5">
        <f t="shared" si="16"/>
        <v>1977256.4276155643</v>
      </c>
      <c r="G45" s="5">
        <f t="shared" si="39"/>
        <v>13181.709517437097</v>
      </c>
      <c r="H45" s="5">
        <f t="shared" si="40"/>
        <v>27061.314585087039</v>
      </c>
      <c r="I45" s="5">
        <f t="shared" si="17"/>
        <v>13879.605067649942</v>
      </c>
      <c r="J45" s="5">
        <f t="shared" si="19"/>
        <v>1978558.1810010395</v>
      </c>
      <c r="K45" s="5">
        <f t="shared" si="41"/>
        <v>101.20905635416676</v>
      </c>
      <c r="L45" s="5">
        <f t="shared" si="20"/>
        <v>15977.141001406259</v>
      </c>
      <c r="M45" s="5">
        <f t="shared" si="21"/>
        <v>615133.39357469766</v>
      </c>
      <c r="N45" s="5">
        <f t="shared" si="22"/>
        <v>1136575.2125736556</v>
      </c>
      <c r="O45" s="13">
        <f t="shared" si="23"/>
        <v>4</v>
      </c>
      <c r="Q45">
        <f t="shared" si="42"/>
        <v>42</v>
      </c>
      <c r="R45">
        <f t="shared" si="43"/>
        <v>2030</v>
      </c>
      <c r="S45">
        <f t="shared" si="44"/>
        <v>6</v>
      </c>
      <c r="T45" s="5">
        <f t="shared" si="24"/>
        <v>2011742.6821159364</v>
      </c>
      <c r="U45" s="5">
        <f t="shared" si="45"/>
        <v>13411.61788077291</v>
      </c>
      <c r="V45" s="5">
        <f t="shared" si="10"/>
        <v>27061.314585087039</v>
      </c>
      <c r="W45" s="5">
        <f t="shared" si="25"/>
        <v>13649.696704314129</v>
      </c>
      <c r="X45" s="5">
        <f t="shared" si="26"/>
        <v>1998092.9854116223</v>
      </c>
      <c r="Y45" s="5">
        <f t="shared" si="27"/>
        <v>634668.19798527774</v>
      </c>
      <c r="Z45" s="5">
        <f t="shared" si="28"/>
        <v>1136575.2125736556</v>
      </c>
      <c r="AA45" s="13">
        <f t="shared" si="29"/>
        <v>4</v>
      </c>
      <c r="AC45">
        <f t="shared" si="46"/>
        <v>42</v>
      </c>
      <c r="AD45">
        <f t="shared" si="47"/>
        <v>2030</v>
      </c>
      <c r="AE45">
        <f t="shared" si="48"/>
        <v>6</v>
      </c>
      <c r="AF45" s="5">
        <f t="shared" si="30"/>
        <v>1981210.8873773927</v>
      </c>
      <c r="AG45" s="5">
        <f t="shared" si="49"/>
        <v>13208.072582515952</v>
      </c>
      <c r="AH45" s="5">
        <f t="shared" si="15"/>
        <v>27711.314585087039</v>
      </c>
      <c r="AI45" s="5">
        <f t="shared" si="31"/>
        <v>14503.242002571087</v>
      </c>
      <c r="AJ45" s="5">
        <f t="shared" si="32"/>
        <v>1966707.6453748217</v>
      </c>
      <c r="AK45" s="5">
        <f t="shared" si="33"/>
        <v>630582.85794847703</v>
      </c>
      <c r="AL45" s="5">
        <f t="shared" si="34"/>
        <v>1163875.2125736556</v>
      </c>
      <c r="AM45" s="13">
        <f t="shared" si="35"/>
        <v>4</v>
      </c>
    </row>
    <row r="46" spans="1:39" x14ac:dyDescent="0.35">
      <c r="A46">
        <f t="shared" si="36"/>
        <v>43</v>
      </c>
      <c r="B46">
        <f t="shared" si="37"/>
        <v>2030</v>
      </c>
      <c r="C46">
        <f t="shared" si="38"/>
        <v>7</v>
      </c>
      <c r="D46" s="5">
        <f t="shared" si="18"/>
        <v>1978558.1810010395</v>
      </c>
      <c r="E46" s="5">
        <f>IFERROR(IF($A46="", "", _xlfn.XLOOKUP(A46,Offset!A:A,Offset!I:I, 0)), 0)</f>
        <v>17711.58486197918</v>
      </c>
      <c r="F46" s="5">
        <f t="shared" si="16"/>
        <v>1960846.5961390603</v>
      </c>
      <c r="G46" s="5">
        <f t="shared" si="39"/>
        <v>13072.310640927069</v>
      </c>
      <c r="H46" s="5">
        <f t="shared" si="40"/>
        <v>27061.314585087039</v>
      </c>
      <c r="I46" s="5">
        <f t="shared" si="17"/>
        <v>13989.003944159969</v>
      </c>
      <c r="J46" s="5">
        <f t="shared" si="19"/>
        <v>1964569.1770568795</v>
      </c>
      <c r="K46" s="5">
        <f t="shared" si="41"/>
        <v>118.07723241319454</v>
      </c>
      <c r="L46" s="5">
        <f t="shared" si="20"/>
        <v>16095.218233819453</v>
      </c>
      <c r="M46" s="5">
        <f t="shared" si="21"/>
        <v>628205.70421562472</v>
      </c>
      <c r="N46" s="5">
        <f t="shared" si="22"/>
        <v>1163636.5271587428</v>
      </c>
      <c r="O46" s="13">
        <f t="shared" si="23"/>
        <v>4</v>
      </c>
      <c r="Q46">
        <f t="shared" si="42"/>
        <v>43</v>
      </c>
      <c r="R46">
        <f t="shared" si="43"/>
        <v>2030</v>
      </c>
      <c r="S46">
        <f t="shared" si="44"/>
        <v>7</v>
      </c>
      <c r="T46" s="5">
        <f t="shared" si="24"/>
        <v>1998092.9854116223</v>
      </c>
      <c r="U46" s="5">
        <f t="shared" si="45"/>
        <v>13320.619902744149</v>
      </c>
      <c r="V46" s="5">
        <f t="shared" si="10"/>
        <v>27061.314585087039</v>
      </c>
      <c r="W46" s="5">
        <f t="shared" si="25"/>
        <v>13740.69468234289</v>
      </c>
      <c r="X46" s="5">
        <f t="shared" si="26"/>
        <v>1984352.2907292794</v>
      </c>
      <c r="Y46" s="5">
        <f t="shared" si="27"/>
        <v>647988.81788802193</v>
      </c>
      <c r="Z46" s="5">
        <f t="shared" si="28"/>
        <v>1163636.5271587428</v>
      </c>
      <c r="AA46" s="13">
        <f t="shared" si="29"/>
        <v>4</v>
      </c>
      <c r="AC46">
        <f t="shared" si="46"/>
        <v>43</v>
      </c>
      <c r="AD46">
        <f t="shared" si="47"/>
        <v>2030</v>
      </c>
      <c r="AE46">
        <f t="shared" si="48"/>
        <v>7</v>
      </c>
      <c r="AF46" s="5">
        <f t="shared" si="30"/>
        <v>1966707.6453748217</v>
      </c>
      <c r="AG46" s="5">
        <f t="shared" si="49"/>
        <v>13111.384302498813</v>
      </c>
      <c r="AH46" s="5">
        <f t="shared" si="15"/>
        <v>27711.314585087039</v>
      </c>
      <c r="AI46" s="5">
        <f t="shared" si="31"/>
        <v>14599.930282588226</v>
      </c>
      <c r="AJ46" s="5">
        <f t="shared" si="32"/>
        <v>1952107.7150922336</v>
      </c>
      <c r="AK46" s="5">
        <f t="shared" si="33"/>
        <v>643694.2422509758</v>
      </c>
      <c r="AL46" s="5">
        <f t="shared" si="34"/>
        <v>1191586.5271587428</v>
      </c>
      <c r="AM46" s="13">
        <f t="shared" si="35"/>
        <v>4</v>
      </c>
    </row>
    <row r="47" spans="1:39" x14ac:dyDescent="0.35">
      <c r="A47">
        <f t="shared" si="36"/>
        <v>44</v>
      </c>
      <c r="B47">
        <f t="shared" si="37"/>
        <v>2030</v>
      </c>
      <c r="C47">
        <f t="shared" si="38"/>
        <v>8</v>
      </c>
      <c r="D47" s="5">
        <f t="shared" si="18"/>
        <v>1964569.1770568795</v>
      </c>
      <c r="E47" s="5">
        <f>IFERROR(IF($A47="", "", _xlfn.XLOOKUP(A47,Offset!A:A,Offset!I:I, 0)), 0)</f>
        <v>20241.81127083335</v>
      </c>
      <c r="F47" s="5">
        <f t="shared" si="16"/>
        <v>1944327.3657860463</v>
      </c>
      <c r="G47" s="5">
        <f t="shared" si="39"/>
        <v>12962.182438573642</v>
      </c>
      <c r="H47" s="5">
        <f t="shared" si="40"/>
        <v>27061.314585087039</v>
      </c>
      <c r="I47" s="5">
        <f t="shared" si="17"/>
        <v>14099.132146513397</v>
      </c>
      <c r="J47" s="5">
        <f t="shared" si="19"/>
        <v>1950470.0449103662</v>
      </c>
      <c r="K47" s="5">
        <f t="shared" si="41"/>
        <v>134.94540847222234</v>
      </c>
      <c r="L47" s="5">
        <f t="shared" si="20"/>
        <v>16230.163642291674</v>
      </c>
      <c r="M47" s="5">
        <f t="shared" si="21"/>
        <v>641167.8866541984</v>
      </c>
      <c r="N47" s="5">
        <f t="shared" si="22"/>
        <v>1190697.8417438299</v>
      </c>
      <c r="O47" s="13">
        <f t="shared" si="23"/>
        <v>4</v>
      </c>
      <c r="Q47">
        <f t="shared" si="42"/>
        <v>44</v>
      </c>
      <c r="R47">
        <f t="shared" si="43"/>
        <v>2030</v>
      </c>
      <c r="S47">
        <f t="shared" si="44"/>
        <v>8</v>
      </c>
      <c r="T47" s="5">
        <f t="shared" si="24"/>
        <v>1984352.2907292794</v>
      </c>
      <c r="U47" s="5">
        <f t="shared" si="45"/>
        <v>13229.015271528529</v>
      </c>
      <c r="V47" s="5">
        <f t="shared" si="10"/>
        <v>27061.314585087039</v>
      </c>
      <c r="W47" s="5">
        <f t="shared" si="25"/>
        <v>13832.299313558509</v>
      </c>
      <c r="X47" s="5">
        <f t="shared" si="26"/>
        <v>1970519.9914157209</v>
      </c>
      <c r="Y47" s="5">
        <f t="shared" si="27"/>
        <v>661217.83315955044</v>
      </c>
      <c r="Z47" s="5">
        <f t="shared" si="28"/>
        <v>1190697.8417438299</v>
      </c>
      <c r="AA47" s="13">
        <f t="shared" si="29"/>
        <v>4</v>
      </c>
      <c r="AC47">
        <f t="shared" si="46"/>
        <v>44</v>
      </c>
      <c r="AD47">
        <f t="shared" si="47"/>
        <v>2030</v>
      </c>
      <c r="AE47">
        <f t="shared" si="48"/>
        <v>8</v>
      </c>
      <c r="AF47" s="5">
        <f t="shared" si="30"/>
        <v>1952107.7150922336</v>
      </c>
      <c r="AG47" s="5">
        <f t="shared" si="49"/>
        <v>13014.051433948225</v>
      </c>
      <c r="AH47" s="5">
        <f t="shared" si="15"/>
        <v>27711.314585087039</v>
      </c>
      <c r="AI47" s="5">
        <f t="shared" si="31"/>
        <v>14697.263151138814</v>
      </c>
      <c r="AJ47" s="5">
        <f t="shared" si="32"/>
        <v>1937410.4519410948</v>
      </c>
      <c r="AK47" s="5">
        <f t="shared" si="33"/>
        <v>656708.29368492402</v>
      </c>
      <c r="AL47" s="5">
        <f t="shared" si="34"/>
        <v>1219297.8417438299</v>
      </c>
      <c r="AM47" s="13">
        <f t="shared" si="35"/>
        <v>4</v>
      </c>
    </row>
    <row r="48" spans="1:39" x14ac:dyDescent="0.35">
      <c r="A48">
        <f t="shared" si="36"/>
        <v>45</v>
      </c>
      <c r="B48">
        <f t="shared" si="37"/>
        <v>2030</v>
      </c>
      <c r="C48">
        <f t="shared" si="38"/>
        <v>9</v>
      </c>
      <c r="D48" s="5">
        <f t="shared" si="18"/>
        <v>1950470.0449103662</v>
      </c>
      <c r="E48" s="5">
        <f>IFERROR(IF($A48="", "", _xlfn.XLOOKUP(A48,Offset!A:A,Offset!I:I, 0)), 0)</f>
        <v>22772.037679687521</v>
      </c>
      <c r="F48" s="5">
        <f t="shared" si="16"/>
        <v>1927698.0072306786</v>
      </c>
      <c r="G48" s="5">
        <f t="shared" si="39"/>
        <v>12851.320048204525</v>
      </c>
      <c r="H48" s="5">
        <f t="shared" si="40"/>
        <v>27061.314585087039</v>
      </c>
      <c r="I48" s="5">
        <f t="shared" si="17"/>
        <v>14209.994536882514</v>
      </c>
      <c r="J48" s="5">
        <f t="shared" si="19"/>
        <v>1936260.0503734837</v>
      </c>
      <c r="K48" s="5">
        <f t="shared" si="41"/>
        <v>151.81358453125014</v>
      </c>
      <c r="L48" s="5">
        <f t="shared" si="20"/>
        <v>16381.977226822924</v>
      </c>
      <c r="M48" s="5">
        <f t="shared" si="21"/>
        <v>654019.20670240291</v>
      </c>
      <c r="N48" s="5">
        <f t="shared" si="22"/>
        <v>1217759.156328917</v>
      </c>
      <c r="O48" s="13">
        <f t="shared" si="23"/>
        <v>4</v>
      </c>
      <c r="Q48">
        <f t="shared" si="42"/>
        <v>45</v>
      </c>
      <c r="R48">
        <f t="shared" si="43"/>
        <v>2030</v>
      </c>
      <c r="S48">
        <f t="shared" si="44"/>
        <v>9</v>
      </c>
      <c r="T48" s="5">
        <f t="shared" si="24"/>
        <v>1970519.9914157209</v>
      </c>
      <c r="U48" s="5">
        <f t="shared" si="45"/>
        <v>13136.799942771473</v>
      </c>
      <c r="V48" s="5">
        <f t="shared" si="10"/>
        <v>27061.314585087039</v>
      </c>
      <c r="W48" s="5">
        <f t="shared" si="25"/>
        <v>13924.514642315566</v>
      </c>
      <c r="X48" s="5">
        <f t="shared" si="26"/>
        <v>1956595.4767734054</v>
      </c>
      <c r="Y48" s="5">
        <f t="shared" si="27"/>
        <v>674354.63310232188</v>
      </c>
      <c r="Z48" s="5">
        <f t="shared" si="28"/>
        <v>1217759.156328917</v>
      </c>
      <c r="AA48" s="13">
        <f t="shared" si="29"/>
        <v>4</v>
      </c>
      <c r="AC48">
        <f t="shared" si="46"/>
        <v>45</v>
      </c>
      <c r="AD48">
        <f t="shared" si="47"/>
        <v>2030</v>
      </c>
      <c r="AE48">
        <f t="shared" si="48"/>
        <v>9</v>
      </c>
      <c r="AF48" s="5">
        <f t="shared" si="30"/>
        <v>1937410.4519410948</v>
      </c>
      <c r="AG48" s="5">
        <f t="shared" si="49"/>
        <v>12916.069679607299</v>
      </c>
      <c r="AH48" s="5">
        <f t="shared" si="15"/>
        <v>27711.314585087039</v>
      </c>
      <c r="AI48" s="5">
        <f t="shared" si="31"/>
        <v>14795.24490547974</v>
      </c>
      <c r="AJ48" s="5">
        <f t="shared" si="32"/>
        <v>1922615.2070356151</v>
      </c>
      <c r="AK48" s="5">
        <f t="shared" si="33"/>
        <v>669624.36336453131</v>
      </c>
      <c r="AL48" s="5">
        <f t="shared" si="34"/>
        <v>1247009.156328917</v>
      </c>
      <c r="AM48" s="13">
        <f t="shared" si="35"/>
        <v>4</v>
      </c>
    </row>
    <row r="49" spans="1:39" x14ac:dyDescent="0.35">
      <c r="A49">
        <f t="shared" si="36"/>
        <v>46</v>
      </c>
      <c r="B49">
        <f t="shared" si="37"/>
        <v>2030</v>
      </c>
      <c r="C49">
        <f t="shared" si="38"/>
        <v>10</v>
      </c>
      <c r="D49" s="5">
        <f t="shared" si="18"/>
        <v>1936260.0503734837</v>
      </c>
      <c r="E49" s="5">
        <f>IFERROR(IF($A49="", "", _xlfn.XLOOKUP(A49,Offset!A:A,Offset!I:I, 0)), 0)</f>
        <v>25302.264088541691</v>
      </c>
      <c r="F49" s="5">
        <f t="shared" si="16"/>
        <v>1910957.7862849419</v>
      </c>
      <c r="G49" s="5">
        <f t="shared" si="39"/>
        <v>12739.718575232948</v>
      </c>
      <c r="H49" s="5">
        <f t="shared" si="40"/>
        <v>27061.314585087039</v>
      </c>
      <c r="I49" s="5">
        <f t="shared" si="17"/>
        <v>14321.596009854091</v>
      </c>
      <c r="J49" s="5">
        <f t="shared" si="19"/>
        <v>1921938.4543636297</v>
      </c>
      <c r="K49" s="5">
        <f t="shared" si="41"/>
        <v>168.68176059027795</v>
      </c>
      <c r="L49" s="5">
        <f t="shared" si="20"/>
        <v>16550.658987413204</v>
      </c>
      <c r="M49" s="5">
        <f t="shared" si="21"/>
        <v>666758.9252776358</v>
      </c>
      <c r="N49" s="5">
        <f t="shared" si="22"/>
        <v>1244820.4709140041</v>
      </c>
      <c r="O49" s="13">
        <f t="shared" si="23"/>
        <v>4</v>
      </c>
      <c r="Q49">
        <f t="shared" si="42"/>
        <v>46</v>
      </c>
      <c r="R49">
        <f t="shared" si="43"/>
        <v>2030</v>
      </c>
      <c r="S49">
        <f t="shared" si="44"/>
        <v>10</v>
      </c>
      <c r="T49" s="5">
        <f t="shared" si="24"/>
        <v>1956595.4767734054</v>
      </c>
      <c r="U49" s="5">
        <f t="shared" si="45"/>
        <v>13043.969845156038</v>
      </c>
      <c r="V49" s="5">
        <f t="shared" si="10"/>
        <v>27061.314585087039</v>
      </c>
      <c r="W49" s="5">
        <f t="shared" si="25"/>
        <v>14017.344739931001</v>
      </c>
      <c r="X49" s="5">
        <f t="shared" si="26"/>
        <v>1942578.1320334745</v>
      </c>
      <c r="Y49" s="5">
        <f t="shared" si="27"/>
        <v>687398.60294747795</v>
      </c>
      <c r="Z49" s="5">
        <f t="shared" si="28"/>
        <v>1244820.4709140041</v>
      </c>
      <c r="AA49" s="13">
        <f t="shared" si="29"/>
        <v>4</v>
      </c>
      <c r="AC49">
        <f t="shared" si="46"/>
        <v>46</v>
      </c>
      <c r="AD49">
        <f t="shared" si="47"/>
        <v>2030</v>
      </c>
      <c r="AE49">
        <f t="shared" si="48"/>
        <v>10</v>
      </c>
      <c r="AF49" s="5">
        <f t="shared" si="30"/>
        <v>1922615.2070356151</v>
      </c>
      <c r="AG49" s="5">
        <f t="shared" si="49"/>
        <v>12817.434713570769</v>
      </c>
      <c r="AH49" s="5">
        <f t="shared" si="15"/>
        <v>27711.314585087039</v>
      </c>
      <c r="AI49" s="5">
        <f t="shared" si="31"/>
        <v>14893.87987151627</v>
      </c>
      <c r="AJ49" s="5">
        <f t="shared" si="32"/>
        <v>1907721.3271640989</v>
      </c>
      <c r="AK49" s="5">
        <f t="shared" si="33"/>
        <v>682441.79807810206</v>
      </c>
      <c r="AL49" s="5">
        <f t="shared" si="34"/>
        <v>1274720.4709140041</v>
      </c>
      <c r="AM49" s="13">
        <f t="shared" si="35"/>
        <v>4</v>
      </c>
    </row>
    <row r="50" spans="1:39" x14ac:dyDescent="0.35">
      <c r="A50">
        <f t="shared" si="36"/>
        <v>47</v>
      </c>
      <c r="B50">
        <f t="shared" si="37"/>
        <v>2030</v>
      </c>
      <c r="C50">
        <f t="shared" si="38"/>
        <v>11</v>
      </c>
      <c r="D50" s="5">
        <f t="shared" si="18"/>
        <v>1921938.4543636297</v>
      </c>
      <c r="E50" s="5">
        <f>IFERROR(IF($A50="", "", _xlfn.XLOOKUP(A50,Offset!A:A,Offset!I:I, 0)), 0)</f>
        <v>27832.490497395862</v>
      </c>
      <c r="F50" s="5">
        <f t="shared" si="16"/>
        <v>1894105.9638662338</v>
      </c>
      <c r="G50" s="5">
        <f t="shared" si="39"/>
        <v>12627.373092441559</v>
      </c>
      <c r="H50" s="5">
        <f t="shared" si="40"/>
        <v>27061.314585087039</v>
      </c>
      <c r="I50" s="5">
        <f t="shared" si="17"/>
        <v>14433.941492645479</v>
      </c>
      <c r="J50" s="5">
        <f t="shared" si="19"/>
        <v>1907504.5128709842</v>
      </c>
      <c r="K50" s="5">
        <f t="shared" si="41"/>
        <v>185.54993664930575</v>
      </c>
      <c r="L50" s="5">
        <f t="shared" si="20"/>
        <v>16736.20892406251</v>
      </c>
      <c r="M50" s="5">
        <f t="shared" si="21"/>
        <v>679386.29837007739</v>
      </c>
      <c r="N50" s="5">
        <f t="shared" si="22"/>
        <v>1271881.7854990913</v>
      </c>
      <c r="O50" s="13">
        <f t="shared" si="23"/>
        <v>4</v>
      </c>
      <c r="Q50">
        <f t="shared" si="42"/>
        <v>47</v>
      </c>
      <c r="R50">
        <f t="shared" si="43"/>
        <v>2030</v>
      </c>
      <c r="S50">
        <f t="shared" si="44"/>
        <v>11</v>
      </c>
      <c r="T50" s="5">
        <f t="shared" si="24"/>
        <v>1942578.1320334745</v>
      </c>
      <c r="U50" s="5">
        <f t="shared" si="45"/>
        <v>12950.520880223165</v>
      </c>
      <c r="V50" s="5">
        <f t="shared" si="10"/>
        <v>27061.314585087039</v>
      </c>
      <c r="W50" s="5">
        <f t="shared" si="25"/>
        <v>14110.793704863874</v>
      </c>
      <c r="X50" s="5">
        <f t="shared" si="26"/>
        <v>1928467.3383286106</v>
      </c>
      <c r="Y50" s="5">
        <f t="shared" si="27"/>
        <v>700349.12382770109</v>
      </c>
      <c r="Z50" s="5">
        <f t="shared" si="28"/>
        <v>1271881.7854990913</v>
      </c>
      <c r="AA50" s="13">
        <f t="shared" si="29"/>
        <v>4</v>
      </c>
      <c r="AC50">
        <f t="shared" si="46"/>
        <v>47</v>
      </c>
      <c r="AD50">
        <f t="shared" si="47"/>
        <v>2030</v>
      </c>
      <c r="AE50">
        <f t="shared" si="48"/>
        <v>11</v>
      </c>
      <c r="AF50" s="5">
        <f t="shared" si="30"/>
        <v>1907721.3271640989</v>
      </c>
      <c r="AG50" s="5">
        <f t="shared" si="49"/>
        <v>12718.142181093994</v>
      </c>
      <c r="AH50" s="5">
        <f t="shared" si="15"/>
        <v>27711.314585087039</v>
      </c>
      <c r="AI50" s="5">
        <f t="shared" si="31"/>
        <v>14993.172403993045</v>
      </c>
      <c r="AJ50" s="5">
        <f t="shared" si="32"/>
        <v>1892728.1547601058</v>
      </c>
      <c r="AK50" s="5">
        <f t="shared" si="33"/>
        <v>695159.9402591961</v>
      </c>
      <c r="AL50" s="5">
        <f t="shared" si="34"/>
        <v>1302431.7854990913</v>
      </c>
      <c r="AM50" s="13">
        <f t="shared" si="35"/>
        <v>4</v>
      </c>
    </row>
    <row r="51" spans="1:39" x14ac:dyDescent="0.35">
      <c r="A51">
        <f t="shared" si="36"/>
        <v>48</v>
      </c>
      <c r="B51">
        <f t="shared" si="37"/>
        <v>2030</v>
      </c>
      <c r="C51">
        <f t="shared" si="38"/>
        <v>12</v>
      </c>
      <c r="D51" s="5">
        <f t="shared" si="18"/>
        <v>1907504.5128709842</v>
      </c>
      <c r="E51" s="5">
        <f>IFERROR(IF($A51="", "", _xlfn.XLOOKUP(A51,Offset!A:A,Offset!I:I, 0)), 0)</f>
        <v>30362.716906250032</v>
      </c>
      <c r="F51" s="5">
        <f t="shared" si="16"/>
        <v>1877141.7959647342</v>
      </c>
      <c r="G51" s="5">
        <f t="shared" si="39"/>
        <v>12514.278639764896</v>
      </c>
      <c r="H51" s="5">
        <f t="shared" si="40"/>
        <v>27061.314585087039</v>
      </c>
      <c r="I51" s="5">
        <f t="shared" si="17"/>
        <v>14547.035945322143</v>
      </c>
      <c r="J51" s="5">
        <f t="shared" si="19"/>
        <v>1892957.476925662</v>
      </c>
      <c r="K51" s="5">
        <f t="shared" si="41"/>
        <v>202.41811270833355</v>
      </c>
      <c r="L51" s="5">
        <f t="shared" si="20"/>
        <v>16938.627036770842</v>
      </c>
      <c r="M51" s="5">
        <f t="shared" si="21"/>
        <v>691900.57700984227</v>
      </c>
      <c r="N51" s="5">
        <f t="shared" si="22"/>
        <v>1298943.1000841784</v>
      </c>
      <c r="O51" s="13">
        <f t="shared" si="23"/>
        <v>4</v>
      </c>
      <c r="Q51">
        <f t="shared" si="42"/>
        <v>48</v>
      </c>
      <c r="R51">
        <f t="shared" si="43"/>
        <v>2030</v>
      </c>
      <c r="S51">
        <f t="shared" si="44"/>
        <v>12</v>
      </c>
      <c r="T51" s="5">
        <f t="shared" si="24"/>
        <v>1928467.3383286106</v>
      </c>
      <c r="U51" s="5">
        <f t="shared" si="45"/>
        <v>12856.448922190739</v>
      </c>
      <c r="V51" s="5">
        <f t="shared" si="10"/>
        <v>27061.314585087039</v>
      </c>
      <c r="W51" s="5">
        <f t="shared" si="25"/>
        <v>14204.8656628963</v>
      </c>
      <c r="X51" s="5">
        <f t="shared" si="26"/>
        <v>1914262.4726657143</v>
      </c>
      <c r="Y51" s="5">
        <f t="shared" si="27"/>
        <v>713205.57274989178</v>
      </c>
      <c r="Z51" s="5">
        <f t="shared" si="28"/>
        <v>1298943.1000841784</v>
      </c>
      <c r="AA51" s="13">
        <f t="shared" si="29"/>
        <v>4</v>
      </c>
      <c r="AC51">
        <f t="shared" si="46"/>
        <v>48</v>
      </c>
      <c r="AD51">
        <f t="shared" si="47"/>
        <v>2030</v>
      </c>
      <c r="AE51">
        <f t="shared" si="48"/>
        <v>12</v>
      </c>
      <c r="AF51" s="5">
        <f t="shared" si="30"/>
        <v>1892728.1547601058</v>
      </c>
      <c r="AG51" s="5">
        <f t="shared" si="49"/>
        <v>12618.187698400707</v>
      </c>
      <c r="AH51" s="5">
        <f t="shared" si="15"/>
        <v>27711.314585087039</v>
      </c>
      <c r="AI51" s="5">
        <f t="shared" si="31"/>
        <v>15093.126886686332</v>
      </c>
      <c r="AJ51" s="5">
        <f t="shared" si="32"/>
        <v>1877635.0278734195</v>
      </c>
      <c r="AK51" s="5">
        <f t="shared" si="33"/>
        <v>707778.12795759679</v>
      </c>
      <c r="AL51" s="5">
        <f t="shared" si="34"/>
        <v>1330143.1000841784</v>
      </c>
      <c r="AM51" s="13">
        <f t="shared" si="35"/>
        <v>4</v>
      </c>
    </row>
    <row r="52" spans="1:39" x14ac:dyDescent="0.35">
      <c r="A52">
        <f t="shared" si="36"/>
        <v>49</v>
      </c>
      <c r="B52">
        <f t="shared" si="37"/>
        <v>2031</v>
      </c>
      <c r="C52">
        <f t="shared" si="38"/>
        <v>1</v>
      </c>
      <c r="D52" s="5">
        <f t="shared" si="18"/>
        <v>1892957.476925662</v>
      </c>
      <c r="E52" s="5">
        <f>IFERROR(IF($A52="", "", _xlfn.XLOOKUP(A52,Offset!A:A,Offset!I:I, 0)), 0)</f>
        <v>2980.7737357421897</v>
      </c>
      <c r="F52" s="5">
        <f t="shared" si="16"/>
        <v>1889976.7031899199</v>
      </c>
      <c r="G52" s="5">
        <f t="shared" si="39"/>
        <v>12599.8446879328</v>
      </c>
      <c r="H52" s="5">
        <f t="shared" si="40"/>
        <v>27061.314585087039</v>
      </c>
      <c r="I52" s="5">
        <f t="shared" si="17"/>
        <v>14461.469897154238</v>
      </c>
      <c r="J52" s="5">
        <f t="shared" si="19"/>
        <v>1878496.0070285078</v>
      </c>
      <c r="K52" s="5">
        <f t="shared" si="41"/>
        <v>19.871824904947932</v>
      </c>
      <c r="L52" s="5">
        <f t="shared" si="20"/>
        <v>16958.498861675791</v>
      </c>
      <c r="M52" s="5">
        <f t="shared" si="21"/>
        <v>704500.42169777502</v>
      </c>
      <c r="N52" s="5">
        <f t="shared" si="22"/>
        <v>1326004.4146692655</v>
      </c>
      <c r="O52" s="13">
        <f t="shared" si="23"/>
        <v>5</v>
      </c>
      <c r="Q52">
        <f t="shared" si="42"/>
        <v>49</v>
      </c>
      <c r="R52">
        <f t="shared" si="43"/>
        <v>2031</v>
      </c>
      <c r="S52">
        <f t="shared" si="44"/>
        <v>1</v>
      </c>
      <c r="T52" s="5">
        <f t="shared" si="24"/>
        <v>1914262.4726657143</v>
      </c>
      <c r="U52" s="5">
        <f t="shared" si="45"/>
        <v>12761.74981777143</v>
      </c>
      <c r="V52" s="5">
        <f t="shared" si="10"/>
        <v>27061.314585087039</v>
      </c>
      <c r="W52" s="5">
        <f t="shared" si="25"/>
        <v>14299.564767315609</v>
      </c>
      <c r="X52" s="5">
        <f t="shared" si="26"/>
        <v>1899962.9078983988</v>
      </c>
      <c r="Y52" s="5">
        <f t="shared" si="27"/>
        <v>725967.32256766316</v>
      </c>
      <c r="Z52" s="5">
        <f t="shared" si="28"/>
        <v>1326004.4146692655</v>
      </c>
      <c r="AA52" s="13">
        <f t="shared" si="29"/>
        <v>5</v>
      </c>
      <c r="AC52">
        <f t="shared" si="46"/>
        <v>49</v>
      </c>
      <c r="AD52">
        <f t="shared" si="47"/>
        <v>2031</v>
      </c>
      <c r="AE52">
        <f t="shared" si="48"/>
        <v>1</v>
      </c>
      <c r="AF52" s="5">
        <f t="shared" si="30"/>
        <v>1877635.0278734195</v>
      </c>
      <c r="AG52" s="5">
        <f t="shared" si="49"/>
        <v>12517.566852489465</v>
      </c>
      <c r="AH52" s="5">
        <f t="shared" si="15"/>
        <v>27711.314585087039</v>
      </c>
      <c r="AI52" s="5">
        <f t="shared" si="31"/>
        <v>15193.747732597574</v>
      </c>
      <c r="AJ52" s="5">
        <f t="shared" si="32"/>
        <v>1862441.2801408218</v>
      </c>
      <c r="AK52" s="5">
        <f t="shared" si="33"/>
        <v>720295.69481008628</v>
      </c>
      <c r="AL52" s="5">
        <f t="shared" si="34"/>
        <v>1357854.4146692655</v>
      </c>
      <c r="AM52" s="13">
        <f t="shared" si="35"/>
        <v>5</v>
      </c>
    </row>
    <row r="53" spans="1:39" x14ac:dyDescent="0.35">
      <c r="A53">
        <f t="shared" si="36"/>
        <v>50</v>
      </c>
      <c r="B53">
        <f t="shared" si="37"/>
        <v>2031</v>
      </c>
      <c r="C53">
        <f t="shared" si="38"/>
        <v>2</v>
      </c>
      <c r="D53" s="5">
        <f t="shared" si="18"/>
        <v>1878496.0070285078</v>
      </c>
      <c r="E53" s="5">
        <f>IFERROR(IF($A53="", "", _xlfn.XLOOKUP(A53,Offset!A:A,Offset!I:I, 0)), 0)</f>
        <v>5961.5474714843795</v>
      </c>
      <c r="F53" s="5">
        <f t="shared" si="16"/>
        <v>1872534.4595570234</v>
      </c>
      <c r="G53" s="5">
        <f t="shared" si="39"/>
        <v>12483.563063713489</v>
      </c>
      <c r="H53" s="5">
        <f t="shared" si="40"/>
        <v>27061.314585087039</v>
      </c>
      <c r="I53" s="5">
        <f t="shared" si="17"/>
        <v>14577.75152137355</v>
      </c>
      <c r="J53" s="5">
        <f t="shared" si="19"/>
        <v>1863918.2555071341</v>
      </c>
      <c r="K53" s="5">
        <f t="shared" si="41"/>
        <v>39.743649809895864</v>
      </c>
      <c r="L53" s="5">
        <f t="shared" si="20"/>
        <v>16998.242511485685</v>
      </c>
      <c r="M53" s="5">
        <f t="shared" si="21"/>
        <v>716983.98476148851</v>
      </c>
      <c r="N53" s="5">
        <f t="shared" si="22"/>
        <v>1353065.7292543526</v>
      </c>
      <c r="O53" s="13">
        <f t="shared" si="23"/>
        <v>5</v>
      </c>
      <c r="Q53">
        <f t="shared" si="42"/>
        <v>50</v>
      </c>
      <c r="R53">
        <f t="shared" si="43"/>
        <v>2031</v>
      </c>
      <c r="S53">
        <f t="shared" si="44"/>
        <v>2</v>
      </c>
      <c r="T53" s="5">
        <f t="shared" si="24"/>
        <v>1899962.9078983988</v>
      </c>
      <c r="U53" s="5">
        <f t="shared" si="45"/>
        <v>12666.419385989326</v>
      </c>
      <c r="V53" s="5">
        <f t="shared" si="10"/>
        <v>27061.314585087039</v>
      </c>
      <c r="W53" s="5">
        <f t="shared" si="25"/>
        <v>14394.895199097713</v>
      </c>
      <c r="X53" s="5">
        <f t="shared" si="26"/>
        <v>1885568.0126993011</v>
      </c>
      <c r="Y53" s="5">
        <f t="shared" si="27"/>
        <v>738633.74195365247</v>
      </c>
      <c r="Z53" s="5">
        <f t="shared" si="28"/>
        <v>1353065.7292543526</v>
      </c>
      <c r="AA53" s="13">
        <f t="shared" si="29"/>
        <v>5</v>
      </c>
      <c r="AC53">
        <f t="shared" si="46"/>
        <v>50</v>
      </c>
      <c r="AD53">
        <f t="shared" si="47"/>
        <v>2031</v>
      </c>
      <c r="AE53">
        <f t="shared" si="48"/>
        <v>2</v>
      </c>
      <c r="AF53" s="5">
        <f t="shared" si="30"/>
        <v>1862441.2801408218</v>
      </c>
      <c r="AG53" s="5">
        <f t="shared" si="49"/>
        <v>12416.275200938813</v>
      </c>
      <c r="AH53" s="5">
        <f t="shared" si="15"/>
        <v>27711.314585087039</v>
      </c>
      <c r="AI53" s="5">
        <f t="shared" si="31"/>
        <v>15295.039384148226</v>
      </c>
      <c r="AJ53" s="5">
        <f t="shared" si="32"/>
        <v>1847146.2407566735</v>
      </c>
      <c r="AK53" s="5">
        <f t="shared" si="33"/>
        <v>732711.97001102509</v>
      </c>
      <c r="AL53" s="5">
        <f t="shared" si="34"/>
        <v>1385565.7292543526</v>
      </c>
      <c r="AM53" s="13">
        <f t="shared" si="35"/>
        <v>5</v>
      </c>
    </row>
    <row r="54" spans="1:39" x14ac:dyDescent="0.35">
      <c r="A54">
        <f t="shared" si="36"/>
        <v>51</v>
      </c>
      <c r="B54">
        <f t="shared" si="37"/>
        <v>2031</v>
      </c>
      <c r="C54">
        <f t="shared" si="38"/>
        <v>3</v>
      </c>
      <c r="D54" s="5">
        <f t="shared" si="18"/>
        <v>1863918.2555071341</v>
      </c>
      <c r="E54" s="5">
        <f>IFERROR(IF($A54="", "", _xlfn.XLOOKUP(A54,Offset!A:A,Offset!I:I, 0)), 0)</f>
        <v>8942.3212072265687</v>
      </c>
      <c r="F54" s="5">
        <f t="shared" si="16"/>
        <v>1854975.9342999076</v>
      </c>
      <c r="G54" s="5">
        <f t="shared" si="39"/>
        <v>12366.506228666052</v>
      </c>
      <c r="H54" s="5">
        <f t="shared" si="40"/>
        <v>27061.314585087039</v>
      </c>
      <c r="I54" s="5">
        <f t="shared" si="17"/>
        <v>14694.808356420986</v>
      </c>
      <c r="J54" s="5">
        <f t="shared" si="19"/>
        <v>1849223.4471507131</v>
      </c>
      <c r="K54" s="5">
        <f t="shared" si="41"/>
        <v>59.615474714843792</v>
      </c>
      <c r="L54" s="5">
        <f t="shared" si="20"/>
        <v>17057.857986200528</v>
      </c>
      <c r="M54" s="5">
        <f t="shared" si="21"/>
        <v>729350.49099015456</v>
      </c>
      <c r="N54" s="5">
        <f t="shared" si="22"/>
        <v>1380127.0438394397</v>
      </c>
      <c r="O54" s="13">
        <f t="shared" si="23"/>
        <v>5</v>
      </c>
      <c r="Q54">
        <f t="shared" si="42"/>
        <v>51</v>
      </c>
      <c r="R54">
        <f t="shared" si="43"/>
        <v>2031</v>
      </c>
      <c r="S54">
        <f t="shared" si="44"/>
        <v>3</v>
      </c>
      <c r="T54" s="5">
        <f t="shared" si="24"/>
        <v>1885568.0126993011</v>
      </c>
      <c r="U54" s="5">
        <f t="shared" si="45"/>
        <v>12570.453417995341</v>
      </c>
      <c r="V54" s="5">
        <f t="shared" si="10"/>
        <v>27061.314585087039</v>
      </c>
      <c r="W54" s="5">
        <f t="shared" si="25"/>
        <v>14490.861167091698</v>
      </c>
      <c r="X54" s="5">
        <f t="shared" si="26"/>
        <v>1871077.1515322095</v>
      </c>
      <c r="Y54" s="5">
        <f t="shared" si="27"/>
        <v>751204.19537164783</v>
      </c>
      <c r="Z54" s="5">
        <f t="shared" si="28"/>
        <v>1380127.0438394397</v>
      </c>
      <c r="AA54" s="13">
        <f t="shared" si="29"/>
        <v>5</v>
      </c>
      <c r="AC54">
        <f t="shared" si="46"/>
        <v>51</v>
      </c>
      <c r="AD54">
        <f t="shared" si="47"/>
        <v>2031</v>
      </c>
      <c r="AE54">
        <f t="shared" si="48"/>
        <v>3</v>
      </c>
      <c r="AF54" s="5">
        <f t="shared" si="30"/>
        <v>1847146.2407566735</v>
      </c>
      <c r="AG54" s="5">
        <f t="shared" si="49"/>
        <v>12314.308271711157</v>
      </c>
      <c r="AH54" s="5">
        <f t="shared" si="15"/>
        <v>27711.314585087039</v>
      </c>
      <c r="AI54" s="5">
        <f t="shared" si="31"/>
        <v>15397.006313375881</v>
      </c>
      <c r="AJ54" s="5">
        <f t="shared" si="32"/>
        <v>1831749.2344432976</v>
      </c>
      <c r="AK54" s="5">
        <f t="shared" si="33"/>
        <v>745026.2782827362</v>
      </c>
      <c r="AL54" s="5">
        <f t="shared" si="34"/>
        <v>1413277.0438394397</v>
      </c>
      <c r="AM54" s="13">
        <f t="shared" si="35"/>
        <v>5</v>
      </c>
    </row>
    <row r="55" spans="1:39" x14ac:dyDescent="0.35">
      <c r="A55">
        <f t="shared" si="36"/>
        <v>52</v>
      </c>
      <c r="B55">
        <f t="shared" si="37"/>
        <v>2031</v>
      </c>
      <c r="C55">
        <f t="shared" si="38"/>
        <v>4</v>
      </c>
      <c r="D55" s="5">
        <f t="shared" si="18"/>
        <v>1849223.4471507131</v>
      </c>
      <c r="E55" s="5">
        <f>IFERROR(IF($A55="", "", _xlfn.XLOOKUP(A55,Offset!A:A,Offset!I:I, 0)), 0)</f>
        <v>11923.094942968759</v>
      </c>
      <c r="F55" s="5">
        <f t="shared" si="16"/>
        <v>1837300.3522077443</v>
      </c>
      <c r="G55" s="5">
        <f t="shared" si="39"/>
        <v>12248.669014718296</v>
      </c>
      <c r="H55" s="5">
        <f t="shared" si="40"/>
        <v>27061.314585087039</v>
      </c>
      <c r="I55" s="5">
        <f t="shared" si="17"/>
        <v>14812.645570368742</v>
      </c>
      <c r="J55" s="5">
        <f t="shared" si="19"/>
        <v>1834410.8015803443</v>
      </c>
      <c r="K55" s="5">
        <f t="shared" si="41"/>
        <v>79.487299619791727</v>
      </c>
      <c r="L55" s="5">
        <f t="shared" si="20"/>
        <v>17137.34528582032</v>
      </c>
      <c r="M55" s="5">
        <f t="shared" si="21"/>
        <v>741599.16000487283</v>
      </c>
      <c r="N55" s="5">
        <f t="shared" si="22"/>
        <v>1407188.3584245269</v>
      </c>
      <c r="O55" s="13">
        <f t="shared" si="23"/>
        <v>5</v>
      </c>
      <c r="Q55">
        <f t="shared" si="42"/>
        <v>52</v>
      </c>
      <c r="R55">
        <f t="shared" si="43"/>
        <v>2031</v>
      </c>
      <c r="S55">
        <f t="shared" si="44"/>
        <v>4</v>
      </c>
      <c r="T55" s="5">
        <f t="shared" si="24"/>
        <v>1871077.1515322095</v>
      </c>
      <c r="U55" s="5">
        <f t="shared" si="45"/>
        <v>12473.847676881398</v>
      </c>
      <c r="V55" s="5">
        <f t="shared" si="10"/>
        <v>27061.314585087039</v>
      </c>
      <c r="W55" s="5">
        <f t="shared" si="25"/>
        <v>14587.466908205641</v>
      </c>
      <c r="X55" s="5">
        <f t="shared" si="26"/>
        <v>1856489.6846240039</v>
      </c>
      <c r="Y55" s="5">
        <f t="shared" si="27"/>
        <v>763678.04304852919</v>
      </c>
      <c r="Z55" s="5">
        <f t="shared" si="28"/>
        <v>1407188.3584245269</v>
      </c>
      <c r="AA55" s="13">
        <f t="shared" si="29"/>
        <v>5</v>
      </c>
      <c r="AC55">
        <f t="shared" si="46"/>
        <v>52</v>
      </c>
      <c r="AD55">
        <f t="shared" si="47"/>
        <v>2031</v>
      </c>
      <c r="AE55">
        <f t="shared" si="48"/>
        <v>4</v>
      </c>
      <c r="AF55" s="5">
        <f t="shared" si="30"/>
        <v>1831749.2344432976</v>
      </c>
      <c r="AG55" s="5">
        <f t="shared" si="49"/>
        <v>12211.661562955318</v>
      </c>
      <c r="AH55" s="5">
        <f t="shared" si="15"/>
        <v>27711.314585087039</v>
      </c>
      <c r="AI55" s="5">
        <f t="shared" si="31"/>
        <v>15499.653022131721</v>
      </c>
      <c r="AJ55" s="5">
        <f t="shared" si="32"/>
        <v>1816249.581421166</v>
      </c>
      <c r="AK55" s="5">
        <f t="shared" si="33"/>
        <v>757237.93984569155</v>
      </c>
      <c r="AL55" s="5">
        <f t="shared" si="34"/>
        <v>1440988.3584245269</v>
      </c>
      <c r="AM55" s="13">
        <f t="shared" si="35"/>
        <v>5</v>
      </c>
    </row>
    <row r="56" spans="1:39" x14ac:dyDescent="0.35">
      <c r="A56">
        <f t="shared" si="36"/>
        <v>53</v>
      </c>
      <c r="B56">
        <f t="shared" si="37"/>
        <v>2031</v>
      </c>
      <c r="C56">
        <f t="shared" si="38"/>
        <v>5</v>
      </c>
      <c r="D56" s="5">
        <f t="shared" si="18"/>
        <v>1834410.8015803443</v>
      </c>
      <c r="E56" s="5">
        <f>IFERROR(IF($A56="", "", _xlfn.XLOOKUP(A56,Offset!A:A,Offset!I:I, 0)), 0)</f>
        <v>14903.868678710949</v>
      </c>
      <c r="F56" s="5">
        <f t="shared" si="16"/>
        <v>1819506.9329016334</v>
      </c>
      <c r="G56" s="5">
        <f t="shared" si="39"/>
        <v>12130.046219344224</v>
      </c>
      <c r="H56" s="5">
        <f t="shared" si="40"/>
        <v>27061.314585087039</v>
      </c>
      <c r="I56" s="5">
        <f t="shared" si="17"/>
        <v>14931.268365742815</v>
      </c>
      <c r="J56" s="5">
        <f t="shared" si="19"/>
        <v>1819479.5332146015</v>
      </c>
      <c r="K56" s="5">
        <f t="shared" si="41"/>
        <v>99.35912452473967</v>
      </c>
      <c r="L56" s="5">
        <f t="shared" si="20"/>
        <v>17236.704410345061</v>
      </c>
      <c r="M56" s="5">
        <f t="shared" si="21"/>
        <v>753729.20622421708</v>
      </c>
      <c r="N56" s="5">
        <f t="shared" si="22"/>
        <v>1434249.673009614</v>
      </c>
      <c r="O56" s="13">
        <f t="shared" si="23"/>
        <v>5</v>
      </c>
      <c r="Q56">
        <f t="shared" si="42"/>
        <v>53</v>
      </c>
      <c r="R56">
        <f t="shared" si="43"/>
        <v>2031</v>
      </c>
      <c r="S56">
        <f t="shared" si="44"/>
        <v>5</v>
      </c>
      <c r="T56" s="5">
        <f t="shared" si="24"/>
        <v>1856489.6846240039</v>
      </c>
      <c r="U56" s="5">
        <f t="shared" si="45"/>
        <v>12376.597897493361</v>
      </c>
      <c r="V56" s="5">
        <f t="shared" si="10"/>
        <v>27061.314585087039</v>
      </c>
      <c r="W56" s="5">
        <f t="shared" si="25"/>
        <v>14684.716687593678</v>
      </c>
      <c r="X56" s="5">
        <f t="shared" si="26"/>
        <v>1841804.9679364103</v>
      </c>
      <c r="Y56" s="5">
        <f t="shared" si="27"/>
        <v>776054.64094602258</v>
      </c>
      <c r="Z56" s="5">
        <f t="shared" si="28"/>
        <v>1434249.673009614</v>
      </c>
      <c r="AA56" s="13">
        <f t="shared" si="29"/>
        <v>5</v>
      </c>
      <c r="AC56">
        <f t="shared" si="46"/>
        <v>53</v>
      </c>
      <c r="AD56">
        <f t="shared" si="47"/>
        <v>2031</v>
      </c>
      <c r="AE56">
        <f t="shared" si="48"/>
        <v>5</v>
      </c>
      <c r="AF56" s="5">
        <f t="shared" si="30"/>
        <v>1816249.581421166</v>
      </c>
      <c r="AG56" s="5">
        <f t="shared" si="49"/>
        <v>12108.330542807775</v>
      </c>
      <c r="AH56" s="5">
        <f t="shared" si="15"/>
        <v>27711.314585087039</v>
      </c>
      <c r="AI56" s="5">
        <f t="shared" si="31"/>
        <v>15602.984042279264</v>
      </c>
      <c r="AJ56" s="5">
        <f t="shared" si="32"/>
        <v>1800646.5973788868</v>
      </c>
      <c r="AK56" s="5">
        <f t="shared" si="33"/>
        <v>769346.27038849937</v>
      </c>
      <c r="AL56" s="5">
        <f t="shared" si="34"/>
        <v>1468699.673009614</v>
      </c>
      <c r="AM56" s="13">
        <f t="shared" si="35"/>
        <v>5</v>
      </c>
    </row>
    <row r="57" spans="1:39" x14ac:dyDescent="0.35">
      <c r="A57">
        <f t="shared" si="36"/>
        <v>54</v>
      </c>
      <c r="B57">
        <f t="shared" si="37"/>
        <v>2031</v>
      </c>
      <c r="C57">
        <f t="shared" si="38"/>
        <v>6</v>
      </c>
      <c r="D57" s="5">
        <f t="shared" si="18"/>
        <v>1819479.5332146015</v>
      </c>
      <c r="E57" s="5">
        <f>IFERROR(IF($A57="", "", _xlfn.XLOOKUP(A57,Offset!A:A,Offset!I:I, 0)), 0)</f>
        <v>17884.642414453137</v>
      </c>
      <c r="F57" s="5">
        <f t="shared" si="16"/>
        <v>1801594.8908001482</v>
      </c>
      <c r="G57" s="5">
        <f t="shared" si="39"/>
        <v>12010.632605334322</v>
      </c>
      <c r="H57" s="5">
        <f t="shared" si="40"/>
        <v>27061.314585087039</v>
      </c>
      <c r="I57" s="5">
        <f t="shared" si="17"/>
        <v>15050.681979752717</v>
      </c>
      <c r="J57" s="5">
        <f t="shared" si="19"/>
        <v>1804428.8512348488</v>
      </c>
      <c r="K57" s="5">
        <f t="shared" si="41"/>
        <v>119.23094942968758</v>
      </c>
      <c r="L57" s="5">
        <f t="shared" si="20"/>
        <v>17355.935359774747</v>
      </c>
      <c r="M57" s="5">
        <f t="shared" si="21"/>
        <v>765739.83882955136</v>
      </c>
      <c r="N57" s="5">
        <f t="shared" si="22"/>
        <v>1461310.9875947011</v>
      </c>
      <c r="O57" s="13">
        <f t="shared" si="23"/>
        <v>5</v>
      </c>
      <c r="Q57">
        <f t="shared" si="42"/>
        <v>54</v>
      </c>
      <c r="R57">
        <f t="shared" si="43"/>
        <v>2031</v>
      </c>
      <c r="S57">
        <f t="shared" si="44"/>
        <v>6</v>
      </c>
      <c r="T57" s="5">
        <f t="shared" si="24"/>
        <v>1841804.9679364103</v>
      </c>
      <c r="U57" s="5">
        <f t="shared" si="45"/>
        <v>12278.699786242736</v>
      </c>
      <c r="V57" s="5">
        <f t="shared" si="10"/>
        <v>27061.314585087039</v>
      </c>
      <c r="W57" s="5">
        <f t="shared" si="25"/>
        <v>14782.614798844303</v>
      </c>
      <c r="X57" s="5">
        <f t="shared" si="26"/>
        <v>1827022.353137566</v>
      </c>
      <c r="Y57" s="5">
        <f t="shared" si="27"/>
        <v>788333.34073226526</v>
      </c>
      <c r="Z57" s="5">
        <f t="shared" si="28"/>
        <v>1461310.9875947011</v>
      </c>
      <c r="AA57" s="13">
        <f t="shared" si="29"/>
        <v>5</v>
      </c>
      <c r="AC57">
        <f t="shared" si="46"/>
        <v>54</v>
      </c>
      <c r="AD57">
        <f t="shared" si="47"/>
        <v>2031</v>
      </c>
      <c r="AE57">
        <f t="shared" si="48"/>
        <v>6</v>
      </c>
      <c r="AF57" s="5">
        <f t="shared" si="30"/>
        <v>1800646.5973788868</v>
      </c>
      <c r="AG57" s="5">
        <f t="shared" si="49"/>
        <v>12004.310649192579</v>
      </c>
      <c r="AH57" s="5">
        <f t="shared" si="15"/>
        <v>27711.314585087039</v>
      </c>
      <c r="AI57" s="5">
        <f t="shared" si="31"/>
        <v>15707.00393589446</v>
      </c>
      <c r="AJ57" s="5">
        <f t="shared" si="32"/>
        <v>1784939.5934429923</v>
      </c>
      <c r="AK57" s="5">
        <f t="shared" si="33"/>
        <v>781350.58103769191</v>
      </c>
      <c r="AL57" s="5">
        <f t="shared" si="34"/>
        <v>1496410.9875947011</v>
      </c>
      <c r="AM57" s="13">
        <f t="shared" si="35"/>
        <v>5</v>
      </c>
    </row>
    <row r="58" spans="1:39" x14ac:dyDescent="0.35">
      <c r="A58">
        <f t="shared" si="36"/>
        <v>55</v>
      </c>
      <c r="B58">
        <f t="shared" si="37"/>
        <v>2031</v>
      </c>
      <c r="C58">
        <f t="shared" si="38"/>
        <v>7</v>
      </c>
      <c r="D58" s="5">
        <f t="shared" si="18"/>
        <v>1804428.8512348488</v>
      </c>
      <c r="E58" s="5">
        <f>IFERROR(IF($A58="", "", _xlfn.XLOOKUP(A58,Offset!A:A,Offset!I:I, 0)), 0)</f>
        <v>20865.416150195328</v>
      </c>
      <c r="F58" s="5">
        <f t="shared" si="16"/>
        <v>1783563.4350846536</v>
      </c>
      <c r="G58" s="5">
        <f t="shared" si="39"/>
        <v>11890.422900564357</v>
      </c>
      <c r="H58" s="5">
        <f t="shared" si="40"/>
        <v>27061.314585087039</v>
      </c>
      <c r="I58" s="5">
        <f t="shared" si="17"/>
        <v>15170.891684522681</v>
      </c>
      <c r="J58" s="5">
        <f t="shared" si="19"/>
        <v>1789257.9595503262</v>
      </c>
      <c r="K58" s="5">
        <f t="shared" si="41"/>
        <v>139.10277433463554</v>
      </c>
      <c r="L58" s="5">
        <f t="shared" si="20"/>
        <v>17495.038134109382</v>
      </c>
      <c r="M58" s="5">
        <f t="shared" si="21"/>
        <v>777630.26173011574</v>
      </c>
      <c r="N58" s="5">
        <f t="shared" si="22"/>
        <v>1488372.3021797882</v>
      </c>
      <c r="O58" s="13">
        <f t="shared" si="23"/>
        <v>5</v>
      </c>
      <c r="Q58">
        <f t="shared" si="42"/>
        <v>55</v>
      </c>
      <c r="R58">
        <f t="shared" si="43"/>
        <v>2031</v>
      </c>
      <c r="S58">
        <f t="shared" si="44"/>
        <v>7</v>
      </c>
      <c r="T58" s="5">
        <f t="shared" si="24"/>
        <v>1827022.353137566</v>
      </c>
      <c r="U58" s="5">
        <f t="shared" si="45"/>
        <v>12180.149020917108</v>
      </c>
      <c r="V58" s="5">
        <f t="shared" si="10"/>
        <v>27061.314585087039</v>
      </c>
      <c r="W58" s="5">
        <f t="shared" si="25"/>
        <v>14881.165564169931</v>
      </c>
      <c r="X58" s="5">
        <f t="shared" si="26"/>
        <v>1812141.1875733961</v>
      </c>
      <c r="Y58" s="5">
        <f t="shared" si="27"/>
        <v>800513.4897531824</v>
      </c>
      <c r="Z58" s="5">
        <f t="shared" si="28"/>
        <v>1488372.3021797882</v>
      </c>
      <c r="AA58" s="13">
        <f t="shared" si="29"/>
        <v>5</v>
      </c>
      <c r="AC58">
        <f t="shared" si="46"/>
        <v>55</v>
      </c>
      <c r="AD58">
        <f t="shared" si="47"/>
        <v>2031</v>
      </c>
      <c r="AE58">
        <f t="shared" si="48"/>
        <v>7</v>
      </c>
      <c r="AF58" s="5">
        <f t="shared" si="30"/>
        <v>1784939.5934429923</v>
      </c>
      <c r="AG58" s="5">
        <f t="shared" si="49"/>
        <v>11899.597289619949</v>
      </c>
      <c r="AH58" s="5">
        <f t="shared" si="15"/>
        <v>27711.314585087039</v>
      </c>
      <c r="AI58" s="5">
        <f t="shared" si="31"/>
        <v>15811.71729546709</v>
      </c>
      <c r="AJ58" s="5">
        <f t="shared" si="32"/>
        <v>1769127.8761475252</v>
      </c>
      <c r="AK58" s="5">
        <f t="shared" si="33"/>
        <v>793250.17832731188</v>
      </c>
      <c r="AL58" s="5">
        <f t="shared" si="34"/>
        <v>1524122.3021797882</v>
      </c>
      <c r="AM58" s="13">
        <f t="shared" si="35"/>
        <v>5</v>
      </c>
    </row>
    <row r="59" spans="1:39" x14ac:dyDescent="0.35">
      <c r="A59">
        <f t="shared" si="36"/>
        <v>56</v>
      </c>
      <c r="B59">
        <f t="shared" si="37"/>
        <v>2031</v>
      </c>
      <c r="C59">
        <f t="shared" si="38"/>
        <v>8</v>
      </c>
      <c r="D59" s="5">
        <f t="shared" si="18"/>
        <v>1789257.9595503262</v>
      </c>
      <c r="E59" s="5">
        <f>IFERROR(IF($A59="", "", _xlfn.XLOOKUP(A59,Offset!A:A,Offset!I:I, 0)), 0)</f>
        <v>23846.189885937518</v>
      </c>
      <c r="F59" s="5">
        <f t="shared" si="16"/>
        <v>1765411.7696643886</v>
      </c>
      <c r="G59" s="5">
        <f t="shared" si="39"/>
        <v>11769.411797762592</v>
      </c>
      <c r="H59" s="5">
        <f t="shared" si="40"/>
        <v>27061.314585087039</v>
      </c>
      <c r="I59" s="5">
        <f t="shared" si="17"/>
        <v>15291.902787324447</v>
      </c>
      <c r="J59" s="5">
        <f t="shared" si="19"/>
        <v>1773966.0567630017</v>
      </c>
      <c r="K59" s="5">
        <f t="shared" si="41"/>
        <v>158.97459923958345</v>
      </c>
      <c r="L59" s="5">
        <f t="shared" si="20"/>
        <v>17654.012733348965</v>
      </c>
      <c r="M59" s="5">
        <f t="shared" si="21"/>
        <v>789399.67352787836</v>
      </c>
      <c r="N59" s="5">
        <f t="shared" si="22"/>
        <v>1515433.6167648754</v>
      </c>
      <c r="O59" s="13">
        <f t="shared" si="23"/>
        <v>5</v>
      </c>
      <c r="Q59">
        <f t="shared" si="42"/>
        <v>56</v>
      </c>
      <c r="R59">
        <f t="shared" si="43"/>
        <v>2031</v>
      </c>
      <c r="S59">
        <f t="shared" si="44"/>
        <v>8</v>
      </c>
      <c r="T59" s="5">
        <f t="shared" si="24"/>
        <v>1812141.1875733961</v>
      </c>
      <c r="U59" s="5">
        <f t="shared" si="45"/>
        <v>12080.941250489308</v>
      </c>
      <c r="V59" s="5">
        <f t="shared" si="10"/>
        <v>27061.314585087039</v>
      </c>
      <c r="W59" s="5">
        <f t="shared" si="25"/>
        <v>14980.373334597731</v>
      </c>
      <c r="X59" s="5">
        <f t="shared" si="26"/>
        <v>1797160.8142387983</v>
      </c>
      <c r="Y59" s="5">
        <f t="shared" si="27"/>
        <v>812594.43100367172</v>
      </c>
      <c r="Z59" s="5">
        <f t="shared" si="28"/>
        <v>1515433.6167648754</v>
      </c>
      <c r="AA59" s="13">
        <f t="shared" si="29"/>
        <v>5</v>
      </c>
      <c r="AC59">
        <f t="shared" si="46"/>
        <v>56</v>
      </c>
      <c r="AD59">
        <f t="shared" si="47"/>
        <v>2031</v>
      </c>
      <c r="AE59">
        <f t="shared" si="48"/>
        <v>8</v>
      </c>
      <c r="AF59" s="5">
        <f t="shared" si="30"/>
        <v>1769127.8761475252</v>
      </c>
      <c r="AG59" s="5">
        <f t="shared" si="49"/>
        <v>11794.185840983502</v>
      </c>
      <c r="AH59" s="5">
        <f t="shared" si="15"/>
        <v>27711.314585087039</v>
      </c>
      <c r="AI59" s="5">
        <f t="shared" si="31"/>
        <v>15917.128744103537</v>
      </c>
      <c r="AJ59" s="5">
        <f t="shared" si="32"/>
        <v>1753210.7474034217</v>
      </c>
      <c r="AK59" s="5">
        <f t="shared" si="33"/>
        <v>805044.3641682954</v>
      </c>
      <c r="AL59" s="5">
        <f t="shared" si="34"/>
        <v>1551833.6167648754</v>
      </c>
      <c r="AM59" s="13">
        <f t="shared" si="35"/>
        <v>5</v>
      </c>
    </row>
    <row r="60" spans="1:39" x14ac:dyDescent="0.35">
      <c r="A60">
        <f t="shared" si="36"/>
        <v>57</v>
      </c>
      <c r="B60">
        <f t="shared" si="37"/>
        <v>2031</v>
      </c>
      <c r="C60">
        <f t="shared" si="38"/>
        <v>9</v>
      </c>
      <c r="D60" s="5">
        <f t="shared" si="18"/>
        <v>1773966.0567630017</v>
      </c>
      <c r="E60" s="5">
        <f>IFERROR(IF($A60="", "", _xlfn.XLOOKUP(A60,Offset!A:A,Offset!I:I, 0)), 0)</f>
        <v>26826.963621679708</v>
      </c>
      <c r="F60" s="5">
        <f t="shared" si="16"/>
        <v>1747139.093141322</v>
      </c>
      <c r="G60" s="5">
        <f t="shared" si="39"/>
        <v>11647.59395427548</v>
      </c>
      <c r="H60" s="5">
        <f t="shared" si="40"/>
        <v>27061.314585087039</v>
      </c>
      <c r="I60" s="5">
        <f t="shared" si="17"/>
        <v>15413.720630811558</v>
      </c>
      <c r="J60" s="5">
        <f t="shared" si="19"/>
        <v>1758552.3361321902</v>
      </c>
      <c r="K60" s="5">
        <f t="shared" si="41"/>
        <v>178.8464241445314</v>
      </c>
      <c r="L60" s="5">
        <f t="shared" si="20"/>
        <v>17832.859157493498</v>
      </c>
      <c r="M60" s="5">
        <f t="shared" si="21"/>
        <v>801047.26748215384</v>
      </c>
      <c r="N60" s="5">
        <f t="shared" si="22"/>
        <v>1542494.9313499625</v>
      </c>
      <c r="O60" s="13">
        <f t="shared" si="23"/>
        <v>5</v>
      </c>
      <c r="Q60">
        <f t="shared" si="42"/>
        <v>57</v>
      </c>
      <c r="R60">
        <f t="shared" si="43"/>
        <v>2031</v>
      </c>
      <c r="S60">
        <f t="shared" si="44"/>
        <v>9</v>
      </c>
      <c r="T60" s="5">
        <f t="shared" si="24"/>
        <v>1797160.8142387983</v>
      </c>
      <c r="U60" s="5">
        <f t="shared" si="45"/>
        <v>11981.072094925323</v>
      </c>
      <c r="V60" s="5">
        <f t="shared" si="10"/>
        <v>27061.314585087039</v>
      </c>
      <c r="W60" s="5">
        <f t="shared" si="25"/>
        <v>15080.242490161716</v>
      </c>
      <c r="X60" s="5">
        <f t="shared" si="26"/>
        <v>1782080.5717486367</v>
      </c>
      <c r="Y60" s="5">
        <f t="shared" si="27"/>
        <v>824575.50309859705</v>
      </c>
      <c r="Z60" s="5">
        <f t="shared" si="28"/>
        <v>1542494.9313499625</v>
      </c>
      <c r="AA60" s="13">
        <f t="shared" si="29"/>
        <v>5</v>
      </c>
      <c r="AC60">
        <f t="shared" si="46"/>
        <v>57</v>
      </c>
      <c r="AD60">
        <f t="shared" si="47"/>
        <v>2031</v>
      </c>
      <c r="AE60">
        <f t="shared" si="48"/>
        <v>9</v>
      </c>
      <c r="AF60" s="5">
        <f t="shared" si="30"/>
        <v>1753210.7474034217</v>
      </c>
      <c r="AG60" s="5">
        <f t="shared" si="49"/>
        <v>11688.071649356145</v>
      </c>
      <c r="AH60" s="5">
        <f t="shared" si="15"/>
        <v>27711.314585087039</v>
      </c>
      <c r="AI60" s="5">
        <f t="shared" si="31"/>
        <v>16023.242935730894</v>
      </c>
      <c r="AJ60" s="5">
        <f t="shared" si="32"/>
        <v>1737187.5044676908</v>
      </c>
      <c r="AK60" s="5">
        <f t="shared" si="33"/>
        <v>816732.43581765157</v>
      </c>
      <c r="AL60" s="5">
        <f t="shared" si="34"/>
        <v>1579544.9313499625</v>
      </c>
      <c r="AM60" s="13">
        <f t="shared" si="35"/>
        <v>5</v>
      </c>
    </row>
    <row r="61" spans="1:39" x14ac:dyDescent="0.35">
      <c r="A61">
        <f t="shared" si="36"/>
        <v>58</v>
      </c>
      <c r="B61">
        <f t="shared" si="37"/>
        <v>2031</v>
      </c>
      <c r="C61">
        <f t="shared" si="38"/>
        <v>10</v>
      </c>
      <c r="D61" s="5">
        <f t="shared" si="18"/>
        <v>1758552.3361321902</v>
      </c>
      <c r="E61" s="5">
        <f>IFERROR(IF($A61="", "", _xlfn.XLOOKUP(A61,Offset!A:A,Offset!I:I, 0)), 0)</f>
        <v>29807.737357421898</v>
      </c>
      <c r="F61" s="5">
        <f t="shared" si="16"/>
        <v>1728744.5987747682</v>
      </c>
      <c r="G61" s="5">
        <f t="shared" si="39"/>
        <v>11524.963991831788</v>
      </c>
      <c r="H61" s="5">
        <f t="shared" si="40"/>
        <v>27061.314585087039</v>
      </c>
      <c r="I61" s="5">
        <f t="shared" si="17"/>
        <v>15536.350593255251</v>
      </c>
      <c r="J61" s="5">
        <f t="shared" si="19"/>
        <v>1743015.9855389348</v>
      </c>
      <c r="K61" s="5">
        <f t="shared" si="41"/>
        <v>198.71824904947934</v>
      </c>
      <c r="L61" s="5">
        <f t="shared" si="20"/>
        <v>18031.577406542976</v>
      </c>
      <c r="M61" s="5">
        <f t="shared" si="21"/>
        <v>812572.23147398559</v>
      </c>
      <c r="N61" s="5">
        <f t="shared" si="22"/>
        <v>1569556.2459350496</v>
      </c>
      <c r="O61" s="13">
        <f t="shared" si="23"/>
        <v>5</v>
      </c>
      <c r="Q61">
        <f t="shared" si="42"/>
        <v>58</v>
      </c>
      <c r="R61">
        <f t="shared" si="43"/>
        <v>2031</v>
      </c>
      <c r="S61">
        <f t="shared" si="44"/>
        <v>10</v>
      </c>
      <c r="T61" s="5">
        <f t="shared" si="24"/>
        <v>1782080.5717486367</v>
      </c>
      <c r="U61" s="5">
        <f t="shared" si="45"/>
        <v>11880.537144990913</v>
      </c>
      <c r="V61" s="5">
        <f t="shared" si="10"/>
        <v>27061.314585087039</v>
      </c>
      <c r="W61" s="5">
        <f t="shared" si="25"/>
        <v>15180.777440096126</v>
      </c>
      <c r="X61" s="5">
        <f t="shared" si="26"/>
        <v>1766899.7943085406</v>
      </c>
      <c r="Y61" s="5">
        <f t="shared" si="27"/>
        <v>836456.04024358792</v>
      </c>
      <c r="Z61" s="5">
        <f t="shared" si="28"/>
        <v>1569556.2459350496</v>
      </c>
      <c r="AA61" s="13">
        <f t="shared" si="29"/>
        <v>5</v>
      </c>
      <c r="AC61">
        <f t="shared" si="46"/>
        <v>58</v>
      </c>
      <c r="AD61">
        <f t="shared" si="47"/>
        <v>2031</v>
      </c>
      <c r="AE61">
        <f t="shared" si="48"/>
        <v>10</v>
      </c>
      <c r="AF61" s="5">
        <f t="shared" si="30"/>
        <v>1737187.5044676908</v>
      </c>
      <c r="AG61" s="5">
        <f t="shared" si="49"/>
        <v>11581.250029784605</v>
      </c>
      <c r="AH61" s="5">
        <f t="shared" si="15"/>
        <v>27711.314585087039</v>
      </c>
      <c r="AI61" s="5">
        <f t="shared" si="31"/>
        <v>16130.064555302433</v>
      </c>
      <c r="AJ61" s="5">
        <f t="shared" si="32"/>
        <v>1721057.4399123883</v>
      </c>
      <c r="AK61" s="5">
        <f t="shared" si="33"/>
        <v>828313.68584743619</v>
      </c>
      <c r="AL61" s="5">
        <f t="shared" si="34"/>
        <v>1607256.2459350496</v>
      </c>
      <c r="AM61" s="13">
        <f t="shared" si="35"/>
        <v>5</v>
      </c>
    </row>
    <row r="62" spans="1:39" x14ac:dyDescent="0.35">
      <c r="A62">
        <f t="shared" si="36"/>
        <v>59</v>
      </c>
      <c r="B62">
        <f t="shared" si="37"/>
        <v>2031</v>
      </c>
      <c r="C62">
        <f t="shared" si="38"/>
        <v>11</v>
      </c>
      <c r="D62" s="5">
        <f t="shared" si="18"/>
        <v>1743015.9855389348</v>
      </c>
      <c r="E62" s="5">
        <f>IFERROR(IF($A62="", "", _xlfn.XLOOKUP(A62,Offset!A:A,Offset!I:I, 0)), 0)</f>
        <v>32788.511093164088</v>
      </c>
      <c r="F62" s="5">
        <f t="shared" si="16"/>
        <v>1710227.4744457707</v>
      </c>
      <c r="G62" s="5">
        <f t="shared" si="39"/>
        <v>11401.516496305139</v>
      </c>
      <c r="H62" s="5">
        <f t="shared" si="40"/>
        <v>27061.314585087039</v>
      </c>
      <c r="I62" s="5">
        <f t="shared" si="17"/>
        <v>15659.798088781899</v>
      </c>
      <c r="J62" s="5">
        <f t="shared" si="19"/>
        <v>1727356.1874501528</v>
      </c>
      <c r="K62" s="5">
        <f t="shared" si="41"/>
        <v>218.59007395442728</v>
      </c>
      <c r="L62" s="5">
        <f t="shared" si="20"/>
        <v>18250.167480497403</v>
      </c>
      <c r="M62" s="5">
        <f t="shared" si="21"/>
        <v>823973.74797029071</v>
      </c>
      <c r="N62" s="5">
        <f t="shared" si="22"/>
        <v>1596617.5605201367</v>
      </c>
      <c r="O62" s="13">
        <f t="shared" si="23"/>
        <v>5</v>
      </c>
      <c r="Q62">
        <f t="shared" si="42"/>
        <v>59</v>
      </c>
      <c r="R62">
        <f t="shared" si="43"/>
        <v>2031</v>
      </c>
      <c r="S62">
        <f t="shared" si="44"/>
        <v>11</v>
      </c>
      <c r="T62" s="5">
        <f t="shared" si="24"/>
        <v>1766899.7943085406</v>
      </c>
      <c r="U62" s="5">
        <f t="shared" si="45"/>
        <v>11779.331962056938</v>
      </c>
      <c r="V62" s="5">
        <f t="shared" si="10"/>
        <v>27061.314585087039</v>
      </c>
      <c r="W62" s="5">
        <f t="shared" si="25"/>
        <v>15281.982623030101</v>
      </c>
      <c r="X62" s="5">
        <f t="shared" si="26"/>
        <v>1751617.8116855104</v>
      </c>
      <c r="Y62" s="5">
        <f t="shared" si="27"/>
        <v>848235.37220564485</v>
      </c>
      <c r="Z62" s="5">
        <f t="shared" si="28"/>
        <v>1596617.5605201367</v>
      </c>
      <c r="AA62" s="13">
        <f t="shared" si="29"/>
        <v>5</v>
      </c>
      <c r="AC62">
        <f t="shared" si="46"/>
        <v>59</v>
      </c>
      <c r="AD62">
        <f t="shared" si="47"/>
        <v>2031</v>
      </c>
      <c r="AE62">
        <f t="shared" si="48"/>
        <v>11</v>
      </c>
      <c r="AF62" s="5">
        <f t="shared" si="30"/>
        <v>1721057.4399123883</v>
      </c>
      <c r="AG62" s="5">
        <f t="shared" si="49"/>
        <v>11473.716266082589</v>
      </c>
      <c r="AH62" s="5">
        <f t="shared" si="15"/>
        <v>27711.314585087039</v>
      </c>
      <c r="AI62" s="5">
        <f t="shared" si="31"/>
        <v>16237.59831900445</v>
      </c>
      <c r="AJ62" s="5">
        <f t="shared" si="32"/>
        <v>1704819.8415933838</v>
      </c>
      <c r="AK62" s="5">
        <f t="shared" si="33"/>
        <v>839787.40211351879</v>
      </c>
      <c r="AL62" s="5">
        <f t="shared" si="34"/>
        <v>1634967.5605201367</v>
      </c>
      <c r="AM62" s="13">
        <f t="shared" si="35"/>
        <v>5</v>
      </c>
    </row>
    <row r="63" spans="1:39" x14ac:dyDescent="0.35">
      <c r="A63">
        <f t="shared" si="36"/>
        <v>60</v>
      </c>
      <c r="B63">
        <f t="shared" si="37"/>
        <v>2031</v>
      </c>
      <c r="C63">
        <f t="shared" si="38"/>
        <v>12</v>
      </c>
      <c r="D63" s="5">
        <f t="shared" si="18"/>
        <v>1727356.1874501528</v>
      </c>
      <c r="E63" s="5">
        <f>IFERROR(IF($A63="", "", _xlfn.XLOOKUP(A63,Offset!A:A,Offset!I:I, 0)), 0)</f>
        <v>35769.284828906275</v>
      </c>
      <c r="F63" s="5">
        <f t="shared" si="16"/>
        <v>1691586.9026212466</v>
      </c>
      <c r="G63" s="5">
        <f t="shared" si="39"/>
        <v>11277.246017474978</v>
      </c>
      <c r="H63" s="5">
        <f t="shared" si="40"/>
        <v>27061.314585087039</v>
      </c>
      <c r="I63" s="5">
        <f t="shared" si="17"/>
        <v>15784.068567612061</v>
      </c>
      <c r="J63" s="5">
        <f t="shared" si="19"/>
        <v>1711572.1188825408</v>
      </c>
      <c r="K63" s="5">
        <f t="shared" si="41"/>
        <v>238.46189885937517</v>
      </c>
      <c r="L63" s="5">
        <f t="shared" si="20"/>
        <v>18488.629379356778</v>
      </c>
      <c r="M63" s="5">
        <f t="shared" si="21"/>
        <v>835250.99398776575</v>
      </c>
      <c r="N63" s="5">
        <f t="shared" si="22"/>
        <v>1623678.8751052239</v>
      </c>
      <c r="O63" s="13">
        <f t="shared" si="23"/>
        <v>5</v>
      </c>
      <c r="Q63">
        <f t="shared" si="42"/>
        <v>60</v>
      </c>
      <c r="R63">
        <f t="shared" si="43"/>
        <v>2031</v>
      </c>
      <c r="S63">
        <f t="shared" si="44"/>
        <v>12</v>
      </c>
      <c r="T63" s="5">
        <f t="shared" si="24"/>
        <v>1751617.8116855104</v>
      </c>
      <c r="U63" s="5">
        <f t="shared" si="45"/>
        <v>11677.452077903403</v>
      </c>
      <c r="V63" s="5">
        <f t="shared" si="10"/>
        <v>27061.314585087039</v>
      </c>
      <c r="W63" s="5">
        <f t="shared" si="25"/>
        <v>15383.862507183636</v>
      </c>
      <c r="X63" s="5">
        <f t="shared" si="26"/>
        <v>1736233.9491783269</v>
      </c>
      <c r="Y63" s="5">
        <f t="shared" si="27"/>
        <v>859912.82428354828</v>
      </c>
      <c r="Z63" s="5">
        <f t="shared" si="28"/>
        <v>1623678.8751052239</v>
      </c>
      <c r="AA63" s="13">
        <f t="shared" si="29"/>
        <v>5</v>
      </c>
      <c r="AC63">
        <f t="shared" si="46"/>
        <v>60</v>
      </c>
      <c r="AD63">
        <f t="shared" si="47"/>
        <v>2031</v>
      </c>
      <c r="AE63">
        <f t="shared" si="48"/>
        <v>12</v>
      </c>
      <c r="AF63" s="5">
        <f t="shared" si="30"/>
        <v>1704819.8415933838</v>
      </c>
      <c r="AG63" s="5">
        <f t="shared" si="49"/>
        <v>11365.465610622559</v>
      </c>
      <c r="AH63" s="5">
        <f t="shared" si="15"/>
        <v>27711.314585087039</v>
      </c>
      <c r="AI63" s="5">
        <f t="shared" si="31"/>
        <v>16345.848974464479</v>
      </c>
      <c r="AJ63" s="5">
        <f t="shared" si="32"/>
        <v>1688473.9926189194</v>
      </c>
      <c r="AK63" s="5">
        <f t="shared" si="33"/>
        <v>851152.86772414134</v>
      </c>
      <c r="AL63" s="5">
        <f t="shared" si="34"/>
        <v>1662678.8751052239</v>
      </c>
      <c r="AM63" s="13">
        <f t="shared" si="35"/>
        <v>5</v>
      </c>
    </row>
    <row r="64" spans="1:39" x14ac:dyDescent="0.35">
      <c r="A64">
        <f t="shared" si="36"/>
        <v>61</v>
      </c>
      <c r="B64">
        <f t="shared" si="37"/>
        <v>2032</v>
      </c>
      <c r="C64">
        <f t="shared" si="38"/>
        <v>1</v>
      </c>
      <c r="D64" s="5">
        <f t="shared" si="18"/>
        <v>1711572.1188825408</v>
      </c>
      <c r="E64" s="5">
        <f>IFERROR(IF($A64="", "", _xlfn.XLOOKUP(A64,Offset!A:A,Offset!I:I, 0)), 0)</f>
        <v>2831.8555791357444</v>
      </c>
      <c r="F64" s="5">
        <f t="shared" si="16"/>
        <v>1708740.2633034051</v>
      </c>
      <c r="G64" s="5">
        <f t="shared" si="39"/>
        <v>11391.601755356034</v>
      </c>
      <c r="H64" s="5">
        <f t="shared" si="40"/>
        <v>27061.314585087039</v>
      </c>
      <c r="I64" s="5">
        <f t="shared" si="17"/>
        <v>15669.712829731005</v>
      </c>
      <c r="J64" s="5">
        <f t="shared" si="19"/>
        <v>1695902.4060528099</v>
      </c>
      <c r="K64" s="5">
        <f t="shared" si="41"/>
        <v>18.879037194238297</v>
      </c>
      <c r="L64" s="5">
        <f t="shared" si="20"/>
        <v>18507.508416551016</v>
      </c>
      <c r="M64" s="5">
        <f t="shared" si="21"/>
        <v>846642.59574312181</v>
      </c>
      <c r="N64" s="5">
        <f t="shared" si="22"/>
        <v>1650740.189690311</v>
      </c>
      <c r="O64" s="13">
        <f t="shared" si="23"/>
        <v>6</v>
      </c>
      <c r="Q64">
        <f t="shared" si="42"/>
        <v>61</v>
      </c>
      <c r="R64">
        <f t="shared" si="43"/>
        <v>2032</v>
      </c>
      <c r="S64">
        <f t="shared" si="44"/>
        <v>1</v>
      </c>
      <c r="T64" s="5">
        <f t="shared" si="24"/>
        <v>1736233.9491783269</v>
      </c>
      <c r="U64" s="5">
        <f t="shared" si="45"/>
        <v>11574.892994522181</v>
      </c>
      <c r="V64" s="5">
        <f t="shared" si="10"/>
        <v>27061.314585087039</v>
      </c>
      <c r="W64" s="5">
        <f t="shared" si="25"/>
        <v>15486.421590564858</v>
      </c>
      <c r="X64" s="5">
        <f t="shared" si="26"/>
        <v>1720747.5275877621</v>
      </c>
      <c r="Y64" s="5">
        <f t="shared" si="27"/>
        <v>871487.71727807052</v>
      </c>
      <c r="Z64" s="5">
        <f t="shared" si="28"/>
        <v>1650740.189690311</v>
      </c>
      <c r="AA64" s="13">
        <f t="shared" si="29"/>
        <v>6</v>
      </c>
      <c r="AC64">
        <f t="shared" si="46"/>
        <v>61</v>
      </c>
      <c r="AD64">
        <f t="shared" si="47"/>
        <v>2032</v>
      </c>
      <c r="AE64">
        <f t="shared" si="48"/>
        <v>1</v>
      </c>
      <c r="AF64" s="5">
        <f t="shared" si="30"/>
        <v>1688473.9926189194</v>
      </c>
      <c r="AG64" s="5">
        <f t="shared" si="49"/>
        <v>11256.493284126129</v>
      </c>
      <c r="AH64" s="5">
        <f t="shared" si="15"/>
        <v>27711.314585087039</v>
      </c>
      <c r="AI64" s="5">
        <f t="shared" si="31"/>
        <v>16454.82130096091</v>
      </c>
      <c r="AJ64" s="5">
        <f t="shared" si="32"/>
        <v>1672019.1713179585</v>
      </c>
      <c r="AK64" s="5">
        <f t="shared" si="33"/>
        <v>862409.3610082675</v>
      </c>
      <c r="AL64" s="5">
        <f t="shared" si="34"/>
        <v>1690390.189690311</v>
      </c>
      <c r="AM64" s="13">
        <f t="shared" si="35"/>
        <v>6</v>
      </c>
    </row>
    <row r="65" spans="1:39" x14ac:dyDescent="0.35">
      <c r="A65">
        <f t="shared" si="36"/>
        <v>62</v>
      </c>
      <c r="B65">
        <f t="shared" si="37"/>
        <v>2032</v>
      </c>
      <c r="C65">
        <f t="shared" si="38"/>
        <v>2</v>
      </c>
      <c r="D65" s="5">
        <f t="shared" si="18"/>
        <v>1695902.4060528099</v>
      </c>
      <c r="E65" s="5">
        <f>IFERROR(IF($A65="", "", _xlfn.XLOOKUP(A65,Offset!A:A,Offset!I:I, 0)), 0)</f>
        <v>5663.7111582714888</v>
      </c>
      <c r="F65" s="5">
        <f t="shared" si="16"/>
        <v>1690238.6948945385</v>
      </c>
      <c r="G65" s="5">
        <f t="shared" si="39"/>
        <v>11268.25796596359</v>
      </c>
      <c r="H65" s="5">
        <f t="shared" si="40"/>
        <v>27061.314585087039</v>
      </c>
      <c r="I65" s="5">
        <f t="shared" si="17"/>
        <v>15793.056619123448</v>
      </c>
      <c r="J65" s="5">
        <f t="shared" si="19"/>
        <v>1680109.3494336864</v>
      </c>
      <c r="K65" s="5">
        <f t="shared" si="41"/>
        <v>37.758074388476594</v>
      </c>
      <c r="L65" s="5">
        <f t="shared" si="20"/>
        <v>18545.266490939492</v>
      </c>
      <c r="M65" s="5">
        <f t="shared" si="21"/>
        <v>857910.85370908538</v>
      </c>
      <c r="N65" s="5">
        <f t="shared" si="22"/>
        <v>1677801.5042753981</v>
      </c>
      <c r="O65" s="13">
        <f t="shared" si="23"/>
        <v>6</v>
      </c>
      <c r="Q65">
        <f t="shared" si="42"/>
        <v>62</v>
      </c>
      <c r="R65">
        <f t="shared" si="43"/>
        <v>2032</v>
      </c>
      <c r="S65">
        <f t="shared" si="44"/>
        <v>2</v>
      </c>
      <c r="T65" s="5">
        <f t="shared" si="24"/>
        <v>1720747.5275877621</v>
      </c>
      <c r="U65" s="5">
        <f t="shared" si="45"/>
        <v>11471.650183918415</v>
      </c>
      <c r="V65" s="5">
        <f t="shared" si="10"/>
        <v>27061.314585087039</v>
      </c>
      <c r="W65" s="5">
        <f t="shared" si="25"/>
        <v>15589.664401168624</v>
      </c>
      <c r="X65" s="5">
        <f t="shared" si="26"/>
        <v>1705157.8631865934</v>
      </c>
      <c r="Y65" s="5">
        <f t="shared" si="27"/>
        <v>882959.36746198894</v>
      </c>
      <c r="Z65" s="5">
        <f t="shared" si="28"/>
        <v>1677801.5042753981</v>
      </c>
      <c r="AA65" s="13">
        <f t="shared" si="29"/>
        <v>6</v>
      </c>
      <c r="AC65">
        <f t="shared" si="46"/>
        <v>62</v>
      </c>
      <c r="AD65">
        <f t="shared" si="47"/>
        <v>2032</v>
      </c>
      <c r="AE65">
        <f t="shared" si="48"/>
        <v>2</v>
      </c>
      <c r="AF65" s="5">
        <f t="shared" si="30"/>
        <v>1672019.1713179585</v>
      </c>
      <c r="AG65" s="5">
        <f t="shared" si="49"/>
        <v>11146.794475453058</v>
      </c>
      <c r="AH65" s="5">
        <f t="shared" si="15"/>
        <v>27711.314585087039</v>
      </c>
      <c r="AI65" s="5">
        <f t="shared" si="31"/>
        <v>16564.520109633981</v>
      </c>
      <c r="AJ65" s="5">
        <f t="shared" si="32"/>
        <v>1655454.6512083246</v>
      </c>
      <c r="AK65" s="5">
        <f t="shared" si="33"/>
        <v>873556.15548372059</v>
      </c>
      <c r="AL65" s="5">
        <f t="shared" si="34"/>
        <v>1718101.5042753981</v>
      </c>
      <c r="AM65" s="13">
        <f t="shared" si="35"/>
        <v>6</v>
      </c>
    </row>
    <row r="66" spans="1:39" x14ac:dyDescent="0.35">
      <c r="A66">
        <f t="shared" si="36"/>
        <v>63</v>
      </c>
      <c r="B66">
        <f t="shared" si="37"/>
        <v>2032</v>
      </c>
      <c r="C66">
        <f t="shared" si="38"/>
        <v>3</v>
      </c>
      <c r="D66" s="5">
        <f t="shared" si="18"/>
        <v>1680109.3494336864</v>
      </c>
      <c r="E66" s="5">
        <f>IFERROR(IF($A66="", "", _xlfn.XLOOKUP(A66,Offset!A:A,Offset!I:I, 0)), 0)</f>
        <v>8495.5667374072327</v>
      </c>
      <c r="F66" s="5">
        <f t="shared" si="16"/>
        <v>1671613.7826962792</v>
      </c>
      <c r="G66" s="5">
        <f t="shared" si="39"/>
        <v>11144.091884641863</v>
      </c>
      <c r="H66" s="5">
        <f t="shared" si="40"/>
        <v>27061.314585087039</v>
      </c>
      <c r="I66" s="5">
        <f t="shared" si="17"/>
        <v>15917.222700445176</v>
      </c>
      <c r="J66" s="5">
        <f t="shared" si="19"/>
        <v>1664192.1267332411</v>
      </c>
      <c r="K66" s="5">
        <f t="shared" si="41"/>
        <v>56.637111582714887</v>
      </c>
      <c r="L66" s="5">
        <f t="shared" si="20"/>
        <v>18601.903602522205</v>
      </c>
      <c r="M66" s="5">
        <f t="shared" si="21"/>
        <v>869054.94559372729</v>
      </c>
      <c r="N66" s="5">
        <f t="shared" si="22"/>
        <v>1704862.8188604852</v>
      </c>
      <c r="O66" s="13">
        <f t="shared" si="23"/>
        <v>6</v>
      </c>
      <c r="Q66">
        <f t="shared" si="42"/>
        <v>63</v>
      </c>
      <c r="R66">
        <f t="shared" si="43"/>
        <v>2032</v>
      </c>
      <c r="S66">
        <f t="shared" si="44"/>
        <v>3</v>
      </c>
      <c r="T66" s="5">
        <f t="shared" si="24"/>
        <v>1705157.8631865934</v>
      </c>
      <c r="U66" s="5">
        <f t="shared" si="45"/>
        <v>11367.719087910624</v>
      </c>
      <c r="V66" s="5">
        <f t="shared" si="10"/>
        <v>27061.314585087039</v>
      </c>
      <c r="W66" s="5">
        <f t="shared" si="25"/>
        <v>15693.595497176415</v>
      </c>
      <c r="X66" s="5">
        <f t="shared" si="26"/>
        <v>1689464.2676894169</v>
      </c>
      <c r="Y66" s="5">
        <f t="shared" si="27"/>
        <v>894327.08654989954</v>
      </c>
      <c r="Z66" s="5">
        <f t="shared" si="28"/>
        <v>1704862.8188604852</v>
      </c>
      <c r="AA66" s="13">
        <f t="shared" si="29"/>
        <v>6</v>
      </c>
      <c r="AC66">
        <f t="shared" si="46"/>
        <v>63</v>
      </c>
      <c r="AD66">
        <f t="shared" si="47"/>
        <v>2032</v>
      </c>
      <c r="AE66">
        <f t="shared" si="48"/>
        <v>3</v>
      </c>
      <c r="AF66" s="5">
        <f t="shared" si="30"/>
        <v>1655454.6512083246</v>
      </c>
      <c r="AG66" s="5">
        <f t="shared" si="49"/>
        <v>11036.364341388831</v>
      </c>
      <c r="AH66" s="5">
        <f t="shared" si="15"/>
        <v>27711.314585087039</v>
      </c>
      <c r="AI66" s="5">
        <f t="shared" si="31"/>
        <v>16674.950243698207</v>
      </c>
      <c r="AJ66" s="5">
        <f t="shared" si="32"/>
        <v>1638779.7009646264</v>
      </c>
      <c r="AK66" s="5">
        <f t="shared" si="33"/>
        <v>884592.5198251094</v>
      </c>
      <c r="AL66" s="5">
        <f t="shared" si="34"/>
        <v>1745812.8188604852</v>
      </c>
      <c r="AM66" s="13">
        <f t="shared" si="35"/>
        <v>6</v>
      </c>
    </row>
    <row r="67" spans="1:39" x14ac:dyDescent="0.35">
      <c r="A67">
        <f t="shared" si="36"/>
        <v>64</v>
      </c>
      <c r="B67">
        <f t="shared" si="37"/>
        <v>2032</v>
      </c>
      <c r="C67">
        <f t="shared" si="38"/>
        <v>4</v>
      </c>
      <c r="D67" s="5">
        <f t="shared" si="18"/>
        <v>1664192.1267332411</v>
      </c>
      <c r="E67" s="5">
        <f>IFERROR(IF($A67="", "", _xlfn.XLOOKUP(A67,Offset!A:A,Offset!I:I, 0)), 0)</f>
        <v>11327.422316542978</v>
      </c>
      <c r="F67" s="5">
        <f t="shared" si="16"/>
        <v>1652864.7044166981</v>
      </c>
      <c r="G67" s="5">
        <f t="shared" si="39"/>
        <v>11019.098029444654</v>
      </c>
      <c r="H67" s="5">
        <f t="shared" si="40"/>
        <v>27061.314585087039</v>
      </c>
      <c r="I67" s="5">
        <f t="shared" si="17"/>
        <v>16042.216555642384</v>
      </c>
      <c r="J67" s="5">
        <f t="shared" si="19"/>
        <v>1648149.9101775987</v>
      </c>
      <c r="K67" s="5">
        <f t="shared" si="41"/>
        <v>75.516148776953187</v>
      </c>
      <c r="L67" s="5">
        <f t="shared" si="20"/>
        <v>18677.41975129916</v>
      </c>
      <c r="M67" s="5">
        <f t="shared" si="21"/>
        <v>880074.04362317198</v>
      </c>
      <c r="N67" s="5">
        <f t="shared" si="22"/>
        <v>1731924.1334455723</v>
      </c>
      <c r="O67" s="13">
        <f t="shared" si="23"/>
        <v>6</v>
      </c>
      <c r="Q67">
        <f t="shared" si="42"/>
        <v>64</v>
      </c>
      <c r="R67">
        <f t="shared" si="43"/>
        <v>2032</v>
      </c>
      <c r="S67">
        <f t="shared" si="44"/>
        <v>4</v>
      </c>
      <c r="T67" s="5">
        <f t="shared" si="24"/>
        <v>1689464.2676894169</v>
      </c>
      <c r="U67" s="5">
        <f t="shared" si="45"/>
        <v>11263.095117929446</v>
      </c>
      <c r="V67" s="5">
        <f t="shared" si="10"/>
        <v>27061.314585087039</v>
      </c>
      <c r="W67" s="5">
        <f t="shared" si="25"/>
        <v>15798.219467157593</v>
      </c>
      <c r="X67" s="5">
        <f t="shared" si="26"/>
        <v>1673666.0482222594</v>
      </c>
      <c r="Y67" s="5">
        <f t="shared" si="27"/>
        <v>905590.18166782893</v>
      </c>
      <c r="Z67" s="5">
        <f t="shared" si="28"/>
        <v>1731924.1334455723</v>
      </c>
      <c r="AA67" s="13">
        <f t="shared" si="29"/>
        <v>6</v>
      </c>
      <c r="AC67">
        <f t="shared" si="46"/>
        <v>64</v>
      </c>
      <c r="AD67">
        <f t="shared" si="47"/>
        <v>2032</v>
      </c>
      <c r="AE67">
        <f t="shared" si="48"/>
        <v>4</v>
      </c>
      <c r="AF67" s="5">
        <f t="shared" si="30"/>
        <v>1638779.7009646264</v>
      </c>
      <c r="AG67" s="5">
        <f t="shared" si="49"/>
        <v>10925.198006430843</v>
      </c>
      <c r="AH67" s="5">
        <f t="shared" si="15"/>
        <v>27711.314585087039</v>
      </c>
      <c r="AI67" s="5">
        <f t="shared" si="31"/>
        <v>16786.116578656198</v>
      </c>
      <c r="AJ67" s="5">
        <f t="shared" si="32"/>
        <v>1621993.5843859701</v>
      </c>
      <c r="AK67" s="5">
        <f t="shared" si="33"/>
        <v>895517.71783154027</v>
      </c>
      <c r="AL67" s="5">
        <f t="shared" si="34"/>
        <v>1773524.1334455723</v>
      </c>
      <c r="AM67" s="13">
        <f t="shared" si="35"/>
        <v>6</v>
      </c>
    </row>
    <row r="68" spans="1:39" x14ac:dyDescent="0.35">
      <c r="A68">
        <f t="shared" ref="A68:A99" si="50">IF(ROW()-3&lt;=TotalPeriods_Loan,ROW()-3,"")</f>
        <v>65</v>
      </c>
      <c r="B68">
        <f t="shared" ref="B68:B99" si="51">IF($A68="", "", YEAR(StartYear) + INT(($A68-1)/PPY_Loan))</f>
        <v>2032</v>
      </c>
      <c r="C68">
        <f t="shared" ref="C68:C99" si="52">IF($A68="", "", MOD(A68-1, PPY_Loan)+1)</f>
        <v>5</v>
      </c>
      <c r="D68" s="5">
        <f t="shared" si="18"/>
        <v>1648149.9101775987</v>
      </c>
      <c r="E68" s="5">
        <f>IFERROR(IF($A68="", "", _xlfn.XLOOKUP(A68,Offset!A:A,Offset!I:I, 0)), 0)</f>
        <v>14159.277895678722</v>
      </c>
      <c r="F68" s="5">
        <f t="shared" si="16"/>
        <v>1633990.6322819199</v>
      </c>
      <c r="G68" s="5">
        <f t="shared" ref="G68:G99" si="53">IFERROR(IF($A68="", "", F68*(LoanRate/PPY_Loan)), 0)</f>
        <v>10893.270881879467</v>
      </c>
      <c r="H68" s="5">
        <f t="shared" ref="H68:H99" si="54">IFERROR(IF($A68="", "", IF(D68&lt;=0, 0, MIN(StdPayment, D68+G68))), 0)</f>
        <v>27061.314585087039</v>
      </c>
      <c r="I68" s="5">
        <f t="shared" si="17"/>
        <v>16168.043703207572</v>
      </c>
      <c r="J68" s="5">
        <f t="shared" si="19"/>
        <v>1631981.8664743912</v>
      </c>
      <c r="K68" s="5">
        <f t="shared" ref="K68:K99" si="55">IFERROR(IF($A68="", "", IF(D68&lt;=0, 0, E68*(LoanRate/PPY_Loan))), 0)</f>
        <v>94.395185971191495</v>
      </c>
      <c r="L68" s="5">
        <f t="shared" si="20"/>
        <v>18771.814937270352</v>
      </c>
      <c r="M68" s="5">
        <f t="shared" si="21"/>
        <v>890967.31450505147</v>
      </c>
      <c r="N68" s="5">
        <f t="shared" si="22"/>
        <v>1758985.4480306595</v>
      </c>
      <c r="O68" s="13">
        <f t="shared" si="23"/>
        <v>6</v>
      </c>
      <c r="Q68">
        <f t="shared" ref="Q68:Q99" si="56">IF(ROW()-3&lt;=TotalPeriods_Loan,ROW()-3,"")</f>
        <v>65</v>
      </c>
      <c r="R68">
        <f t="shared" ref="R68:R99" si="57">IF($Q68="", "", YEAR(StartYear) + INT(($Q68-1)/PPY_Loan))</f>
        <v>2032</v>
      </c>
      <c r="S68">
        <f t="shared" ref="S68:S99" si="58">IF($Q68="", "", MOD(Q68-1, PPY_Loan)+1)</f>
        <v>5</v>
      </c>
      <c r="T68" s="5">
        <f t="shared" si="24"/>
        <v>1673666.0482222594</v>
      </c>
      <c r="U68" s="5">
        <f t="shared" ref="U68:U99" si="59">IFERROR(IF($Q68="", "", T68*(LoanRate/PPY_Loan)), 0)</f>
        <v>11157.773654815062</v>
      </c>
      <c r="V68" s="5">
        <f t="shared" ref="V68:V131" si="60">IFERROR(IF($Q68="", "", IF(T68&lt;=0, 0, MIN(StdPayment, T68+U68))), 0)</f>
        <v>27061.314585087039</v>
      </c>
      <c r="W68" s="5">
        <f t="shared" si="25"/>
        <v>15903.540930271976</v>
      </c>
      <c r="X68" s="5">
        <f t="shared" si="26"/>
        <v>1657762.5072919873</v>
      </c>
      <c r="Y68" s="5">
        <f t="shared" si="27"/>
        <v>916747.95532264397</v>
      </c>
      <c r="Z68" s="5">
        <f t="shared" si="28"/>
        <v>1758985.4480306595</v>
      </c>
      <c r="AA68" s="13">
        <f t="shared" si="29"/>
        <v>6</v>
      </c>
      <c r="AC68">
        <f t="shared" ref="AC68:AC99" si="61">IF(ROW()-3&lt;=TotalPeriods_Loan,ROW()-3,"")</f>
        <v>65</v>
      </c>
      <c r="AD68">
        <f t="shared" ref="AD68:AD99" si="62">IF($AC68="", "", YEAR(StartYear) + INT(($AC68-1)/PPY_Loan))</f>
        <v>2032</v>
      </c>
      <c r="AE68">
        <f t="shared" ref="AE68:AE99" si="63">IF($AC68="", "", MOD(AC68-1, PPY_Loan)+1)</f>
        <v>5</v>
      </c>
      <c r="AF68" s="5">
        <f t="shared" si="30"/>
        <v>1621993.5843859701</v>
      </c>
      <c r="AG68" s="5">
        <f t="shared" ref="AG68:AG99" si="64">IFERROR(IF($AC68="", "", AF68*(LoanRate/PPY_Loan)), 0)</f>
        <v>10813.290562573135</v>
      </c>
      <c r="AH68" s="5">
        <f t="shared" ref="AH68:AH131" si="65">IFERROR(IF($AC68="", "", IF(AF68&lt;=0, 0, MIN(StdPayment+IF(ISBLANK(ExtraRepay),0,ExtraRepay), AF68+AG68))), 0)</f>
        <v>27711.314585087039</v>
      </c>
      <c r="AI68" s="5">
        <f t="shared" si="31"/>
        <v>16898.024022513906</v>
      </c>
      <c r="AJ68" s="5">
        <f t="shared" si="32"/>
        <v>1605095.5603634561</v>
      </c>
      <c r="AK68" s="5">
        <f t="shared" si="33"/>
        <v>906331.00839411339</v>
      </c>
      <c r="AL68" s="5">
        <f t="shared" si="34"/>
        <v>1801235.4480306595</v>
      </c>
      <c r="AM68" s="13">
        <f t="shared" si="35"/>
        <v>6</v>
      </c>
    </row>
    <row r="69" spans="1:39" x14ac:dyDescent="0.35">
      <c r="A69">
        <f t="shared" si="50"/>
        <v>66</v>
      </c>
      <c r="B69">
        <f t="shared" si="51"/>
        <v>2032</v>
      </c>
      <c r="C69">
        <f t="shared" si="52"/>
        <v>6</v>
      </c>
      <c r="D69" s="5">
        <f t="shared" si="18"/>
        <v>1631981.8664743912</v>
      </c>
      <c r="E69" s="5">
        <f>IFERROR(IF($A69="", "", _xlfn.XLOOKUP(A69,Offset!A:A,Offset!I:I, 0)), 0)</f>
        <v>16991.133474814465</v>
      </c>
      <c r="F69" s="5">
        <f t="shared" ref="F69:F132" si="66">IFERROR(IF($A69="", "", MAX(0, D69 - E69)), 0)</f>
        <v>1614990.7329995767</v>
      </c>
      <c r="G69" s="5">
        <f t="shared" si="53"/>
        <v>10766.604886663845</v>
      </c>
      <c r="H69" s="5">
        <f t="shared" si="54"/>
        <v>27061.314585087039</v>
      </c>
      <c r="I69" s="5">
        <f t="shared" ref="I69:I132" si="67">IFERROR(IF($A69="", "", IF(D69&lt;=0, 0,H69-G69)), 0)</f>
        <v>16294.709698423194</v>
      </c>
      <c r="J69" s="5">
        <f t="shared" si="19"/>
        <v>1615687.1567759679</v>
      </c>
      <c r="K69" s="5">
        <f t="shared" si="55"/>
        <v>113.27422316542977</v>
      </c>
      <c r="L69" s="5">
        <f t="shared" si="20"/>
        <v>18885.089160435782</v>
      </c>
      <c r="M69" s="5">
        <f t="shared" si="21"/>
        <v>901733.91939171532</v>
      </c>
      <c r="N69" s="5">
        <f t="shared" si="22"/>
        <v>1786046.7626157466</v>
      </c>
      <c r="O69" s="13">
        <f t="shared" si="23"/>
        <v>6</v>
      </c>
      <c r="Q69">
        <f t="shared" si="56"/>
        <v>66</v>
      </c>
      <c r="R69">
        <f t="shared" si="57"/>
        <v>2032</v>
      </c>
      <c r="S69">
        <f t="shared" si="58"/>
        <v>6</v>
      </c>
      <c r="T69" s="5">
        <f t="shared" si="24"/>
        <v>1657762.5072919873</v>
      </c>
      <c r="U69" s="5">
        <f t="shared" si="59"/>
        <v>11051.750048613249</v>
      </c>
      <c r="V69" s="5">
        <f t="shared" si="60"/>
        <v>27061.314585087039</v>
      </c>
      <c r="W69" s="5">
        <f t="shared" si="25"/>
        <v>16009.56453647379</v>
      </c>
      <c r="X69" s="5">
        <f t="shared" si="26"/>
        <v>1641752.9427555136</v>
      </c>
      <c r="Y69" s="5">
        <f t="shared" si="27"/>
        <v>927799.70537125727</v>
      </c>
      <c r="Z69" s="5">
        <f t="shared" si="28"/>
        <v>1786046.7626157466</v>
      </c>
      <c r="AA69" s="13">
        <f t="shared" si="29"/>
        <v>6</v>
      </c>
      <c r="AC69">
        <f t="shared" si="61"/>
        <v>66</v>
      </c>
      <c r="AD69">
        <f t="shared" si="62"/>
        <v>2032</v>
      </c>
      <c r="AE69">
        <f t="shared" si="63"/>
        <v>6</v>
      </c>
      <c r="AF69" s="5">
        <f t="shared" si="30"/>
        <v>1605095.5603634561</v>
      </c>
      <c r="AG69" s="5">
        <f t="shared" si="64"/>
        <v>10700.637069089707</v>
      </c>
      <c r="AH69" s="5">
        <f t="shared" si="65"/>
        <v>27711.314585087039</v>
      </c>
      <c r="AI69" s="5">
        <f t="shared" si="31"/>
        <v>17010.677515997333</v>
      </c>
      <c r="AJ69" s="5">
        <f t="shared" si="32"/>
        <v>1588084.8828474588</v>
      </c>
      <c r="AK69" s="5">
        <f t="shared" si="33"/>
        <v>917031.64546320308</v>
      </c>
      <c r="AL69" s="5">
        <f t="shared" si="34"/>
        <v>1828946.7626157466</v>
      </c>
      <c r="AM69" s="13">
        <f t="shared" si="35"/>
        <v>6</v>
      </c>
    </row>
    <row r="70" spans="1:39" x14ac:dyDescent="0.35">
      <c r="A70">
        <f t="shared" si="50"/>
        <v>67</v>
      </c>
      <c r="B70">
        <f t="shared" si="51"/>
        <v>2032</v>
      </c>
      <c r="C70">
        <f t="shared" si="52"/>
        <v>7</v>
      </c>
      <c r="D70" s="5">
        <f t="shared" ref="D70:D133" si="68">IFERROR(IF($A70="", "",IF(J69&lt;=0, 0,J69)), 0)</f>
        <v>1615687.1567759679</v>
      </c>
      <c r="E70" s="5">
        <f>IFERROR(IF($A70="", "", _xlfn.XLOOKUP(A70,Offset!A:A,Offset!I:I, 0)), 0)</f>
        <v>19822.989053950208</v>
      </c>
      <c r="F70" s="5">
        <f t="shared" si="66"/>
        <v>1595864.1677220177</v>
      </c>
      <c r="G70" s="5">
        <f t="shared" si="53"/>
        <v>10639.094451480119</v>
      </c>
      <c r="H70" s="5">
        <f t="shared" si="54"/>
        <v>27061.314585087039</v>
      </c>
      <c r="I70" s="5">
        <f t="shared" si="67"/>
        <v>16422.220133606919</v>
      </c>
      <c r="J70" s="5">
        <f t="shared" ref="J70:J133" si="69">IFERROR(IF($A70="", "", IF(D70&lt;=0, 0, MAX(0, D70-I70))), 0)</f>
        <v>1599264.9366423611</v>
      </c>
      <c r="K70" s="5">
        <f t="shared" si="55"/>
        <v>132.15326035966805</v>
      </c>
      <c r="L70" s="5">
        <f t="shared" ref="L70:L133" si="70">IFERROR(IF($A70="", "", L69+K70), 0)</f>
        <v>19017.24242079545</v>
      </c>
      <c r="M70" s="5">
        <f t="shared" ref="M70:M133" si="71">IF($A70="","",M69+G70)</f>
        <v>912373.0138431954</v>
      </c>
      <c r="N70" s="5">
        <f t="shared" ref="N70:N133" si="72">IF($A70="","",N69+H70)</f>
        <v>1813108.0772008337</v>
      </c>
      <c r="O70" s="13">
        <f t="shared" ref="O70:O133" si="73">IF($A70="","",IF(B70&lt;&gt;B69,O69+1,O69))</f>
        <v>6</v>
      </c>
      <c r="Q70">
        <f t="shared" si="56"/>
        <v>67</v>
      </c>
      <c r="R70">
        <f t="shared" si="57"/>
        <v>2032</v>
      </c>
      <c r="S70">
        <f t="shared" si="58"/>
        <v>7</v>
      </c>
      <c r="T70" s="5">
        <f t="shared" ref="T70:T133" si="74">IFERROR(IF($Q70="", "",IF(X69&lt;=0, 0, X69)), 0)</f>
        <v>1641752.9427555136</v>
      </c>
      <c r="U70" s="5">
        <f t="shared" si="59"/>
        <v>10945.019618370092</v>
      </c>
      <c r="V70" s="5">
        <f t="shared" si="60"/>
        <v>27061.314585087039</v>
      </c>
      <c r="W70" s="5">
        <f t="shared" ref="W70:W133" si="75">IFERROR(IF($Q70="", "", IF(T70&lt;=0, 0, V70-U70)), 0)</f>
        <v>16116.294966716947</v>
      </c>
      <c r="X70" s="5">
        <f t="shared" ref="X70:X133" si="76">IFERROR(IF($Q70="", "", IF(T70&lt;=0, 0, MAX(0, T70-W70))), 0)</f>
        <v>1625636.6477887966</v>
      </c>
      <c r="Y70" s="5">
        <f t="shared" ref="Y70:Y133" si="77">IF($Q70="","",Y69+U70)</f>
        <v>938744.72498962737</v>
      </c>
      <c r="Z70" s="5">
        <f t="shared" ref="Z70:Z133" si="78">IF($Q70="","",Z69+V70)</f>
        <v>1813108.0772008337</v>
      </c>
      <c r="AA70" s="13">
        <f t="shared" ref="AA70:AA133" si="79">IF($Q70="","",IF(R70&lt;&gt;R69,AA69+1,AA69))</f>
        <v>6</v>
      </c>
      <c r="AC70">
        <f t="shared" si="61"/>
        <v>67</v>
      </c>
      <c r="AD70">
        <f t="shared" si="62"/>
        <v>2032</v>
      </c>
      <c r="AE70">
        <f t="shared" si="63"/>
        <v>7</v>
      </c>
      <c r="AF70" s="5">
        <f t="shared" ref="AF70:AF133" si="80">IFERROR(IF($AC70="", "",IF(AJ69&lt;=0, 0, AJ69)), 0)</f>
        <v>1588084.8828474588</v>
      </c>
      <c r="AG70" s="5">
        <f t="shared" si="64"/>
        <v>10587.232552316393</v>
      </c>
      <c r="AH70" s="5">
        <f t="shared" si="65"/>
        <v>27711.314585087039</v>
      </c>
      <c r="AI70" s="5">
        <f t="shared" ref="AI70:AI133" si="81">IFERROR(IF($AC70="", "", IF(AF70&lt;=0, 0, AH70-AG70)), 0)</f>
        <v>17124.082032770646</v>
      </c>
      <c r="AJ70" s="5">
        <f t="shared" ref="AJ70:AJ133" si="82">IFERROR(IF($AC70="", "", IF(AF70&lt;=0, 0, MAX(0, AF70-AI70))), 0)</f>
        <v>1570960.8008146882</v>
      </c>
      <c r="AK70" s="5">
        <f t="shared" ref="AK70:AK133" si="83">IF($AC70="","",AK69+AG70)</f>
        <v>927618.87801551947</v>
      </c>
      <c r="AL70" s="5">
        <f t="shared" ref="AL70:AL133" si="84">IF($AC70="","",AL69+AH70)</f>
        <v>1856658.0772008337</v>
      </c>
      <c r="AM70" s="13">
        <f t="shared" ref="AM70:AM133" si="85">IF($AC70="","",IF(AD70&lt;&gt;AD69,AM69+1,AM69))</f>
        <v>6</v>
      </c>
    </row>
    <row r="71" spans="1:39" x14ac:dyDescent="0.35">
      <c r="A71">
        <f t="shared" si="50"/>
        <v>68</v>
      </c>
      <c r="B71">
        <f t="shared" si="51"/>
        <v>2032</v>
      </c>
      <c r="C71">
        <f t="shared" si="52"/>
        <v>8</v>
      </c>
      <c r="D71" s="5">
        <f t="shared" si="68"/>
        <v>1599264.9366423611</v>
      </c>
      <c r="E71" s="5">
        <f>IFERROR(IF($A71="", "", _xlfn.XLOOKUP(A71,Offset!A:A,Offset!I:I, 0)), 0)</f>
        <v>22654.844633085952</v>
      </c>
      <c r="F71" s="5">
        <f t="shared" si="66"/>
        <v>1576610.0920092752</v>
      </c>
      <c r="G71" s="5">
        <f t="shared" si="53"/>
        <v>10510.733946728502</v>
      </c>
      <c r="H71" s="5">
        <f t="shared" si="54"/>
        <v>27061.314585087039</v>
      </c>
      <c r="I71" s="5">
        <f t="shared" si="67"/>
        <v>16550.580638358537</v>
      </c>
      <c r="J71" s="5">
        <f t="shared" si="69"/>
        <v>1582714.3560040025</v>
      </c>
      <c r="K71" s="5">
        <f t="shared" si="55"/>
        <v>151.03229755390635</v>
      </c>
      <c r="L71" s="5">
        <f t="shared" si="70"/>
        <v>19168.274718349356</v>
      </c>
      <c r="M71" s="5">
        <f t="shared" si="71"/>
        <v>922883.74778992392</v>
      </c>
      <c r="N71" s="5">
        <f t="shared" si="72"/>
        <v>1840169.3917859208</v>
      </c>
      <c r="O71" s="13">
        <f t="shared" si="73"/>
        <v>6</v>
      </c>
      <c r="Q71">
        <f t="shared" si="56"/>
        <v>68</v>
      </c>
      <c r="R71">
        <f t="shared" si="57"/>
        <v>2032</v>
      </c>
      <c r="S71">
        <f t="shared" si="58"/>
        <v>8</v>
      </c>
      <c r="T71" s="5">
        <f t="shared" si="74"/>
        <v>1625636.6477887966</v>
      </c>
      <c r="U71" s="5">
        <f t="shared" si="59"/>
        <v>10837.57765192531</v>
      </c>
      <c r="V71" s="5">
        <f t="shared" si="60"/>
        <v>27061.314585087039</v>
      </c>
      <c r="W71" s="5">
        <f t="shared" si="75"/>
        <v>16223.736933161728</v>
      </c>
      <c r="X71" s="5">
        <f t="shared" si="76"/>
        <v>1609412.9108556348</v>
      </c>
      <c r="Y71" s="5">
        <f t="shared" si="77"/>
        <v>949582.30264155264</v>
      </c>
      <c r="Z71" s="5">
        <f t="shared" si="78"/>
        <v>1840169.3917859208</v>
      </c>
      <c r="AA71" s="13">
        <f t="shared" si="79"/>
        <v>6</v>
      </c>
      <c r="AC71">
        <f t="shared" si="61"/>
        <v>68</v>
      </c>
      <c r="AD71">
        <f t="shared" si="62"/>
        <v>2032</v>
      </c>
      <c r="AE71">
        <f t="shared" si="63"/>
        <v>8</v>
      </c>
      <c r="AF71" s="5">
        <f t="shared" si="80"/>
        <v>1570960.8008146882</v>
      </c>
      <c r="AG71" s="5">
        <f t="shared" si="64"/>
        <v>10473.072005431255</v>
      </c>
      <c r="AH71" s="5">
        <f t="shared" si="65"/>
        <v>27711.314585087039</v>
      </c>
      <c r="AI71" s="5">
        <f t="shared" si="81"/>
        <v>17238.242579655784</v>
      </c>
      <c r="AJ71" s="5">
        <f t="shared" si="82"/>
        <v>1553722.5582350325</v>
      </c>
      <c r="AK71" s="5">
        <f t="shared" si="83"/>
        <v>938091.95002095075</v>
      </c>
      <c r="AL71" s="5">
        <f t="shared" si="84"/>
        <v>1884369.3917859208</v>
      </c>
      <c r="AM71" s="13">
        <f t="shared" si="85"/>
        <v>6</v>
      </c>
    </row>
    <row r="72" spans="1:39" x14ac:dyDescent="0.35">
      <c r="A72">
        <f t="shared" si="50"/>
        <v>69</v>
      </c>
      <c r="B72">
        <f t="shared" si="51"/>
        <v>2032</v>
      </c>
      <c r="C72">
        <f t="shared" si="52"/>
        <v>9</v>
      </c>
      <c r="D72" s="5">
        <f t="shared" si="68"/>
        <v>1582714.3560040025</v>
      </c>
      <c r="E72" s="5">
        <f>IFERROR(IF($A72="", "", _xlfn.XLOOKUP(A72,Offset!A:A,Offset!I:I, 0)), 0)</f>
        <v>25486.700212221695</v>
      </c>
      <c r="F72" s="5">
        <f t="shared" si="66"/>
        <v>1557227.6557917809</v>
      </c>
      <c r="G72" s="5">
        <f t="shared" si="53"/>
        <v>10381.51770527854</v>
      </c>
      <c r="H72" s="5">
        <f t="shared" si="54"/>
        <v>27061.314585087039</v>
      </c>
      <c r="I72" s="5">
        <f t="shared" si="67"/>
        <v>16679.796879808498</v>
      </c>
      <c r="J72" s="5">
        <f t="shared" si="69"/>
        <v>1566034.5591241941</v>
      </c>
      <c r="K72" s="5">
        <f t="shared" si="55"/>
        <v>169.91133474814464</v>
      </c>
      <c r="L72" s="5">
        <f t="shared" si="70"/>
        <v>19338.186053097499</v>
      </c>
      <c r="M72" s="5">
        <f t="shared" si="71"/>
        <v>933265.2654952025</v>
      </c>
      <c r="N72" s="5">
        <f t="shared" si="72"/>
        <v>1867230.706371008</v>
      </c>
      <c r="O72" s="13">
        <f t="shared" si="73"/>
        <v>6</v>
      </c>
      <c r="Q72">
        <f t="shared" si="56"/>
        <v>69</v>
      </c>
      <c r="R72">
        <f t="shared" si="57"/>
        <v>2032</v>
      </c>
      <c r="S72">
        <f t="shared" si="58"/>
        <v>9</v>
      </c>
      <c r="T72" s="5">
        <f t="shared" si="74"/>
        <v>1609412.9108556348</v>
      </c>
      <c r="U72" s="5">
        <f t="shared" si="59"/>
        <v>10729.419405704233</v>
      </c>
      <c r="V72" s="5">
        <f t="shared" si="60"/>
        <v>27061.314585087039</v>
      </c>
      <c r="W72" s="5">
        <f t="shared" si="75"/>
        <v>16331.895179382806</v>
      </c>
      <c r="X72" s="5">
        <f t="shared" si="76"/>
        <v>1593081.0156762521</v>
      </c>
      <c r="Y72" s="5">
        <f t="shared" si="77"/>
        <v>960311.72204725689</v>
      </c>
      <c r="Z72" s="5">
        <f t="shared" si="78"/>
        <v>1867230.706371008</v>
      </c>
      <c r="AA72" s="13">
        <f t="shared" si="79"/>
        <v>6</v>
      </c>
      <c r="AC72">
        <f t="shared" si="61"/>
        <v>69</v>
      </c>
      <c r="AD72">
        <f t="shared" si="62"/>
        <v>2032</v>
      </c>
      <c r="AE72">
        <f t="shared" si="63"/>
        <v>9</v>
      </c>
      <c r="AF72" s="5">
        <f t="shared" si="80"/>
        <v>1553722.5582350325</v>
      </c>
      <c r="AG72" s="5">
        <f t="shared" si="64"/>
        <v>10358.150388233551</v>
      </c>
      <c r="AH72" s="5">
        <f t="shared" si="65"/>
        <v>27711.314585087039</v>
      </c>
      <c r="AI72" s="5">
        <f t="shared" si="81"/>
        <v>17353.16419685349</v>
      </c>
      <c r="AJ72" s="5">
        <f t="shared" si="82"/>
        <v>1536369.394038179</v>
      </c>
      <c r="AK72" s="5">
        <f t="shared" si="83"/>
        <v>948450.10040918435</v>
      </c>
      <c r="AL72" s="5">
        <f t="shared" si="84"/>
        <v>1912080.706371008</v>
      </c>
      <c r="AM72" s="13">
        <f t="shared" si="85"/>
        <v>6</v>
      </c>
    </row>
    <row r="73" spans="1:39" x14ac:dyDescent="0.35">
      <c r="A73">
        <f t="shared" si="50"/>
        <v>70</v>
      </c>
      <c r="B73">
        <f t="shared" si="51"/>
        <v>2032</v>
      </c>
      <c r="C73">
        <f t="shared" si="52"/>
        <v>10</v>
      </c>
      <c r="D73" s="5">
        <f t="shared" si="68"/>
        <v>1566034.5591241941</v>
      </c>
      <c r="E73" s="5">
        <f>IFERROR(IF($A73="", "", _xlfn.XLOOKUP(A73,Offset!A:A,Offset!I:I, 0)), 0)</f>
        <v>28318.555791357438</v>
      </c>
      <c r="F73" s="5">
        <f t="shared" si="66"/>
        <v>1537716.0033328366</v>
      </c>
      <c r="G73" s="5">
        <f t="shared" si="53"/>
        <v>10251.440022218911</v>
      </c>
      <c r="H73" s="5">
        <f t="shared" si="54"/>
        <v>27061.314585087039</v>
      </c>
      <c r="I73" s="5">
        <f t="shared" si="67"/>
        <v>16809.874562868128</v>
      </c>
      <c r="J73" s="5">
        <f t="shared" si="69"/>
        <v>1549224.6845613259</v>
      </c>
      <c r="K73" s="5">
        <f t="shared" si="55"/>
        <v>188.79037194238293</v>
      </c>
      <c r="L73" s="5">
        <f t="shared" si="70"/>
        <v>19526.97642503988</v>
      </c>
      <c r="M73" s="5">
        <f t="shared" si="71"/>
        <v>943516.70551742136</v>
      </c>
      <c r="N73" s="5">
        <f t="shared" si="72"/>
        <v>1894292.0209560951</v>
      </c>
      <c r="O73" s="13">
        <f t="shared" si="73"/>
        <v>6</v>
      </c>
      <c r="Q73">
        <f t="shared" si="56"/>
        <v>70</v>
      </c>
      <c r="R73">
        <f t="shared" si="57"/>
        <v>2032</v>
      </c>
      <c r="S73">
        <f t="shared" si="58"/>
        <v>10</v>
      </c>
      <c r="T73" s="5">
        <f t="shared" si="74"/>
        <v>1593081.0156762521</v>
      </c>
      <c r="U73" s="5">
        <f t="shared" si="59"/>
        <v>10620.540104508347</v>
      </c>
      <c r="V73" s="5">
        <f t="shared" si="60"/>
        <v>27061.314585087039</v>
      </c>
      <c r="W73" s="5">
        <f t="shared" si="75"/>
        <v>16440.774480578693</v>
      </c>
      <c r="X73" s="5">
        <f t="shared" si="76"/>
        <v>1576640.2411956734</v>
      </c>
      <c r="Y73" s="5">
        <f t="shared" si="77"/>
        <v>970932.26215176529</v>
      </c>
      <c r="Z73" s="5">
        <f t="shared" si="78"/>
        <v>1894292.0209560951</v>
      </c>
      <c r="AA73" s="13">
        <f t="shared" si="79"/>
        <v>6</v>
      </c>
      <c r="AC73">
        <f t="shared" si="61"/>
        <v>70</v>
      </c>
      <c r="AD73">
        <f t="shared" si="62"/>
        <v>2032</v>
      </c>
      <c r="AE73">
        <f t="shared" si="63"/>
        <v>10</v>
      </c>
      <c r="AF73" s="5">
        <f t="shared" si="80"/>
        <v>1536369.394038179</v>
      </c>
      <c r="AG73" s="5">
        <f t="shared" si="64"/>
        <v>10242.462626921193</v>
      </c>
      <c r="AH73" s="5">
        <f t="shared" si="65"/>
        <v>27711.314585087039</v>
      </c>
      <c r="AI73" s="5">
        <f t="shared" si="81"/>
        <v>17468.851958165847</v>
      </c>
      <c r="AJ73" s="5">
        <f t="shared" si="82"/>
        <v>1518900.5420800131</v>
      </c>
      <c r="AK73" s="5">
        <f t="shared" si="83"/>
        <v>958692.5630361056</v>
      </c>
      <c r="AL73" s="5">
        <f t="shared" si="84"/>
        <v>1939792.0209560951</v>
      </c>
      <c r="AM73" s="13">
        <f t="shared" si="85"/>
        <v>6</v>
      </c>
    </row>
    <row r="74" spans="1:39" x14ac:dyDescent="0.35">
      <c r="A74">
        <f t="shared" si="50"/>
        <v>71</v>
      </c>
      <c r="B74">
        <f t="shared" si="51"/>
        <v>2032</v>
      </c>
      <c r="C74">
        <f t="shared" si="52"/>
        <v>11</v>
      </c>
      <c r="D74" s="5">
        <f t="shared" si="68"/>
        <v>1549224.6845613259</v>
      </c>
      <c r="E74" s="5">
        <f>IFERROR(IF($A74="", "", _xlfn.XLOOKUP(A74,Offset!A:A,Offset!I:I, 0)), 0)</f>
        <v>31150.411370493181</v>
      </c>
      <c r="F74" s="5">
        <f t="shared" si="66"/>
        <v>1518074.2731908327</v>
      </c>
      <c r="G74" s="5">
        <f t="shared" si="53"/>
        <v>10120.495154605553</v>
      </c>
      <c r="H74" s="5">
        <f t="shared" si="54"/>
        <v>27061.314585087039</v>
      </c>
      <c r="I74" s="5">
        <f t="shared" si="67"/>
        <v>16940.819430481486</v>
      </c>
      <c r="J74" s="5">
        <f t="shared" si="69"/>
        <v>1532283.8651308445</v>
      </c>
      <c r="K74" s="5">
        <f t="shared" si="55"/>
        <v>207.66940913662123</v>
      </c>
      <c r="L74" s="5">
        <f t="shared" si="70"/>
        <v>19734.645834176503</v>
      </c>
      <c r="M74" s="5">
        <f t="shared" si="71"/>
        <v>953637.20067202696</v>
      </c>
      <c r="N74" s="5">
        <f t="shared" si="72"/>
        <v>1921353.3355411822</v>
      </c>
      <c r="O74" s="13">
        <f t="shared" si="73"/>
        <v>6</v>
      </c>
      <c r="Q74">
        <f t="shared" si="56"/>
        <v>71</v>
      </c>
      <c r="R74">
        <f t="shared" si="57"/>
        <v>2032</v>
      </c>
      <c r="S74">
        <f t="shared" si="58"/>
        <v>11</v>
      </c>
      <c r="T74" s="5">
        <f t="shared" si="74"/>
        <v>1576640.2411956734</v>
      </c>
      <c r="U74" s="5">
        <f t="shared" si="59"/>
        <v>10510.934941304489</v>
      </c>
      <c r="V74" s="5">
        <f t="shared" si="60"/>
        <v>27061.314585087039</v>
      </c>
      <c r="W74" s="5">
        <f t="shared" si="75"/>
        <v>16550.379643782551</v>
      </c>
      <c r="X74" s="5">
        <f t="shared" si="76"/>
        <v>1560089.8615518908</v>
      </c>
      <c r="Y74" s="5">
        <f t="shared" si="77"/>
        <v>981443.19709306979</v>
      </c>
      <c r="Z74" s="5">
        <f t="shared" si="78"/>
        <v>1921353.3355411822</v>
      </c>
      <c r="AA74" s="13">
        <f t="shared" si="79"/>
        <v>6</v>
      </c>
      <c r="AC74">
        <f t="shared" si="61"/>
        <v>71</v>
      </c>
      <c r="AD74">
        <f t="shared" si="62"/>
        <v>2032</v>
      </c>
      <c r="AE74">
        <f t="shared" si="63"/>
        <v>11</v>
      </c>
      <c r="AF74" s="5">
        <f t="shared" si="80"/>
        <v>1518900.5420800131</v>
      </c>
      <c r="AG74" s="5">
        <f t="shared" si="64"/>
        <v>10126.003613866755</v>
      </c>
      <c r="AH74" s="5">
        <f t="shared" si="65"/>
        <v>27711.314585087039</v>
      </c>
      <c r="AI74" s="5">
        <f t="shared" si="81"/>
        <v>17585.310971220286</v>
      </c>
      <c r="AJ74" s="5">
        <f t="shared" si="82"/>
        <v>1501315.2311087928</v>
      </c>
      <c r="AK74" s="5">
        <f t="shared" si="83"/>
        <v>968818.56664997234</v>
      </c>
      <c r="AL74" s="5">
        <f t="shared" si="84"/>
        <v>1967503.3355411822</v>
      </c>
      <c r="AM74" s="13">
        <f t="shared" si="85"/>
        <v>6</v>
      </c>
    </row>
    <row r="75" spans="1:39" x14ac:dyDescent="0.35">
      <c r="A75">
        <f t="shared" si="50"/>
        <v>72</v>
      </c>
      <c r="B75">
        <f t="shared" si="51"/>
        <v>2032</v>
      </c>
      <c r="C75">
        <f t="shared" si="52"/>
        <v>12</v>
      </c>
      <c r="D75" s="5">
        <f t="shared" si="68"/>
        <v>1532283.8651308445</v>
      </c>
      <c r="E75" s="5">
        <f>IFERROR(IF($A75="", "", _xlfn.XLOOKUP(A75,Offset!A:A,Offset!I:I, 0)), 0)</f>
        <v>33982.266949628924</v>
      </c>
      <c r="F75" s="5">
        <f t="shared" si="66"/>
        <v>1498301.5981812156</v>
      </c>
      <c r="G75" s="5">
        <f t="shared" si="53"/>
        <v>9988.6773212081043</v>
      </c>
      <c r="H75" s="5">
        <f t="shared" si="54"/>
        <v>27061.314585087039</v>
      </c>
      <c r="I75" s="5">
        <f t="shared" si="67"/>
        <v>17072.637263878933</v>
      </c>
      <c r="J75" s="5">
        <f t="shared" si="69"/>
        <v>1515211.2278669656</v>
      </c>
      <c r="K75" s="5">
        <f t="shared" si="55"/>
        <v>226.54844633085949</v>
      </c>
      <c r="L75" s="5">
        <f t="shared" si="70"/>
        <v>19961.194280507363</v>
      </c>
      <c r="M75" s="5">
        <f t="shared" si="71"/>
        <v>963625.87799323502</v>
      </c>
      <c r="N75" s="5">
        <f t="shared" si="72"/>
        <v>1948414.6501262693</v>
      </c>
      <c r="O75" s="13">
        <f t="shared" si="73"/>
        <v>6</v>
      </c>
      <c r="Q75">
        <f t="shared" si="56"/>
        <v>72</v>
      </c>
      <c r="R75">
        <f t="shared" si="57"/>
        <v>2032</v>
      </c>
      <c r="S75">
        <f t="shared" si="58"/>
        <v>12</v>
      </c>
      <c r="T75" s="5">
        <f t="shared" si="74"/>
        <v>1560089.8615518908</v>
      </c>
      <c r="U75" s="5">
        <f t="shared" si="59"/>
        <v>10400.599077012606</v>
      </c>
      <c r="V75" s="5">
        <f t="shared" si="60"/>
        <v>27061.314585087039</v>
      </c>
      <c r="W75" s="5">
        <f t="shared" si="75"/>
        <v>16660.715508074434</v>
      </c>
      <c r="X75" s="5">
        <f t="shared" si="76"/>
        <v>1543429.1460438163</v>
      </c>
      <c r="Y75" s="5">
        <f t="shared" si="77"/>
        <v>991843.79617008241</v>
      </c>
      <c r="Z75" s="5">
        <f t="shared" si="78"/>
        <v>1948414.6501262693</v>
      </c>
      <c r="AA75" s="13">
        <f t="shared" si="79"/>
        <v>6</v>
      </c>
      <c r="AC75">
        <f t="shared" si="61"/>
        <v>72</v>
      </c>
      <c r="AD75">
        <f t="shared" si="62"/>
        <v>2032</v>
      </c>
      <c r="AE75">
        <f t="shared" si="63"/>
        <v>12</v>
      </c>
      <c r="AF75" s="5">
        <f t="shared" si="80"/>
        <v>1501315.2311087928</v>
      </c>
      <c r="AG75" s="5">
        <f t="shared" si="64"/>
        <v>10008.768207391953</v>
      </c>
      <c r="AH75" s="5">
        <f t="shared" si="65"/>
        <v>27711.314585087039</v>
      </c>
      <c r="AI75" s="5">
        <f t="shared" si="81"/>
        <v>17702.546377695086</v>
      </c>
      <c r="AJ75" s="5">
        <f t="shared" si="82"/>
        <v>1483612.6847310977</v>
      </c>
      <c r="AK75" s="5">
        <f t="shared" si="83"/>
        <v>978827.3348573643</v>
      </c>
      <c r="AL75" s="5">
        <f t="shared" si="84"/>
        <v>1995214.6501262693</v>
      </c>
      <c r="AM75" s="13">
        <f t="shared" si="85"/>
        <v>6</v>
      </c>
    </row>
    <row r="76" spans="1:39" x14ac:dyDescent="0.35">
      <c r="A76">
        <f t="shared" si="50"/>
        <v>73</v>
      </c>
      <c r="B76">
        <f t="shared" si="51"/>
        <v>2033</v>
      </c>
      <c r="C76">
        <f t="shared" si="52"/>
        <v>1</v>
      </c>
      <c r="D76" s="5">
        <f t="shared" si="68"/>
        <v>1515211.2278669656</v>
      </c>
      <c r="E76" s="5">
        <f>IFERROR(IF($A76="", "", _xlfn.XLOOKUP(A76,Offset!A:A,Offset!I:I, 0)), 0)</f>
        <v>3275.0478019474722</v>
      </c>
      <c r="F76" s="5">
        <f t="shared" si="66"/>
        <v>1511936.1800650181</v>
      </c>
      <c r="G76" s="5">
        <f t="shared" si="53"/>
        <v>10079.574533766789</v>
      </c>
      <c r="H76" s="5">
        <f t="shared" si="54"/>
        <v>27061.314585087039</v>
      </c>
      <c r="I76" s="5">
        <f t="shared" si="67"/>
        <v>16981.740051320252</v>
      </c>
      <c r="J76" s="5">
        <f t="shared" si="69"/>
        <v>1498229.4878156453</v>
      </c>
      <c r="K76" s="5">
        <f t="shared" si="55"/>
        <v>21.833652012983148</v>
      </c>
      <c r="L76" s="5">
        <f t="shared" si="70"/>
        <v>19983.027932520345</v>
      </c>
      <c r="M76" s="5">
        <f t="shared" si="71"/>
        <v>973705.45252700185</v>
      </c>
      <c r="N76" s="5">
        <f t="shared" si="72"/>
        <v>1975475.9647113564</v>
      </c>
      <c r="O76" s="13">
        <f t="shared" si="73"/>
        <v>7</v>
      </c>
      <c r="Q76">
        <f t="shared" si="56"/>
        <v>73</v>
      </c>
      <c r="R76">
        <f t="shared" si="57"/>
        <v>2033</v>
      </c>
      <c r="S76">
        <f t="shared" si="58"/>
        <v>1</v>
      </c>
      <c r="T76" s="5">
        <f t="shared" si="74"/>
        <v>1543429.1460438163</v>
      </c>
      <c r="U76" s="5">
        <f t="shared" si="59"/>
        <v>10289.52764029211</v>
      </c>
      <c r="V76" s="5">
        <f t="shared" si="60"/>
        <v>27061.314585087039</v>
      </c>
      <c r="W76" s="5">
        <f t="shared" si="75"/>
        <v>16771.786944794927</v>
      </c>
      <c r="X76" s="5">
        <f t="shared" si="76"/>
        <v>1526657.3590990214</v>
      </c>
      <c r="Y76" s="5">
        <f t="shared" si="77"/>
        <v>1002133.3238103745</v>
      </c>
      <c r="Z76" s="5">
        <f t="shared" si="78"/>
        <v>1975475.9647113564</v>
      </c>
      <c r="AA76" s="13">
        <f t="shared" si="79"/>
        <v>7</v>
      </c>
      <c r="AC76">
        <f t="shared" si="61"/>
        <v>73</v>
      </c>
      <c r="AD76">
        <f t="shared" si="62"/>
        <v>2033</v>
      </c>
      <c r="AE76">
        <f t="shared" si="63"/>
        <v>1</v>
      </c>
      <c r="AF76" s="5">
        <f t="shared" si="80"/>
        <v>1483612.6847310977</v>
      </c>
      <c r="AG76" s="5">
        <f t="shared" si="64"/>
        <v>9890.7512315406511</v>
      </c>
      <c r="AH76" s="5">
        <f t="shared" si="65"/>
        <v>27711.314585087039</v>
      </c>
      <c r="AI76" s="5">
        <f t="shared" si="81"/>
        <v>17820.563353546386</v>
      </c>
      <c r="AJ76" s="5">
        <f t="shared" si="82"/>
        <v>1465792.1213775512</v>
      </c>
      <c r="AK76" s="5">
        <f t="shared" si="83"/>
        <v>988718.08608890499</v>
      </c>
      <c r="AL76" s="5">
        <f t="shared" si="84"/>
        <v>2022925.9647113564</v>
      </c>
      <c r="AM76" s="13">
        <f t="shared" si="85"/>
        <v>7</v>
      </c>
    </row>
    <row r="77" spans="1:39" x14ac:dyDescent="0.35">
      <c r="A77">
        <f t="shared" si="50"/>
        <v>74</v>
      </c>
      <c r="B77">
        <f t="shared" si="51"/>
        <v>2033</v>
      </c>
      <c r="C77">
        <f t="shared" si="52"/>
        <v>2</v>
      </c>
      <c r="D77" s="5">
        <f t="shared" si="68"/>
        <v>1498229.4878156453</v>
      </c>
      <c r="E77" s="5">
        <f>IFERROR(IF($A77="", "", _xlfn.XLOOKUP(A77,Offset!A:A,Offset!I:I, 0)), 0)</f>
        <v>6550.0956038949444</v>
      </c>
      <c r="F77" s="5">
        <f t="shared" si="66"/>
        <v>1491679.3922117504</v>
      </c>
      <c r="G77" s="5">
        <f t="shared" si="53"/>
        <v>9944.5292814116692</v>
      </c>
      <c r="H77" s="5">
        <f t="shared" si="54"/>
        <v>27061.314585087039</v>
      </c>
      <c r="I77" s="5">
        <f t="shared" si="67"/>
        <v>17116.78530367537</v>
      </c>
      <c r="J77" s="5">
        <f t="shared" si="69"/>
        <v>1481112.70251197</v>
      </c>
      <c r="K77" s="5">
        <f t="shared" si="55"/>
        <v>43.667304025966295</v>
      </c>
      <c r="L77" s="5">
        <f t="shared" si="70"/>
        <v>20026.695236546311</v>
      </c>
      <c r="M77" s="5">
        <f t="shared" si="71"/>
        <v>983649.98180841352</v>
      </c>
      <c r="N77" s="5">
        <f t="shared" si="72"/>
        <v>2002537.2792964436</v>
      </c>
      <c r="O77" s="13">
        <f t="shared" si="73"/>
        <v>7</v>
      </c>
      <c r="Q77">
        <f t="shared" si="56"/>
        <v>74</v>
      </c>
      <c r="R77">
        <f t="shared" si="57"/>
        <v>2033</v>
      </c>
      <c r="S77">
        <f t="shared" si="58"/>
        <v>2</v>
      </c>
      <c r="T77" s="5">
        <f t="shared" si="74"/>
        <v>1526657.3590990214</v>
      </c>
      <c r="U77" s="5">
        <f t="shared" si="59"/>
        <v>10177.715727326809</v>
      </c>
      <c r="V77" s="5">
        <f t="shared" si="60"/>
        <v>27061.314585087039</v>
      </c>
      <c r="W77" s="5">
        <f t="shared" si="75"/>
        <v>16883.598857760229</v>
      </c>
      <c r="X77" s="5">
        <f t="shared" si="76"/>
        <v>1509773.7602412612</v>
      </c>
      <c r="Y77" s="5">
        <f t="shared" si="77"/>
        <v>1012311.0395377013</v>
      </c>
      <c r="Z77" s="5">
        <f t="shared" si="78"/>
        <v>2002537.2792964436</v>
      </c>
      <c r="AA77" s="13">
        <f t="shared" si="79"/>
        <v>7</v>
      </c>
      <c r="AC77">
        <f t="shared" si="61"/>
        <v>74</v>
      </c>
      <c r="AD77">
        <f t="shared" si="62"/>
        <v>2033</v>
      </c>
      <c r="AE77">
        <f t="shared" si="63"/>
        <v>2</v>
      </c>
      <c r="AF77" s="5">
        <f t="shared" si="80"/>
        <v>1465792.1213775512</v>
      </c>
      <c r="AG77" s="5">
        <f t="shared" si="64"/>
        <v>9771.947475850342</v>
      </c>
      <c r="AH77" s="5">
        <f t="shared" si="65"/>
        <v>27711.314585087039</v>
      </c>
      <c r="AI77" s="5">
        <f t="shared" si="81"/>
        <v>17939.367109236697</v>
      </c>
      <c r="AJ77" s="5">
        <f t="shared" si="82"/>
        <v>1447852.7542683145</v>
      </c>
      <c r="AK77" s="5">
        <f t="shared" si="83"/>
        <v>998490.03356475534</v>
      </c>
      <c r="AL77" s="5">
        <f t="shared" si="84"/>
        <v>2050637.2792964436</v>
      </c>
      <c r="AM77" s="13">
        <f t="shared" si="85"/>
        <v>7</v>
      </c>
    </row>
    <row r="78" spans="1:39" x14ac:dyDescent="0.35">
      <c r="A78">
        <f t="shared" si="50"/>
        <v>75</v>
      </c>
      <c r="B78">
        <f t="shared" si="51"/>
        <v>2033</v>
      </c>
      <c r="C78">
        <f t="shared" si="52"/>
        <v>3</v>
      </c>
      <c r="D78" s="5">
        <f t="shared" si="68"/>
        <v>1481112.70251197</v>
      </c>
      <c r="E78" s="5">
        <f>IFERROR(IF($A78="", "", _xlfn.XLOOKUP(A78,Offset!A:A,Offset!I:I, 0)), 0)</f>
        <v>9825.1434058424165</v>
      </c>
      <c r="F78" s="5">
        <f t="shared" si="66"/>
        <v>1471287.5591061276</v>
      </c>
      <c r="G78" s="5">
        <f t="shared" si="53"/>
        <v>9808.5837273741854</v>
      </c>
      <c r="H78" s="5">
        <f t="shared" si="54"/>
        <v>27061.314585087039</v>
      </c>
      <c r="I78" s="5">
        <f t="shared" si="67"/>
        <v>17252.730857712853</v>
      </c>
      <c r="J78" s="5">
        <f t="shared" si="69"/>
        <v>1463859.971654257</v>
      </c>
      <c r="K78" s="5">
        <f t="shared" si="55"/>
        <v>65.500956038949454</v>
      </c>
      <c r="L78" s="5">
        <f t="shared" si="70"/>
        <v>20092.196192585259</v>
      </c>
      <c r="M78" s="5">
        <f t="shared" si="71"/>
        <v>993458.56553578773</v>
      </c>
      <c r="N78" s="5">
        <f t="shared" si="72"/>
        <v>2029598.5938815307</v>
      </c>
      <c r="O78" s="13">
        <f t="shared" si="73"/>
        <v>7</v>
      </c>
      <c r="Q78">
        <f t="shared" si="56"/>
        <v>75</v>
      </c>
      <c r="R78">
        <f t="shared" si="57"/>
        <v>2033</v>
      </c>
      <c r="S78">
        <f t="shared" si="58"/>
        <v>3</v>
      </c>
      <c r="T78" s="5">
        <f t="shared" si="74"/>
        <v>1509773.7602412612</v>
      </c>
      <c r="U78" s="5">
        <f t="shared" si="59"/>
        <v>10065.158401608409</v>
      </c>
      <c r="V78" s="5">
        <f t="shared" si="60"/>
        <v>27061.314585087039</v>
      </c>
      <c r="W78" s="5">
        <f t="shared" si="75"/>
        <v>16996.15618347863</v>
      </c>
      <c r="X78" s="5">
        <f t="shared" si="76"/>
        <v>1492777.6040577826</v>
      </c>
      <c r="Y78" s="5">
        <f t="shared" si="77"/>
        <v>1022376.1979393098</v>
      </c>
      <c r="Z78" s="5">
        <f t="shared" si="78"/>
        <v>2029598.5938815307</v>
      </c>
      <c r="AA78" s="13">
        <f t="shared" si="79"/>
        <v>7</v>
      </c>
      <c r="AC78">
        <f t="shared" si="61"/>
        <v>75</v>
      </c>
      <c r="AD78">
        <f t="shared" si="62"/>
        <v>2033</v>
      </c>
      <c r="AE78">
        <f t="shared" si="63"/>
        <v>3</v>
      </c>
      <c r="AF78" s="5">
        <f t="shared" si="80"/>
        <v>1447852.7542683145</v>
      </c>
      <c r="AG78" s="5">
        <f t="shared" si="64"/>
        <v>9652.3516951220972</v>
      </c>
      <c r="AH78" s="5">
        <f t="shared" si="65"/>
        <v>27711.314585087039</v>
      </c>
      <c r="AI78" s="5">
        <f t="shared" si="81"/>
        <v>18058.96288996494</v>
      </c>
      <c r="AJ78" s="5">
        <f t="shared" si="82"/>
        <v>1429793.7913783495</v>
      </c>
      <c r="AK78" s="5">
        <f t="shared" si="83"/>
        <v>1008142.3852598774</v>
      </c>
      <c r="AL78" s="5">
        <f t="shared" si="84"/>
        <v>2078348.5938815307</v>
      </c>
      <c r="AM78" s="13">
        <f t="shared" si="85"/>
        <v>7</v>
      </c>
    </row>
    <row r="79" spans="1:39" x14ac:dyDescent="0.35">
      <c r="A79">
        <f t="shared" si="50"/>
        <v>76</v>
      </c>
      <c r="B79">
        <f t="shared" si="51"/>
        <v>2033</v>
      </c>
      <c r="C79">
        <f t="shared" si="52"/>
        <v>4</v>
      </c>
      <c r="D79" s="5">
        <f t="shared" si="68"/>
        <v>1463859.971654257</v>
      </c>
      <c r="E79" s="5">
        <f>IFERROR(IF($A79="", "", _xlfn.XLOOKUP(A79,Offset!A:A,Offset!I:I, 0)), 0)</f>
        <v>13100.191207789889</v>
      </c>
      <c r="F79" s="5">
        <f t="shared" si="66"/>
        <v>1450759.7804464672</v>
      </c>
      <c r="G79" s="5">
        <f t="shared" si="53"/>
        <v>9671.7318696431157</v>
      </c>
      <c r="H79" s="5">
        <f t="shared" si="54"/>
        <v>27061.314585087039</v>
      </c>
      <c r="I79" s="5">
        <f t="shared" si="67"/>
        <v>17389.582715443925</v>
      </c>
      <c r="J79" s="5">
        <f t="shared" si="69"/>
        <v>1446470.388938813</v>
      </c>
      <c r="K79" s="5">
        <f t="shared" si="55"/>
        <v>87.334608051932591</v>
      </c>
      <c r="L79" s="5">
        <f t="shared" si="70"/>
        <v>20179.530800637192</v>
      </c>
      <c r="M79" s="5">
        <f t="shared" si="71"/>
        <v>1003130.2974054308</v>
      </c>
      <c r="N79" s="5">
        <f t="shared" si="72"/>
        <v>2056659.9084666178</v>
      </c>
      <c r="O79" s="13">
        <f t="shared" si="73"/>
        <v>7</v>
      </c>
      <c r="Q79">
        <f t="shared" si="56"/>
        <v>76</v>
      </c>
      <c r="R79">
        <f t="shared" si="57"/>
        <v>2033</v>
      </c>
      <c r="S79">
        <f t="shared" si="58"/>
        <v>4</v>
      </c>
      <c r="T79" s="5">
        <f t="shared" si="74"/>
        <v>1492777.6040577826</v>
      </c>
      <c r="U79" s="5">
        <f t="shared" si="59"/>
        <v>9951.8506937185502</v>
      </c>
      <c r="V79" s="5">
        <f t="shared" si="60"/>
        <v>27061.314585087039</v>
      </c>
      <c r="W79" s="5">
        <f t="shared" si="75"/>
        <v>17109.46389136849</v>
      </c>
      <c r="X79" s="5">
        <f t="shared" si="76"/>
        <v>1475668.140166414</v>
      </c>
      <c r="Y79" s="5">
        <f t="shared" si="77"/>
        <v>1032328.0486330283</v>
      </c>
      <c r="Z79" s="5">
        <f t="shared" si="78"/>
        <v>2056659.9084666178</v>
      </c>
      <c r="AA79" s="13">
        <f t="shared" si="79"/>
        <v>7</v>
      </c>
      <c r="AC79">
        <f t="shared" si="61"/>
        <v>76</v>
      </c>
      <c r="AD79">
        <f t="shared" si="62"/>
        <v>2033</v>
      </c>
      <c r="AE79">
        <f t="shared" si="63"/>
        <v>4</v>
      </c>
      <c r="AF79" s="5">
        <f t="shared" si="80"/>
        <v>1429793.7913783495</v>
      </c>
      <c r="AG79" s="5">
        <f t="shared" si="64"/>
        <v>9531.9586091889978</v>
      </c>
      <c r="AH79" s="5">
        <f t="shared" si="65"/>
        <v>27711.314585087039</v>
      </c>
      <c r="AI79" s="5">
        <f t="shared" si="81"/>
        <v>18179.355975898041</v>
      </c>
      <c r="AJ79" s="5">
        <f t="shared" si="82"/>
        <v>1411614.4354024515</v>
      </c>
      <c r="AK79" s="5">
        <f t="shared" si="83"/>
        <v>1017674.3438690664</v>
      </c>
      <c r="AL79" s="5">
        <f t="shared" si="84"/>
        <v>2106059.9084666176</v>
      </c>
      <c r="AM79" s="13">
        <f t="shared" si="85"/>
        <v>7</v>
      </c>
    </row>
    <row r="80" spans="1:39" x14ac:dyDescent="0.35">
      <c r="A80">
        <f t="shared" si="50"/>
        <v>77</v>
      </c>
      <c r="B80">
        <f t="shared" si="51"/>
        <v>2033</v>
      </c>
      <c r="C80">
        <f t="shared" si="52"/>
        <v>5</v>
      </c>
      <c r="D80" s="5">
        <f t="shared" si="68"/>
        <v>1446470.388938813</v>
      </c>
      <c r="E80" s="5">
        <f>IFERROR(IF($A80="", "", _xlfn.XLOOKUP(A80,Offset!A:A,Offset!I:I, 0)), 0)</f>
        <v>16375.239009737361</v>
      </c>
      <c r="F80" s="5">
        <f t="shared" si="66"/>
        <v>1430095.1499290757</v>
      </c>
      <c r="G80" s="5">
        <f t="shared" si="53"/>
        <v>9533.9676661938392</v>
      </c>
      <c r="H80" s="5">
        <f t="shared" si="54"/>
        <v>27061.314585087039</v>
      </c>
      <c r="I80" s="5">
        <f t="shared" si="67"/>
        <v>17527.346918893199</v>
      </c>
      <c r="J80" s="5">
        <f t="shared" si="69"/>
        <v>1428943.0420199197</v>
      </c>
      <c r="K80" s="5">
        <f t="shared" si="55"/>
        <v>109.16826006491574</v>
      </c>
      <c r="L80" s="5">
        <f t="shared" si="70"/>
        <v>20288.699060702107</v>
      </c>
      <c r="M80" s="5">
        <f t="shared" si="71"/>
        <v>1012664.2650716247</v>
      </c>
      <c r="N80" s="5">
        <f t="shared" si="72"/>
        <v>2083721.2230517049</v>
      </c>
      <c r="O80" s="13">
        <f t="shared" si="73"/>
        <v>7</v>
      </c>
      <c r="Q80">
        <f t="shared" si="56"/>
        <v>77</v>
      </c>
      <c r="R80">
        <f t="shared" si="57"/>
        <v>2033</v>
      </c>
      <c r="S80">
        <f t="shared" si="58"/>
        <v>5</v>
      </c>
      <c r="T80" s="5">
        <f t="shared" si="74"/>
        <v>1475668.140166414</v>
      </c>
      <c r="U80" s="5">
        <f t="shared" si="59"/>
        <v>9837.7876011094268</v>
      </c>
      <c r="V80" s="5">
        <f t="shared" si="60"/>
        <v>27061.314585087039</v>
      </c>
      <c r="W80" s="5">
        <f t="shared" si="75"/>
        <v>17223.526983977612</v>
      </c>
      <c r="X80" s="5">
        <f t="shared" si="76"/>
        <v>1458444.6131824364</v>
      </c>
      <c r="Y80" s="5">
        <f t="shared" si="77"/>
        <v>1042165.8362341378</v>
      </c>
      <c r="Z80" s="5">
        <f t="shared" si="78"/>
        <v>2083721.2230517049</v>
      </c>
      <c r="AA80" s="13">
        <f t="shared" si="79"/>
        <v>7</v>
      </c>
      <c r="AC80">
        <f t="shared" si="61"/>
        <v>77</v>
      </c>
      <c r="AD80">
        <f t="shared" si="62"/>
        <v>2033</v>
      </c>
      <c r="AE80">
        <f t="shared" si="63"/>
        <v>5</v>
      </c>
      <c r="AF80" s="5">
        <f t="shared" si="80"/>
        <v>1411614.4354024515</v>
      </c>
      <c r="AG80" s="5">
        <f t="shared" si="64"/>
        <v>9410.7629026830109</v>
      </c>
      <c r="AH80" s="5">
        <f t="shared" si="65"/>
        <v>27711.314585087039</v>
      </c>
      <c r="AI80" s="5">
        <f t="shared" si="81"/>
        <v>18300.551682404028</v>
      </c>
      <c r="AJ80" s="5">
        <f t="shared" si="82"/>
        <v>1393313.8837200475</v>
      </c>
      <c r="AK80" s="5">
        <f t="shared" si="83"/>
        <v>1027085.1067717494</v>
      </c>
      <c r="AL80" s="5">
        <f t="shared" si="84"/>
        <v>2133771.2230517045</v>
      </c>
      <c r="AM80" s="13">
        <f t="shared" si="85"/>
        <v>7</v>
      </c>
    </row>
    <row r="81" spans="1:39" x14ac:dyDescent="0.35">
      <c r="A81">
        <f t="shared" si="50"/>
        <v>78</v>
      </c>
      <c r="B81">
        <f t="shared" si="51"/>
        <v>2033</v>
      </c>
      <c r="C81">
        <f t="shared" si="52"/>
        <v>6</v>
      </c>
      <c r="D81" s="5">
        <f t="shared" si="68"/>
        <v>1428943.0420199197</v>
      </c>
      <c r="E81" s="5">
        <f>IFERROR(IF($A81="", "", _xlfn.XLOOKUP(A81,Offset!A:A,Offset!I:I, 0)), 0)</f>
        <v>19650.286811684833</v>
      </c>
      <c r="F81" s="5">
        <f t="shared" si="66"/>
        <v>1409292.755208235</v>
      </c>
      <c r="G81" s="5">
        <f t="shared" si="53"/>
        <v>9395.2850347215681</v>
      </c>
      <c r="H81" s="5">
        <f t="shared" si="54"/>
        <v>27061.314585087039</v>
      </c>
      <c r="I81" s="5">
        <f t="shared" si="67"/>
        <v>17666.029550365471</v>
      </c>
      <c r="J81" s="5">
        <f t="shared" si="69"/>
        <v>1411277.0124695543</v>
      </c>
      <c r="K81" s="5">
        <f t="shared" si="55"/>
        <v>131.00191207789891</v>
      </c>
      <c r="L81" s="5">
        <f t="shared" si="70"/>
        <v>20419.700972780007</v>
      </c>
      <c r="M81" s="5">
        <f t="shared" si="71"/>
        <v>1022059.5501063463</v>
      </c>
      <c r="N81" s="5">
        <f t="shared" si="72"/>
        <v>2110782.5376367918</v>
      </c>
      <c r="O81" s="13">
        <f t="shared" si="73"/>
        <v>7</v>
      </c>
      <c r="Q81">
        <f t="shared" si="56"/>
        <v>78</v>
      </c>
      <c r="R81">
        <f t="shared" si="57"/>
        <v>2033</v>
      </c>
      <c r="S81">
        <f t="shared" si="58"/>
        <v>6</v>
      </c>
      <c r="T81" s="5">
        <f t="shared" si="74"/>
        <v>1458444.6131824364</v>
      </c>
      <c r="U81" s="5">
        <f t="shared" si="59"/>
        <v>9722.9640878829105</v>
      </c>
      <c r="V81" s="5">
        <f t="shared" si="60"/>
        <v>27061.314585087039</v>
      </c>
      <c r="W81" s="5">
        <f t="shared" si="75"/>
        <v>17338.350497204126</v>
      </c>
      <c r="X81" s="5">
        <f t="shared" si="76"/>
        <v>1441106.2626852323</v>
      </c>
      <c r="Y81" s="5">
        <f t="shared" si="77"/>
        <v>1051888.8003220207</v>
      </c>
      <c r="Z81" s="5">
        <f t="shared" si="78"/>
        <v>2110782.5376367918</v>
      </c>
      <c r="AA81" s="13">
        <f t="shared" si="79"/>
        <v>7</v>
      </c>
      <c r="AC81">
        <f t="shared" si="61"/>
        <v>78</v>
      </c>
      <c r="AD81">
        <f t="shared" si="62"/>
        <v>2033</v>
      </c>
      <c r="AE81">
        <f t="shared" si="63"/>
        <v>6</v>
      </c>
      <c r="AF81" s="5">
        <f t="shared" si="80"/>
        <v>1393313.8837200475</v>
      </c>
      <c r="AG81" s="5">
        <f t="shared" si="64"/>
        <v>9288.7592248003184</v>
      </c>
      <c r="AH81" s="5">
        <f t="shared" si="65"/>
        <v>27711.314585087039</v>
      </c>
      <c r="AI81" s="5">
        <f t="shared" si="81"/>
        <v>18422.555360286722</v>
      </c>
      <c r="AJ81" s="5">
        <f t="shared" si="82"/>
        <v>1374891.3283597608</v>
      </c>
      <c r="AK81" s="5">
        <f t="shared" si="83"/>
        <v>1036373.8659965497</v>
      </c>
      <c r="AL81" s="5">
        <f t="shared" si="84"/>
        <v>2161482.5376367914</v>
      </c>
      <c r="AM81" s="13">
        <f t="shared" si="85"/>
        <v>7</v>
      </c>
    </row>
    <row r="82" spans="1:39" x14ac:dyDescent="0.35">
      <c r="A82">
        <f t="shared" si="50"/>
        <v>79</v>
      </c>
      <c r="B82">
        <f t="shared" si="51"/>
        <v>2033</v>
      </c>
      <c r="C82">
        <f t="shared" si="52"/>
        <v>7</v>
      </c>
      <c r="D82" s="5">
        <f t="shared" si="68"/>
        <v>1411277.0124695543</v>
      </c>
      <c r="E82" s="5">
        <f>IFERROR(IF($A82="", "", _xlfn.XLOOKUP(A82,Offset!A:A,Offset!I:I, 0)), 0)</f>
        <v>22925.334613632305</v>
      </c>
      <c r="F82" s="5">
        <f t="shared" si="66"/>
        <v>1388351.6778559219</v>
      </c>
      <c r="G82" s="5">
        <f t="shared" si="53"/>
        <v>9255.6778523728135</v>
      </c>
      <c r="H82" s="5">
        <f t="shared" si="54"/>
        <v>27061.314585087039</v>
      </c>
      <c r="I82" s="5">
        <f t="shared" si="67"/>
        <v>17805.636732714225</v>
      </c>
      <c r="J82" s="5">
        <f t="shared" si="69"/>
        <v>1393471.3757368401</v>
      </c>
      <c r="K82" s="5">
        <f t="shared" si="55"/>
        <v>152.83556409088206</v>
      </c>
      <c r="L82" s="5">
        <f t="shared" si="70"/>
        <v>20572.536536870888</v>
      </c>
      <c r="M82" s="5">
        <f t="shared" si="71"/>
        <v>1031315.227958719</v>
      </c>
      <c r="N82" s="5">
        <f t="shared" si="72"/>
        <v>2137843.8522218787</v>
      </c>
      <c r="O82" s="13">
        <f t="shared" si="73"/>
        <v>7</v>
      </c>
      <c r="Q82">
        <f t="shared" si="56"/>
        <v>79</v>
      </c>
      <c r="R82">
        <f t="shared" si="57"/>
        <v>2033</v>
      </c>
      <c r="S82">
        <f t="shared" si="58"/>
        <v>7</v>
      </c>
      <c r="T82" s="5">
        <f t="shared" si="74"/>
        <v>1441106.2626852323</v>
      </c>
      <c r="U82" s="5">
        <f t="shared" si="59"/>
        <v>9607.3750845682152</v>
      </c>
      <c r="V82" s="5">
        <f t="shared" si="60"/>
        <v>27061.314585087039</v>
      </c>
      <c r="W82" s="5">
        <f t="shared" si="75"/>
        <v>17453.939500518823</v>
      </c>
      <c r="X82" s="5">
        <f t="shared" si="76"/>
        <v>1423652.3231847135</v>
      </c>
      <c r="Y82" s="5">
        <f t="shared" si="77"/>
        <v>1061496.1754065889</v>
      </c>
      <c r="Z82" s="5">
        <f t="shared" si="78"/>
        <v>2137843.8522218787</v>
      </c>
      <c r="AA82" s="13">
        <f t="shared" si="79"/>
        <v>7</v>
      </c>
      <c r="AC82">
        <f t="shared" si="61"/>
        <v>79</v>
      </c>
      <c r="AD82">
        <f t="shared" si="62"/>
        <v>2033</v>
      </c>
      <c r="AE82">
        <f t="shared" si="63"/>
        <v>7</v>
      </c>
      <c r="AF82" s="5">
        <f t="shared" si="80"/>
        <v>1374891.3283597608</v>
      </c>
      <c r="AG82" s="5">
        <f t="shared" si="64"/>
        <v>9165.9421890650719</v>
      </c>
      <c r="AH82" s="5">
        <f t="shared" si="65"/>
        <v>27711.314585087039</v>
      </c>
      <c r="AI82" s="5">
        <f t="shared" si="81"/>
        <v>18545.372396021965</v>
      </c>
      <c r="AJ82" s="5">
        <f t="shared" si="82"/>
        <v>1356345.9559637387</v>
      </c>
      <c r="AK82" s="5">
        <f t="shared" si="83"/>
        <v>1045539.8081856148</v>
      </c>
      <c r="AL82" s="5">
        <f t="shared" si="84"/>
        <v>2189193.8522218782</v>
      </c>
      <c r="AM82" s="13">
        <f t="shared" si="85"/>
        <v>7</v>
      </c>
    </row>
    <row r="83" spans="1:39" x14ac:dyDescent="0.35">
      <c r="A83">
        <f t="shared" si="50"/>
        <v>80</v>
      </c>
      <c r="B83">
        <f t="shared" si="51"/>
        <v>2033</v>
      </c>
      <c r="C83">
        <f t="shared" si="52"/>
        <v>8</v>
      </c>
      <c r="D83" s="5">
        <f t="shared" si="68"/>
        <v>1393471.3757368401</v>
      </c>
      <c r="E83" s="5">
        <f>IFERROR(IF($A83="", "", _xlfn.XLOOKUP(A83,Offset!A:A,Offset!I:I, 0)), 0)</f>
        <v>26200.382415579777</v>
      </c>
      <c r="F83" s="5">
        <f t="shared" si="66"/>
        <v>1367270.9933212602</v>
      </c>
      <c r="G83" s="5">
        <f t="shared" si="53"/>
        <v>9115.1399554750678</v>
      </c>
      <c r="H83" s="5">
        <f t="shared" si="54"/>
        <v>27061.314585087039</v>
      </c>
      <c r="I83" s="5">
        <f t="shared" si="67"/>
        <v>17946.174629611971</v>
      </c>
      <c r="J83" s="5">
        <f t="shared" si="69"/>
        <v>1375525.2011072282</v>
      </c>
      <c r="K83" s="5">
        <f t="shared" si="55"/>
        <v>174.66921610386518</v>
      </c>
      <c r="L83" s="5">
        <f t="shared" si="70"/>
        <v>20747.205752974754</v>
      </c>
      <c r="M83" s="5">
        <f t="shared" si="71"/>
        <v>1040430.3679141941</v>
      </c>
      <c r="N83" s="5">
        <f t="shared" si="72"/>
        <v>2164905.1668069656</v>
      </c>
      <c r="O83" s="13">
        <f t="shared" si="73"/>
        <v>7</v>
      </c>
      <c r="Q83">
        <f t="shared" si="56"/>
        <v>80</v>
      </c>
      <c r="R83">
        <f t="shared" si="57"/>
        <v>2033</v>
      </c>
      <c r="S83">
        <f t="shared" si="58"/>
        <v>8</v>
      </c>
      <c r="T83" s="5">
        <f t="shared" si="74"/>
        <v>1423652.3231847135</v>
      </c>
      <c r="U83" s="5">
        <f t="shared" si="59"/>
        <v>9491.0154878980902</v>
      </c>
      <c r="V83" s="5">
        <f t="shared" si="60"/>
        <v>27061.314585087039</v>
      </c>
      <c r="W83" s="5">
        <f t="shared" si="75"/>
        <v>17570.299097188949</v>
      </c>
      <c r="X83" s="5">
        <f t="shared" si="76"/>
        <v>1406082.0240875245</v>
      </c>
      <c r="Y83" s="5">
        <f t="shared" si="77"/>
        <v>1070987.1908944871</v>
      </c>
      <c r="Z83" s="5">
        <f t="shared" si="78"/>
        <v>2164905.1668069656</v>
      </c>
      <c r="AA83" s="13">
        <f t="shared" si="79"/>
        <v>7</v>
      </c>
      <c r="AC83">
        <f t="shared" si="61"/>
        <v>80</v>
      </c>
      <c r="AD83">
        <f t="shared" si="62"/>
        <v>2033</v>
      </c>
      <c r="AE83">
        <f t="shared" si="63"/>
        <v>8</v>
      </c>
      <c r="AF83" s="5">
        <f t="shared" si="80"/>
        <v>1356345.9559637387</v>
      </c>
      <c r="AG83" s="5">
        <f t="shared" si="64"/>
        <v>9042.3063730915928</v>
      </c>
      <c r="AH83" s="5">
        <f t="shared" si="65"/>
        <v>27711.314585087039</v>
      </c>
      <c r="AI83" s="5">
        <f t="shared" si="81"/>
        <v>18669.008211995446</v>
      </c>
      <c r="AJ83" s="5">
        <f t="shared" si="82"/>
        <v>1337676.9477517433</v>
      </c>
      <c r="AK83" s="5">
        <f t="shared" si="83"/>
        <v>1054582.1145587063</v>
      </c>
      <c r="AL83" s="5">
        <f t="shared" si="84"/>
        <v>2216905.1668069651</v>
      </c>
      <c r="AM83" s="13">
        <f t="shared" si="85"/>
        <v>7</v>
      </c>
    </row>
    <row r="84" spans="1:39" x14ac:dyDescent="0.35">
      <c r="A84">
        <f t="shared" si="50"/>
        <v>81</v>
      </c>
      <c r="B84">
        <f t="shared" si="51"/>
        <v>2033</v>
      </c>
      <c r="C84">
        <f t="shared" si="52"/>
        <v>9</v>
      </c>
      <c r="D84" s="5">
        <f t="shared" si="68"/>
        <v>1375525.2011072282</v>
      </c>
      <c r="E84" s="5">
        <f>IFERROR(IF($A84="", "", _xlfn.XLOOKUP(A84,Offset!A:A,Offset!I:I, 0)), 0)</f>
        <v>29475.43021752725</v>
      </c>
      <c r="F84" s="5">
        <f t="shared" si="66"/>
        <v>1346049.7708897009</v>
      </c>
      <c r="G84" s="5">
        <f t="shared" si="53"/>
        <v>8973.6651392646727</v>
      </c>
      <c r="H84" s="5">
        <f t="shared" si="54"/>
        <v>27061.314585087039</v>
      </c>
      <c r="I84" s="5">
        <f t="shared" si="67"/>
        <v>18087.649445822368</v>
      </c>
      <c r="J84" s="5">
        <f t="shared" si="69"/>
        <v>1357437.5516614057</v>
      </c>
      <c r="K84" s="5">
        <f t="shared" si="55"/>
        <v>196.50286811684833</v>
      </c>
      <c r="L84" s="5">
        <f t="shared" si="70"/>
        <v>20943.708621091602</v>
      </c>
      <c r="M84" s="5">
        <f t="shared" si="71"/>
        <v>1049404.0330534589</v>
      </c>
      <c r="N84" s="5">
        <f t="shared" si="72"/>
        <v>2191966.4813920525</v>
      </c>
      <c r="O84" s="13">
        <f t="shared" si="73"/>
        <v>7</v>
      </c>
      <c r="Q84">
        <f t="shared" si="56"/>
        <v>81</v>
      </c>
      <c r="R84">
        <f t="shared" si="57"/>
        <v>2033</v>
      </c>
      <c r="S84">
        <f t="shared" si="58"/>
        <v>9</v>
      </c>
      <c r="T84" s="5">
        <f t="shared" si="74"/>
        <v>1406082.0240875245</v>
      </c>
      <c r="U84" s="5">
        <f t="shared" si="59"/>
        <v>9373.8801605834979</v>
      </c>
      <c r="V84" s="5">
        <f t="shared" si="60"/>
        <v>27061.314585087039</v>
      </c>
      <c r="W84" s="5">
        <f t="shared" si="75"/>
        <v>17687.434424503539</v>
      </c>
      <c r="X84" s="5">
        <f t="shared" si="76"/>
        <v>1388394.589663021</v>
      </c>
      <c r="Y84" s="5">
        <f t="shared" si="77"/>
        <v>1080361.0710550705</v>
      </c>
      <c r="Z84" s="5">
        <f t="shared" si="78"/>
        <v>2191966.4813920525</v>
      </c>
      <c r="AA84" s="13">
        <f t="shared" si="79"/>
        <v>7</v>
      </c>
      <c r="AC84">
        <f t="shared" si="61"/>
        <v>81</v>
      </c>
      <c r="AD84">
        <f t="shared" si="62"/>
        <v>2033</v>
      </c>
      <c r="AE84">
        <f t="shared" si="63"/>
        <v>9</v>
      </c>
      <c r="AF84" s="5">
        <f t="shared" si="80"/>
        <v>1337676.9477517433</v>
      </c>
      <c r="AG84" s="5">
        <f t="shared" si="64"/>
        <v>8917.8463183449549</v>
      </c>
      <c r="AH84" s="5">
        <f t="shared" si="65"/>
        <v>27711.314585087039</v>
      </c>
      <c r="AI84" s="5">
        <f t="shared" si="81"/>
        <v>18793.468266742086</v>
      </c>
      <c r="AJ84" s="5">
        <f t="shared" si="82"/>
        <v>1318883.4794850012</v>
      </c>
      <c r="AK84" s="5">
        <f t="shared" si="83"/>
        <v>1063499.9608770513</v>
      </c>
      <c r="AL84" s="5">
        <f t="shared" si="84"/>
        <v>2244616.481392052</v>
      </c>
      <c r="AM84" s="13">
        <f t="shared" si="85"/>
        <v>7</v>
      </c>
    </row>
    <row r="85" spans="1:39" x14ac:dyDescent="0.35">
      <c r="A85">
        <f t="shared" si="50"/>
        <v>82</v>
      </c>
      <c r="B85">
        <f t="shared" si="51"/>
        <v>2033</v>
      </c>
      <c r="C85">
        <f t="shared" si="52"/>
        <v>10</v>
      </c>
      <c r="D85" s="5">
        <f t="shared" si="68"/>
        <v>1357437.5516614057</v>
      </c>
      <c r="E85" s="5">
        <f>IFERROR(IF($A85="", "", _xlfn.XLOOKUP(A85,Offset!A:A,Offset!I:I, 0)), 0)</f>
        <v>32750.478019474722</v>
      </c>
      <c r="F85" s="5">
        <f t="shared" si="66"/>
        <v>1324687.0736419309</v>
      </c>
      <c r="G85" s="5">
        <f t="shared" si="53"/>
        <v>8831.2471576128737</v>
      </c>
      <c r="H85" s="5">
        <f t="shared" si="54"/>
        <v>27061.314585087039</v>
      </c>
      <c r="I85" s="5">
        <f t="shared" si="67"/>
        <v>18230.067427474165</v>
      </c>
      <c r="J85" s="5">
        <f t="shared" si="69"/>
        <v>1339207.4842339316</v>
      </c>
      <c r="K85" s="5">
        <f t="shared" si="55"/>
        <v>218.33652012983148</v>
      </c>
      <c r="L85" s="5">
        <f t="shared" si="70"/>
        <v>21162.045141221435</v>
      </c>
      <c r="M85" s="5">
        <f t="shared" si="71"/>
        <v>1058235.2802110717</v>
      </c>
      <c r="N85" s="5">
        <f t="shared" si="72"/>
        <v>2219027.7959771394</v>
      </c>
      <c r="O85" s="13">
        <f t="shared" si="73"/>
        <v>7</v>
      </c>
      <c r="Q85">
        <f t="shared" si="56"/>
        <v>82</v>
      </c>
      <c r="R85">
        <f t="shared" si="57"/>
        <v>2033</v>
      </c>
      <c r="S85">
        <f t="shared" si="58"/>
        <v>10</v>
      </c>
      <c r="T85" s="5">
        <f t="shared" si="74"/>
        <v>1388394.589663021</v>
      </c>
      <c r="U85" s="5">
        <f t="shared" si="59"/>
        <v>9255.9639310868079</v>
      </c>
      <c r="V85" s="5">
        <f t="shared" si="60"/>
        <v>27061.314585087039</v>
      </c>
      <c r="W85" s="5">
        <f t="shared" si="75"/>
        <v>17805.350654000231</v>
      </c>
      <c r="X85" s="5">
        <f t="shared" si="76"/>
        <v>1370589.2390090209</v>
      </c>
      <c r="Y85" s="5">
        <f t="shared" si="77"/>
        <v>1089617.0349861572</v>
      </c>
      <c r="Z85" s="5">
        <f t="shared" si="78"/>
        <v>2219027.7959771394</v>
      </c>
      <c r="AA85" s="13">
        <f t="shared" si="79"/>
        <v>7</v>
      </c>
      <c r="AC85">
        <f t="shared" si="61"/>
        <v>82</v>
      </c>
      <c r="AD85">
        <f t="shared" si="62"/>
        <v>2033</v>
      </c>
      <c r="AE85">
        <f t="shared" si="63"/>
        <v>10</v>
      </c>
      <c r="AF85" s="5">
        <f t="shared" si="80"/>
        <v>1318883.4794850012</v>
      </c>
      <c r="AG85" s="5">
        <f t="shared" si="64"/>
        <v>8792.5565299000082</v>
      </c>
      <c r="AH85" s="5">
        <f t="shared" si="65"/>
        <v>27711.314585087039</v>
      </c>
      <c r="AI85" s="5">
        <f t="shared" si="81"/>
        <v>18918.758055187031</v>
      </c>
      <c r="AJ85" s="5">
        <f t="shared" si="82"/>
        <v>1299964.7214298141</v>
      </c>
      <c r="AK85" s="5">
        <f t="shared" si="83"/>
        <v>1072292.5174069514</v>
      </c>
      <c r="AL85" s="5">
        <f t="shared" si="84"/>
        <v>2272327.7959771389</v>
      </c>
      <c r="AM85" s="13">
        <f t="shared" si="85"/>
        <v>7</v>
      </c>
    </row>
    <row r="86" spans="1:39" x14ac:dyDescent="0.35">
      <c r="A86">
        <f t="shared" si="50"/>
        <v>83</v>
      </c>
      <c r="B86">
        <f t="shared" si="51"/>
        <v>2033</v>
      </c>
      <c r="C86">
        <f t="shared" si="52"/>
        <v>11</v>
      </c>
      <c r="D86" s="5">
        <f t="shared" si="68"/>
        <v>1339207.4842339316</v>
      </c>
      <c r="E86" s="5">
        <f>IFERROR(IF($A86="", "", _xlfn.XLOOKUP(A86,Offset!A:A,Offset!I:I, 0)), 0)</f>
        <v>36025.525821422198</v>
      </c>
      <c r="F86" s="5">
        <f t="shared" si="66"/>
        <v>1303181.9584125094</v>
      </c>
      <c r="G86" s="5">
        <f t="shared" si="53"/>
        <v>8687.8797227500636</v>
      </c>
      <c r="H86" s="5">
        <f t="shared" si="54"/>
        <v>27061.314585087039</v>
      </c>
      <c r="I86" s="5">
        <f t="shared" si="67"/>
        <v>18373.434862336973</v>
      </c>
      <c r="J86" s="5">
        <f t="shared" si="69"/>
        <v>1320834.0493715946</v>
      </c>
      <c r="K86" s="5">
        <f t="shared" si="55"/>
        <v>240.17017214281466</v>
      </c>
      <c r="L86" s="5">
        <f t="shared" si="70"/>
        <v>21402.21531336425</v>
      </c>
      <c r="M86" s="5">
        <f t="shared" si="71"/>
        <v>1066923.1599338218</v>
      </c>
      <c r="N86" s="5">
        <f t="shared" si="72"/>
        <v>2246089.1105622263</v>
      </c>
      <c r="O86" s="13">
        <f t="shared" si="73"/>
        <v>7</v>
      </c>
      <c r="Q86">
        <f t="shared" si="56"/>
        <v>83</v>
      </c>
      <c r="R86">
        <f t="shared" si="57"/>
        <v>2033</v>
      </c>
      <c r="S86">
        <f t="shared" si="58"/>
        <v>11</v>
      </c>
      <c r="T86" s="5">
        <f t="shared" si="74"/>
        <v>1370589.2390090209</v>
      </c>
      <c r="U86" s="5">
        <f t="shared" si="59"/>
        <v>9137.2615933934721</v>
      </c>
      <c r="V86" s="5">
        <f t="shared" si="60"/>
        <v>27061.314585087039</v>
      </c>
      <c r="W86" s="5">
        <f t="shared" si="75"/>
        <v>17924.052991693567</v>
      </c>
      <c r="X86" s="5">
        <f t="shared" si="76"/>
        <v>1352665.1860173272</v>
      </c>
      <c r="Y86" s="5">
        <f t="shared" si="77"/>
        <v>1098754.2965795507</v>
      </c>
      <c r="Z86" s="5">
        <f t="shared" si="78"/>
        <v>2246089.1105622263</v>
      </c>
      <c r="AA86" s="13">
        <f t="shared" si="79"/>
        <v>7</v>
      </c>
      <c r="AC86">
        <f t="shared" si="61"/>
        <v>83</v>
      </c>
      <c r="AD86">
        <f t="shared" si="62"/>
        <v>2033</v>
      </c>
      <c r="AE86">
        <f t="shared" si="63"/>
        <v>11</v>
      </c>
      <c r="AF86" s="5">
        <f t="shared" si="80"/>
        <v>1299964.7214298141</v>
      </c>
      <c r="AG86" s="5">
        <f t="shared" si="64"/>
        <v>8666.4314761987607</v>
      </c>
      <c r="AH86" s="5">
        <f t="shared" si="65"/>
        <v>27711.314585087039</v>
      </c>
      <c r="AI86" s="5">
        <f t="shared" si="81"/>
        <v>19044.88310888828</v>
      </c>
      <c r="AJ86" s="5">
        <f t="shared" si="82"/>
        <v>1280919.8383209258</v>
      </c>
      <c r="AK86" s="5">
        <f t="shared" si="83"/>
        <v>1080958.9488831502</v>
      </c>
      <c r="AL86" s="5">
        <f t="shared" si="84"/>
        <v>2300039.1105622258</v>
      </c>
      <c r="AM86" s="13">
        <f t="shared" si="85"/>
        <v>7</v>
      </c>
    </row>
    <row r="87" spans="1:39" x14ac:dyDescent="0.35">
      <c r="A87">
        <f t="shared" si="50"/>
        <v>84</v>
      </c>
      <c r="B87">
        <f t="shared" si="51"/>
        <v>2033</v>
      </c>
      <c r="C87">
        <f t="shared" si="52"/>
        <v>12</v>
      </c>
      <c r="D87" s="5">
        <f t="shared" si="68"/>
        <v>1320834.0493715946</v>
      </c>
      <c r="E87" s="5">
        <f>IFERROR(IF($A87="", "", _xlfn.XLOOKUP(A87,Offset!A:A,Offset!I:I, 0)), 0)</f>
        <v>39300.573623369666</v>
      </c>
      <c r="F87" s="5">
        <f t="shared" si="66"/>
        <v>1281533.4757482249</v>
      </c>
      <c r="G87" s="5">
        <f t="shared" si="53"/>
        <v>8543.5565049881661</v>
      </c>
      <c r="H87" s="5">
        <f t="shared" si="54"/>
        <v>27061.314585087039</v>
      </c>
      <c r="I87" s="5">
        <f t="shared" si="67"/>
        <v>18517.758080098873</v>
      </c>
      <c r="J87" s="5">
        <f t="shared" si="69"/>
        <v>1302316.2912914958</v>
      </c>
      <c r="K87" s="5">
        <f t="shared" si="55"/>
        <v>262.00382415579782</v>
      </c>
      <c r="L87" s="5">
        <f t="shared" si="70"/>
        <v>21664.219137520049</v>
      </c>
      <c r="M87" s="5">
        <f t="shared" si="71"/>
        <v>1075466.7164388099</v>
      </c>
      <c r="N87" s="5">
        <f t="shared" si="72"/>
        <v>2273150.4251473132</v>
      </c>
      <c r="O87" s="13">
        <f t="shared" si="73"/>
        <v>7</v>
      </c>
      <c r="Q87">
        <f t="shared" si="56"/>
        <v>84</v>
      </c>
      <c r="R87">
        <f t="shared" si="57"/>
        <v>2033</v>
      </c>
      <c r="S87">
        <f t="shared" si="58"/>
        <v>12</v>
      </c>
      <c r="T87" s="5">
        <f t="shared" si="74"/>
        <v>1352665.1860173272</v>
      </c>
      <c r="U87" s="5">
        <f t="shared" si="59"/>
        <v>9017.7679067821828</v>
      </c>
      <c r="V87" s="5">
        <f t="shared" si="60"/>
        <v>27061.314585087039</v>
      </c>
      <c r="W87" s="5">
        <f t="shared" si="75"/>
        <v>18043.546678304854</v>
      </c>
      <c r="X87" s="5">
        <f t="shared" si="76"/>
        <v>1334621.6393390223</v>
      </c>
      <c r="Y87" s="5">
        <f t="shared" si="77"/>
        <v>1107772.0644863329</v>
      </c>
      <c r="Z87" s="5">
        <f t="shared" si="78"/>
        <v>2273150.4251473132</v>
      </c>
      <c r="AA87" s="13">
        <f t="shared" si="79"/>
        <v>7</v>
      </c>
      <c r="AC87">
        <f t="shared" si="61"/>
        <v>84</v>
      </c>
      <c r="AD87">
        <f t="shared" si="62"/>
        <v>2033</v>
      </c>
      <c r="AE87">
        <f t="shared" si="63"/>
        <v>12</v>
      </c>
      <c r="AF87" s="5">
        <f t="shared" si="80"/>
        <v>1280919.8383209258</v>
      </c>
      <c r="AG87" s="5">
        <f t="shared" si="64"/>
        <v>8539.4655888061734</v>
      </c>
      <c r="AH87" s="5">
        <f t="shared" si="65"/>
        <v>27711.314585087039</v>
      </c>
      <c r="AI87" s="5">
        <f t="shared" si="81"/>
        <v>19171.848996280867</v>
      </c>
      <c r="AJ87" s="5">
        <f t="shared" si="82"/>
        <v>1261747.9893246449</v>
      </c>
      <c r="AK87" s="5">
        <f t="shared" si="83"/>
        <v>1089498.4144719564</v>
      </c>
      <c r="AL87" s="5">
        <f t="shared" si="84"/>
        <v>2327750.4251473127</v>
      </c>
      <c r="AM87" s="13">
        <f t="shared" si="85"/>
        <v>7</v>
      </c>
    </row>
    <row r="88" spans="1:39" x14ac:dyDescent="0.35">
      <c r="A88">
        <f t="shared" si="50"/>
        <v>85</v>
      </c>
      <c r="B88">
        <f t="shared" si="51"/>
        <v>2034</v>
      </c>
      <c r="C88">
        <f t="shared" si="52"/>
        <v>1</v>
      </c>
      <c r="D88" s="5">
        <f t="shared" si="68"/>
        <v>1302316.2912914958</v>
      </c>
      <c r="E88" s="5">
        <f>IFERROR(IF($A88="", "", _xlfn.XLOOKUP(A88,Offset!A:A,Offset!I:I, 0)), 0)</f>
        <v>3118.5906636628265</v>
      </c>
      <c r="F88" s="5">
        <f t="shared" si="66"/>
        <v>1299197.7006278329</v>
      </c>
      <c r="G88" s="5">
        <f t="shared" si="53"/>
        <v>8661.3180041855539</v>
      </c>
      <c r="H88" s="5">
        <f t="shared" si="54"/>
        <v>27061.314585087039</v>
      </c>
      <c r="I88" s="5">
        <f t="shared" si="67"/>
        <v>18399.996580901483</v>
      </c>
      <c r="J88" s="5">
        <f t="shared" si="69"/>
        <v>1283916.2947105942</v>
      </c>
      <c r="K88" s="5">
        <f t="shared" si="55"/>
        <v>20.790604424418845</v>
      </c>
      <c r="L88" s="5">
        <f t="shared" si="70"/>
        <v>21685.009741944468</v>
      </c>
      <c r="M88" s="5">
        <f t="shared" si="71"/>
        <v>1084128.0344429954</v>
      </c>
      <c r="N88" s="5">
        <f t="shared" si="72"/>
        <v>2300211.7397324</v>
      </c>
      <c r="O88" s="13">
        <f t="shared" si="73"/>
        <v>8</v>
      </c>
      <c r="Q88">
        <f t="shared" si="56"/>
        <v>85</v>
      </c>
      <c r="R88">
        <f t="shared" si="57"/>
        <v>2034</v>
      </c>
      <c r="S88">
        <f t="shared" si="58"/>
        <v>1</v>
      </c>
      <c r="T88" s="5">
        <f t="shared" si="74"/>
        <v>1334621.6393390223</v>
      </c>
      <c r="U88" s="5">
        <f t="shared" si="59"/>
        <v>8897.477595593482</v>
      </c>
      <c r="V88" s="5">
        <f t="shared" si="60"/>
        <v>27061.314585087039</v>
      </c>
      <c r="W88" s="5">
        <f t="shared" si="75"/>
        <v>18163.836989493557</v>
      </c>
      <c r="X88" s="5">
        <f t="shared" si="76"/>
        <v>1316457.8023495288</v>
      </c>
      <c r="Y88" s="5">
        <f t="shared" si="77"/>
        <v>1116669.5420819265</v>
      </c>
      <c r="Z88" s="5">
        <f t="shared" si="78"/>
        <v>2300211.7397324</v>
      </c>
      <c r="AA88" s="13">
        <f t="shared" si="79"/>
        <v>8</v>
      </c>
      <c r="AC88">
        <f t="shared" si="61"/>
        <v>85</v>
      </c>
      <c r="AD88">
        <f t="shared" si="62"/>
        <v>2034</v>
      </c>
      <c r="AE88">
        <f t="shared" si="63"/>
        <v>1</v>
      </c>
      <c r="AF88" s="5">
        <f t="shared" si="80"/>
        <v>1261747.9893246449</v>
      </c>
      <c r="AG88" s="5">
        <f t="shared" si="64"/>
        <v>8411.6532621643</v>
      </c>
      <c r="AH88" s="5">
        <f t="shared" si="65"/>
        <v>27711.314585087039</v>
      </c>
      <c r="AI88" s="5">
        <f t="shared" si="81"/>
        <v>19299.661322922737</v>
      </c>
      <c r="AJ88" s="5">
        <f t="shared" si="82"/>
        <v>1242448.3280017222</v>
      </c>
      <c r="AK88" s="5">
        <f t="shared" si="83"/>
        <v>1097910.0677341206</v>
      </c>
      <c r="AL88" s="5">
        <f t="shared" si="84"/>
        <v>2355461.7397323996</v>
      </c>
      <c r="AM88" s="13">
        <f t="shared" si="85"/>
        <v>8</v>
      </c>
    </row>
    <row r="89" spans="1:39" x14ac:dyDescent="0.35">
      <c r="A89">
        <f t="shared" si="50"/>
        <v>86</v>
      </c>
      <c r="B89">
        <f t="shared" si="51"/>
        <v>2034</v>
      </c>
      <c r="C89">
        <f t="shared" si="52"/>
        <v>2</v>
      </c>
      <c r="D89" s="5">
        <f t="shared" si="68"/>
        <v>1283916.2947105942</v>
      </c>
      <c r="E89" s="5">
        <f>IFERROR(IF($A89="", "", _xlfn.XLOOKUP(A89,Offset!A:A,Offset!I:I, 0)), 0)</f>
        <v>6237.181327325653</v>
      </c>
      <c r="F89" s="5">
        <f t="shared" si="66"/>
        <v>1277679.1133832685</v>
      </c>
      <c r="G89" s="5">
        <f t="shared" si="53"/>
        <v>8517.8607558884578</v>
      </c>
      <c r="H89" s="5">
        <f t="shared" si="54"/>
        <v>27061.314585087039</v>
      </c>
      <c r="I89" s="5">
        <f t="shared" si="67"/>
        <v>18543.453829198581</v>
      </c>
      <c r="J89" s="5">
        <f t="shared" si="69"/>
        <v>1265372.8408813956</v>
      </c>
      <c r="K89" s="5">
        <f t="shared" si="55"/>
        <v>41.58120884883769</v>
      </c>
      <c r="L89" s="5">
        <f t="shared" si="70"/>
        <v>21726.590950793307</v>
      </c>
      <c r="M89" s="5">
        <f t="shared" si="71"/>
        <v>1092645.895198884</v>
      </c>
      <c r="N89" s="5">
        <f t="shared" si="72"/>
        <v>2327273.0543174869</v>
      </c>
      <c r="O89" s="13">
        <f t="shared" si="73"/>
        <v>8</v>
      </c>
      <c r="Q89">
        <f t="shared" si="56"/>
        <v>86</v>
      </c>
      <c r="R89">
        <f t="shared" si="57"/>
        <v>2034</v>
      </c>
      <c r="S89">
        <f t="shared" si="58"/>
        <v>2</v>
      </c>
      <c r="T89" s="5">
        <f t="shared" si="74"/>
        <v>1316457.8023495288</v>
      </c>
      <c r="U89" s="5">
        <f t="shared" si="59"/>
        <v>8776.3853489968587</v>
      </c>
      <c r="V89" s="5">
        <f t="shared" si="60"/>
        <v>27061.314585087039</v>
      </c>
      <c r="W89" s="5">
        <f t="shared" si="75"/>
        <v>18284.929236090182</v>
      </c>
      <c r="X89" s="5">
        <f t="shared" si="76"/>
        <v>1298172.8731134385</v>
      </c>
      <c r="Y89" s="5">
        <f t="shared" si="77"/>
        <v>1125445.9274309233</v>
      </c>
      <c r="Z89" s="5">
        <f t="shared" si="78"/>
        <v>2327273.0543174869</v>
      </c>
      <c r="AA89" s="13">
        <f t="shared" si="79"/>
        <v>8</v>
      </c>
      <c r="AC89">
        <f t="shared" si="61"/>
        <v>86</v>
      </c>
      <c r="AD89">
        <f t="shared" si="62"/>
        <v>2034</v>
      </c>
      <c r="AE89">
        <f t="shared" si="63"/>
        <v>2</v>
      </c>
      <c r="AF89" s="5">
        <f t="shared" si="80"/>
        <v>1242448.3280017222</v>
      </c>
      <c r="AG89" s="5">
        <f t="shared" si="64"/>
        <v>8282.9888533448157</v>
      </c>
      <c r="AH89" s="5">
        <f t="shared" si="65"/>
        <v>27711.314585087039</v>
      </c>
      <c r="AI89" s="5">
        <f t="shared" si="81"/>
        <v>19428.325731742225</v>
      </c>
      <c r="AJ89" s="5">
        <f t="shared" si="82"/>
        <v>1223020.00226998</v>
      </c>
      <c r="AK89" s="5">
        <f t="shared" si="83"/>
        <v>1106193.0565874656</v>
      </c>
      <c r="AL89" s="5">
        <f t="shared" si="84"/>
        <v>2383173.0543174865</v>
      </c>
      <c r="AM89" s="13">
        <f t="shared" si="85"/>
        <v>8</v>
      </c>
    </row>
    <row r="90" spans="1:39" x14ac:dyDescent="0.35">
      <c r="A90">
        <f t="shared" si="50"/>
        <v>87</v>
      </c>
      <c r="B90">
        <f t="shared" si="51"/>
        <v>2034</v>
      </c>
      <c r="C90">
        <f t="shared" si="52"/>
        <v>3</v>
      </c>
      <c r="D90" s="5">
        <f t="shared" si="68"/>
        <v>1265372.8408813956</v>
      </c>
      <c r="E90" s="5">
        <f>IFERROR(IF($A90="", "", _xlfn.XLOOKUP(A90,Offset!A:A,Offset!I:I, 0)), 0)</f>
        <v>9355.77199098848</v>
      </c>
      <c r="F90" s="5">
        <f t="shared" si="66"/>
        <v>1256017.0688904072</v>
      </c>
      <c r="G90" s="5">
        <f t="shared" si="53"/>
        <v>8373.4471259360489</v>
      </c>
      <c r="H90" s="5">
        <f t="shared" si="54"/>
        <v>27061.314585087039</v>
      </c>
      <c r="I90" s="5">
        <f t="shared" si="67"/>
        <v>18687.867459150992</v>
      </c>
      <c r="J90" s="5">
        <f t="shared" si="69"/>
        <v>1246684.9734222447</v>
      </c>
      <c r="K90" s="5">
        <f t="shared" si="55"/>
        <v>62.371813273256535</v>
      </c>
      <c r="L90" s="5">
        <f t="shared" si="70"/>
        <v>21788.962764066564</v>
      </c>
      <c r="M90" s="5">
        <f t="shared" si="71"/>
        <v>1101019.3423248201</v>
      </c>
      <c r="N90" s="5">
        <f t="shared" si="72"/>
        <v>2354334.3689025738</v>
      </c>
      <c r="O90" s="13">
        <f t="shared" si="73"/>
        <v>8</v>
      </c>
      <c r="Q90">
        <f t="shared" si="56"/>
        <v>87</v>
      </c>
      <c r="R90">
        <f t="shared" si="57"/>
        <v>2034</v>
      </c>
      <c r="S90">
        <f t="shared" si="58"/>
        <v>3</v>
      </c>
      <c r="T90" s="5">
        <f t="shared" si="74"/>
        <v>1298172.8731134385</v>
      </c>
      <c r="U90" s="5">
        <f t="shared" si="59"/>
        <v>8654.4858207562575</v>
      </c>
      <c r="V90" s="5">
        <f t="shared" si="60"/>
        <v>27061.314585087039</v>
      </c>
      <c r="W90" s="5">
        <f t="shared" si="75"/>
        <v>18406.828764330781</v>
      </c>
      <c r="X90" s="5">
        <f t="shared" si="76"/>
        <v>1279766.0443491077</v>
      </c>
      <c r="Y90" s="5">
        <f t="shared" si="77"/>
        <v>1134100.4132516796</v>
      </c>
      <c r="Z90" s="5">
        <f t="shared" si="78"/>
        <v>2354334.3689025738</v>
      </c>
      <c r="AA90" s="13">
        <f t="shared" si="79"/>
        <v>8</v>
      </c>
      <c r="AC90">
        <f t="shared" si="61"/>
        <v>87</v>
      </c>
      <c r="AD90">
        <f t="shared" si="62"/>
        <v>2034</v>
      </c>
      <c r="AE90">
        <f t="shared" si="63"/>
        <v>3</v>
      </c>
      <c r="AF90" s="5">
        <f t="shared" si="80"/>
        <v>1223020.00226998</v>
      </c>
      <c r="AG90" s="5">
        <f t="shared" si="64"/>
        <v>8153.4666817998677</v>
      </c>
      <c r="AH90" s="5">
        <f t="shared" si="65"/>
        <v>27711.314585087039</v>
      </c>
      <c r="AI90" s="5">
        <f t="shared" si="81"/>
        <v>19557.847903287169</v>
      </c>
      <c r="AJ90" s="5">
        <f t="shared" si="82"/>
        <v>1203462.1543666928</v>
      </c>
      <c r="AK90" s="5">
        <f t="shared" si="83"/>
        <v>1114346.5232692654</v>
      </c>
      <c r="AL90" s="5">
        <f t="shared" si="84"/>
        <v>2410884.3689025734</v>
      </c>
      <c r="AM90" s="13">
        <f t="shared" si="85"/>
        <v>8</v>
      </c>
    </row>
    <row r="91" spans="1:39" x14ac:dyDescent="0.35">
      <c r="A91">
        <f t="shared" si="50"/>
        <v>88</v>
      </c>
      <c r="B91">
        <f t="shared" si="51"/>
        <v>2034</v>
      </c>
      <c r="C91">
        <f t="shared" si="52"/>
        <v>4</v>
      </c>
      <c r="D91" s="5">
        <f t="shared" si="68"/>
        <v>1246684.9734222447</v>
      </c>
      <c r="E91" s="5">
        <f>IFERROR(IF($A91="", "", _xlfn.XLOOKUP(A91,Offset!A:A,Offset!I:I, 0)), 0)</f>
        <v>12474.362654651306</v>
      </c>
      <c r="F91" s="5">
        <f t="shared" si="66"/>
        <v>1234210.6107675934</v>
      </c>
      <c r="G91" s="5">
        <f t="shared" si="53"/>
        <v>8228.0707384506222</v>
      </c>
      <c r="H91" s="5">
        <f t="shared" si="54"/>
        <v>27061.314585087039</v>
      </c>
      <c r="I91" s="5">
        <f t="shared" si="67"/>
        <v>18833.243846636418</v>
      </c>
      <c r="J91" s="5">
        <f t="shared" si="69"/>
        <v>1227851.7295756082</v>
      </c>
      <c r="K91" s="5">
        <f t="shared" si="55"/>
        <v>83.16241769767538</v>
      </c>
      <c r="L91" s="5">
        <f t="shared" si="70"/>
        <v>21872.125181764241</v>
      </c>
      <c r="M91" s="5">
        <f t="shared" si="71"/>
        <v>1109247.4130632707</v>
      </c>
      <c r="N91" s="5">
        <f t="shared" si="72"/>
        <v>2381395.6834876607</v>
      </c>
      <c r="O91" s="13">
        <f t="shared" si="73"/>
        <v>8</v>
      </c>
      <c r="Q91">
        <f t="shared" si="56"/>
        <v>88</v>
      </c>
      <c r="R91">
        <f t="shared" si="57"/>
        <v>2034</v>
      </c>
      <c r="S91">
        <f t="shared" si="58"/>
        <v>4</v>
      </c>
      <c r="T91" s="5">
        <f t="shared" si="74"/>
        <v>1279766.0443491077</v>
      </c>
      <c r="U91" s="5">
        <f t="shared" si="59"/>
        <v>8531.7736289940513</v>
      </c>
      <c r="V91" s="5">
        <f t="shared" si="60"/>
        <v>27061.314585087039</v>
      </c>
      <c r="W91" s="5">
        <f t="shared" si="75"/>
        <v>18529.540956092987</v>
      </c>
      <c r="X91" s="5">
        <f t="shared" si="76"/>
        <v>1261236.5033930147</v>
      </c>
      <c r="Y91" s="5">
        <f t="shared" si="77"/>
        <v>1142632.1868806737</v>
      </c>
      <c r="Z91" s="5">
        <f t="shared" si="78"/>
        <v>2381395.6834876607</v>
      </c>
      <c r="AA91" s="13">
        <f t="shared" si="79"/>
        <v>8</v>
      </c>
      <c r="AC91">
        <f t="shared" si="61"/>
        <v>88</v>
      </c>
      <c r="AD91">
        <f t="shared" si="62"/>
        <v>2034</v>
      </c>
      <c r="AE91">
        <f t="shared" si="63"/>
        <v>4</v>
      </c>
      <c r="AF91" s="5">
        <f t="shared" si="80"/>
        <v>1203462.1543666928</v>
      </c>
      <c r="AG91" s="5">
        <f t="shared" si="64"/>
        <v>8023.0810291112857</v>
      </c>
      <c r="AH91" s="5">
        <f t="shared" si="65"/>
        <v>27711.314585087039</v>
      </c>
      <c r="AI91" s="5">
        <f t="shared" si="81"/>
        <v>19688.233555975752</v>
      </c>
      <c r="AJ91" s="5">
        <f t="shared" si="82"/>
        <v>1183773.9208107169</v>
      </c>
      <c r="AK91" s="5">
        <f t="shared" si="83"/>
        <v>1122369.6042983767</v>
      </c>
      <c r="AL91" s="5">
        <f t="shared" si="84"/>
        <v>2438595.6834876603</v>
      </c>
      <c r="AM91" s="13">
        <f t="shared" si="85"/>
        <v>8</v>
      </c>
    </row>
    <row r="92" spans="1:39" x14ac:dyDescent="0.35">
      <c r="A92">
        <f t="shared" si="50"/>
        <v>89</v>
      </c>
      <c r="B92">
        <f t="shared" si="51"/>
        <v>2034</v>
      </c>
      <c r="C92">
        <f t="shared" si="52"/>
        <v>5</v>
      </c>
      <c r="D92" s="5">
        <f t="shared" si="68"/>
        <v>1227851.7295756082</v>
      </c>
      <c r="E92" s="5">
        <f>IFERROR(IF($A92="", "", _xlfn.XLOOKUP(A92,Offset!A:A,Offset!I:I, 0)), 0)</f>
        <v>15592.953318314132</v>
      </c>
      <c r="F92" s="5">
        <f t="shared" si="66"/>
        <v>1212258.776257294</v>
      </c>
      <c r="G92" s="5">
        <f t="shared" si="53"/>
        <v>8081.7251750486275</v>
      </c>
      <c r="H92" s="5">
        <f t="shared" si="54"/>
        <v>27061.314585087039</v>
      </c>
      <c r="I92" s="5">
        <f t="shared" si="67"/>
        <v>18979.58941003841</v>
      </c>
      <c r="J92" s="5">
        <f t="shared" si="69"/>
        <v>1208872.1401655697</v>
      </c>
      <c r="K92" s="5">
        <f t="shared" si="55"/>
        <v>103.95302212209423</v>
      </c>
      <c r="L92" s="5">
        <f t="shared" si="70"/>
        <v>21976.078203886336</v>
      </c>
      <c r="M92" s="5">
        <f t="shared" si="71"/>
        <v>1117329.1382383194</v>
      </c>
      <c r="N92" s="5">
        <f t="shared" si="72"/>
        <v>2408456.9980727476</v>
      </c>
      <c r="O92" s="13">
        <f t="shared" si="73"/>
        <v>8</v>
      </c>
      <c r="Q92">
        <f t="shared" si="56"/>
        <v>89</v>
      </c>
      <c r="R92">
        <f t="shared" si="57"/>
        <v>2034</v>
      </c>
      <c r="S92">
        <f t="shared" si="58"/>
        <v>5</v>
      </c>
      <c r="T92" s="5">
        <f t="shared" si="74"/>
        <v>1261236.5033930147</v>
      </c>
      <c r="U92" s="5">
        <f t="shared" si="59"/>
        <v>8408.2433559534311</v>
      </c>
      <c r="V92" s="5">
        <f t="shared" si="60"/>
        <v>27061.314585087039</v>
      </c>
      <c r="W92" s="5">
        <f t="shared" si="75"/>
        <v>18653.071229133609</v>
      </c>
      <c r="X92" s="5">
        <f t="shared" si="76"/>
        <v>1242583.4321638811</v>
      </c>
      <c r="Y92" s="5">
        <f t="shared" si="77"/>
        <v>1151040.4302366271</v>
      </c>
      <c r="Z92" s="5">
        <f t="shared" si="78"/>
        <v>2408456.9980727476</v>
      </c>
      <c r="AA92" s="13">
        <f t="shared" si="79"/>
        <v>8</v>
      </c>
      <c r="AC92">
        <f t="shared" si="61"/>
        <v>89</v>
      </c>
      <c r="AD92">
        <f t="shared" si="62"/>
        <v>2034</v>
      </c>
      <c r="AE92">
        <f t="shared" si="63"/>
        <v>5</v>
      </c>
      <c r="AF92" s="5">
        <f t="shared" si="80"/>
        <v>1183773.9208107169</v>
      </c>
      <c r="AG92" s="5">
        <f t="shared" si="64"/>
        <v>7891.8261387381135</v>
      </c>
      <c r="AH92" s="5">
        <f t="shared" si="65"/>
        <v>27711.314585087039</v>
      </c>
      <c r="AI92" s="5">
        <f t="shared" si="81"/>
        <v>19819.488446348925</v>
      </c>
      <c r="AJ92" s="5">
        <f t="shared" si="82"/>
        <v>1163954.4323643681</v>
      </c>
      <c r="AK92" s="5">
        <f t="shared" si="83"/>
        <v>1130261.4304371148</v>
      </c>
      <c r="AL92" s="5">
        <f t="shared" si="84"/>
        <v>2466306.9980727471</v>
      </c>
      <c r="AM92" s="13">
        <f t="shared" si="85"/>
        <v>8</v>
      </c>
    </row>
    <row r="93" spans="1:39" x14ac:dyDescent="0.35">
      <c r="A93">
        <f t="shared" si="50"/>
        <v>90</v>
      </c>
      <c r="B93">
        <f t="shared" si="51"/>
        <v>2034</v>
      </c>
      <c r="C93">
        <f t="shared" si="52"/>
        <v>6</v>
      </c>
      <c r="D93" s="5">
        <f t="shared" si="68"/>
        <v>1208872.1401655697</v>
      </c>
      <c r="E93" s="5">
        <f>IFERROR(IF($A93="", "", _xlfn.XLOOKUP(A93,Offset!A:A,Offset!I:I, 0)), 0)</f>
        <v>18711.54398197696</v>
      </c>
      <c r="F93" s="5">
        <f t="shared" si="66"/>
        <v>1190160.5961835927</v>
      </c>
      <c r="G93" s="5">
        <f t="shared" si="53"/>
        <v>7934.4039745572854</v>
      </c>
      <c r="H93" s="5">
        <f t="shared" si="54"/>
        <v>27061.314585087039</v>
      </c>
      <c r="I93" s="5">
        <f t="shared" si="67"/>
        <v>19126.910610529754</v>
      </c>
      <c r="J93" s="5">
        <f t="shared" si="69"/>
        <v>1189745.2295550399</v>
      </c>
      <c r="K93" s="5">
        <f t="shared" si="55"/>
        <v>124.74362654651307</v>
      </c>
      <c r="L93" s="5">
        <f t="shared" si="70"/>
        <v>22100.821830432851</v>
      </c>
      <c r="M93" s="5">
        <f t="shared" si="71"/>
        <v>1125263.5422128767</v>
      </c>
      <c r="N93" s="5">
        <f t="shared" si="72"/>
        <v>2435518.3126578345</v>
      </c>
      <c r="O93" s="13">
        <f t="shared" si="73"/>
        <v>8</v>
      </c>
      <c r="Q93">
        <f t="shared" si="56"/>
        <v>90</v>
      </c>
      <c r="R93">
        <f t="shared" si="57"/>
        <v>2034</v>
      </c>
      <c r="S93">
        <f t="shared" si="58"/>
        <v>6</v>
      </c>
      <c r="T93" s="5">
        <f t="shared" si="74"/>
        <v>1242583.4321638811</v>
      </c>
      <c r="U93" s="5">
        <f t="shared" si="59"/>
        <v>8283.8895477592087</v>
      </c>
      <c r="V93" s="5">
        <f t="shared" si="60"/>
        <v>27061.314585087039</v>
      </c>
      <c r="W93" s="5">
        <f t="shared" si="75"/>
        <v>18777.42503732783</v>
      </c>
      <c r="X93" s="5">
        <f t="shared" si="76"/>
        <v>1223806.0071265532</v>
      </c>
      <c r="Y93" s="5">
        <f t="shared" si="77"/>
        <v>1159324.3197843863</v>
      </c>
      <c r="Z93" s="5">
        <f t="shared" si="78"/>
        <v>2435518.3126578345</v>
      </c>
      <c r="AA93" s="13">
        <f t="shared" si="79"/>
        <v>8</v>
      </c>
      <c r="AC93">
        <f t="shared" si="61"/>
        <v>90</v>
      </c>
      <c r="AD93">
        <f t="shared" si="62"/>
        <v>2034</v>
      </c>
      <c r="AE93">
        <f t="shared" si="63"/>
        <v>6</v>
      </c>
      <c r="AF93" s="5">
        <f t="shared" si="80"/>
        <v>1163954.4323643681</v>
      </c>
      <c r="AG93" s="5">
        <f t="shared" si="64"/>
        <v>7759.6962157624548</v>
      </c>
      <c r="AH93" s="5">
        <f t="shared" si="65"/>
        <v>27711.314585087039</v>
      </c>
      <c r="AI93" s="5">
        <f t="shared" si="81"/>
        <v>19951.618369324584</v>
      </c>
      <c r="AJ93" s="5">
        <f t="shared" si="82"/>
        <v>1144002.8139950435</v>
      </c>
      <c r="AK93" s="5">
        <f t="shared" si="83"/>
        <v>1138021.1266528773</v>
      </c>
      <c r="AL93" s="5">
        <f t="shared" si="84"/>
        <v>2494018.312657834</v>
      </c>
      <c r="AM93" s="13">
        <f t="shared" si="85"/>
        <v>8</v>
      </c>
    </row>
    <row r="94" spans="1:39" x14ac:dyDescent="0.35">
      <c r="A94">
        <f t="shared" si="50"/>
        <v>91</v>
      </c>
      <c r="B94">
        <f t="shared" si="51"/>
        <v>2034</v>
      </c>
      <c r="C94">
        <f t="shared" si="52"/>
        <v>7</v>
      </c>
      <c r="D94" s="5">
        <f t="shared" si="68"/>
        <v>1189745.2295550399</v>
      </c>
      <c r="E94" s="5">
        <f>IFERROR(IF($A94="", "", _xlfn.XLOOKUP(A94,Offset!A:A,Offset!I:I, 0)), 0)</f>
        <v>21830.134645639788</v>
      </c>
      <c r="F94" s="5">
        <f t="shared" si="66"/>
        <v>1167915.0949094002</v>
      </c>
      <c r="G94" s="5">
        <f t="shared" si="53"/>
        <v>7786.1006327293353</v>
      </c>
      <c r="H94" s="5">
        <f t="shared" si="54"/>
        <v>27061.314585087039</v>
      </c>
      <c r="I94" s="5">
        <f t="shared" si="67"/>
        <v>19275.213952357703</v>
      </c>
      <c r="J94" s="5">
        <f t="shared" si="69"/>
        <v>1170470.0156026823</v>
      </c>
      <c r="K94" s="5">
        <f t="shared" si="55"/>
        <v>145.53423097093193</v>
      </c>
      <c r="L94" s="5">
        <f t="shared" si="70"/>
        <v>22246.356061403781</v>
      </c>
      <c r="M94" s="5">
        <f t="shared" si="71"/>
        <v>1133049.642845606</v>
      </c>
      <c r="N94" s="5">
        <f t="shared" si="72"/>
        <v>2462579.6272429214</v>
      </c>
      <c r="O94" s="13">
        <f t="shared" si="73"/>
        <v>8</v>
      </c>
      <c r="Q94">
        <f t="shared" si="56"/>
        <v>91</v>
      </c>
      <c r="R94">
        <f t="shared" si="57"/>
        <v>2034</v>
      </c>
      <c r="S94">
        <f t="shared" si="58"/>
        <v>7</v>
      </c>
      <c r="T94" s="5">
        <f t="shared" si="74"/>
        <v>1223806.0071265532</v>
      </c>
      <c r="U94" s="5">
        <f t="shared" si="59"/>
        <v>8158.7067141770221</v>
      </c>
      <c r="V94" s="5">
        <f t="shared" si="60"/>
        <v>27061.314585087039</v>
      </c>
      <c r="W94" s="5">
        <f t="shared" si="75"/>
        <v>18902.607870910018</v>
      </c>
      <c r="X94" s="5">
        <f t="shared" si="76"/>
        <v>1204903.3992556431</v>
      </c>
      <c r="Y94" s="5">
        <f t="shared" si="77"/>
        <v>1167483.0264985634</v>
      </c>
      <c r="Z94" s="5">
        <f t="shared" si="78"/>
        <v>2462579.6272429214</v>
      </c>
      <c r="AA94" s="13">
        <f t="shared" si="79"/>
        <v>8</v>
      </c>
      <c r="AC94">
        <f t="shared" si="61"/>
        <v>91</v>
      </c>
      <c r="AD94">
        <f t="shared" si="62"/>
        <v>2034</v>
      </c>
      <c r="AE94">
        <f t="shared" si="63"/>
        <v>7</v>
      </c>
      <c r="AF94" s="5">
        <f t="shared" si="80"/>
        <v>1144002.8139950435</v>
      </c>
      <c r="AG94" s="5">
        <f t="shared" si="64"/>
        <v>7626.685426633624</v>
      </c>
      <c r="AH94" s="5">
        <f t="shared" si="65"/>
        <v>27711.314585087039</v>
      </c>
      <c r="AI94" s="5">
        <f t="shared" si="81"/>
        <v>20084.629158453416</v>
      </c>
      <c r="AJ94" s="5">
        <f t="shared" si="82"/>
        <v>1123918.1848365902</v>
      </c>
      <c r="AK94" s="5">
        <f t="shared" si="83"/>
        <v>1145647.8120795109</v>
      </c>
      <c r="AL94" s="5">
        <f t="shared" si="84"/>
        <v>2521729.6272429209</v>
      </c>
      <c r="AM94" s="13">
        <f t="shared" si="85"/>
        <v>8</v>
      </c>
    </row>
    <row r="95" spans="1:39" x14ac:dyDescent="0.35">
      <c r="A95">
        <f t="shared" si="50"/>
        <v>92</v>
      </c>
      <c r="B95">
        <f t="shared" si="51"/>
        <v>2034</v>
      </c>
      <c r="C95">
        <f t="shared" si="52"/>
        <v>8</v>
      </c>
      <c r="D95" s="5">
        <f t="shared" si="68"/>
        <v>1170470.0156026823</v>
      </c>
      <c r="E95" s="5">
        <f>IFERROR(IF($A95="", "", _xlfn.XLOOKUP(A95,Offset!A:A,Offset!I:I, 0)), 0)</f>
        <v>24948.725309302616</v>
      </c>
      <c r="F95" s="5">
        <f t="shared" si="66"/>
        <v>1145521.2902933797</v>
      </c>
      <c r="G95" s="5">
        <f t="shared" si="53"/>
        <v>7636.808601955865</v>
      </c>
      <c r="H95" s="5">
        <f t="shared" si="54"/>
        <v>27061.314585087039</v>
      </c>
      <c r="I95" s="5">
        <f t="shared" si="67"/>
        <v>19424.505983131174</v>
      </c>
      <c r="J95" s="5">
        <f t="shared" si="69"/>
        <v>1151045.509619551</v>
      </c>
      <c r="K95" s="5">
        <f t="shared" si="55"/>
        <v>166.32483539535079</v>
      </c>
      <c r="L95" s="5">
        <f t="shared" si="70"/>
        <v>22412.680896799131</v>
      </c>
      <c r="M95" s="5">
        <f t="shared" si="71"/>
        <v>1140686.4514475618</v>
      </c>
      <c r="N95" s="5">
        <f t="shared" si="72"/>
        <v>2489640.9418280083</v>
      </c>
      <c r="O95" s="13">
        <f t="shared" si="73"/>
        <v>8</v>
      </c>
      <c r="Q95">
        <f t="shared" si="56"/>
        <v>92</v>
      </c>
      <c r="R95">
        <f t="shared" si="57"/>
        <v>2034</v>
      </c>
      <c r="S95">
        <f t="shared" si="58"/>
        <v>8</v>
      </c>
      <c r="T95" s="5">
        <f t="shared" si="74"/>
        <v>1204903.3992556431</v>
      </c>
      <c r="U95" s="5">
        <f t="shared" si="59"/>
        <v>8032.6893283709551</v>
      </c>
      <c r="V95" s="5">
        <f t="shared" si="60"/>
        <v>27061.314585087039</v>
      </c>
      <c r="W95" s="5">
        <f t="shared" si="75"/>
        <v>19028.625256716085</v>
      </c>
      <c r="X95" s="5">
        <f t="shared" si="76"/>
        <v>1185874.7739989271</v>
      </c>
      <c r="Y95" s="5">
        <f t="shared" si="77"/>
        <v>1175515.7158269342</v>
      </c>
      <c r="Z95" s="5">
        <f t="shared" si="78"/>
        <v>2489640.9418280083</v>
      </c>
      <c r="AA95" s="13">
        <f t="shared" si="79"/>
        <v>8</v>
      </c>
      <c r="AC95">
        <f t="shared" si="61"/>
        <v>92</v>
      </c>
      <c r="AD95">
        <f t="shared" si="62"/>
        <v>2034</v>
      </c>
      <c r="AE95">
        <f t="shared" si="63"/>
        <v>8</v>
      </c>
      <c r="AF95" s="5">
        <f t="shared" si="80"/>
        <v>1123918.1848365902</v>
      </c>
      <c r="AG95" s="5">
        <f t="shared" si="64"/>
        <v>7492.7878989106021</v>
      </c>
      <c r="AH95" s="5">
        <f t="shared" si="65"/>
        <v>27711.314585087039</v>
      </c>
      <c r="AI95" s="5">
        <f t="shared" si="81"/>
        <v>20218.526686176436</v>
      </c>
      <c r="AJ95" s="5">
        <f t="shared" si="82"/>
        <v>1103699.6581504138</v>
      </c>
      <c r="AK95" s="5">
        <f t="shared" si="83"/>
        <v>1153140.5999784216</v>
      </c>
      <c r="AL95" s="5">
        <f t="shared" si="84"/>
        <v>2549440.9418280078</v>
      </c>
      <c r="AM95" s="13">
        <f t="shared" si="85"/>
        <v>8</v>
      </c>
    </row>
    <row r="96" spans="1:39" x14ac:dyDescent="0.35">
      <c r="A96">
        <f t="shared" si="50"/>
        <v>93</v>
      </c>
      <c r="B96">
        <f t="shared" si="51"/>
        <v>2034</v>
      </c>
      <c r="C96">
        <f t="shared" si="52"/>
        <v>9</v>
      </c>
      <c r="D96" s="5">
        <f t="shared" si="68"/>
        <v>1151045.509619551</v>
      </c>
      <c r="E96" s="5">
        <f>IFERROR(IF($A96="", "", _xlfn.XLOOKUP(A96,Offset!A:A,Offset!I:I, 0)), 0)</f>
        <v>28067.315972965444</v>
      </c>
      <c r="F96" s="5">
        <f t="shared" si="66"/>
        <v>1122978.1936465856</v>
      </c>
      <c r="G96" s="5">
        <f t="shared" si="53"/>
        <v>7486.5212909772372</v>
      </c>
      <c r="H96" s="5">
        <f t="shared" si="54"/>
        <v>27061.314585087039</v>
      </c>
      <c r="I96" s="5">
        <f t="shared" si="67"/>
        <v>19574.793294109801</v>
      </c>
      <c r="J96" s="5">
        <f t="shared" si="69"/>
        <v>1131470.7163254411</v>
      </c>
      <c r="K96" s="5">
        <f t="shared" si="55"/>
        <v>187.11543981976965</v>
      </c>
      <c r="L96" s="5">
        <f t="shared" si="70"/>
        <v>22599.7963366189</v>
      </c>
      <c r="M96" s="5">
        <f t="shared" si="71"/>
        <v>1148172.9727385391</v>
      </c>
      <c r="N96" s="5">
        <f t="shared" si="72"/>
        <v>2516702.2564130952</v>
      </c>
      <c r="O96" s="13">
        <f t="shared" si="73"/>
        <v>8</v>
      </c>
      <c r="Q96">
        <f t="shared" si="56"/>
        <v>93</v>
      </c>
      <c r="R96">
        <f t="shared" si="57"/>
        <v>2034</v>
      </c>
      <c r="S96">
        <f t="shared" si="58"/>
        <v>9</v>
      </c>
      <c r="T96" s="5">
        <f t="shared" si="74"/>
        <v>1185874.7739989271</v>
      </c>
      <c r="U96" s="5">
        <f t="shared" si="59"/>
        <v>7905.8318266595143</v>
      </c>
      <c r="V96" s="5">
        <f t="shared" si="60"/>
        <v>27061.314585087039</v>
      </c>
      <c r="W96" s="5">
        <f t="shared" si="75"/>
        <v>19155.482758427526</v>
      </c>
      <c r="X96" s="5">
        <f t="shared" si="76"/>
        <v>1166719.2912404996</v>
      </c>
      <c r="Y96" s="5">
        <f t="shared" si="77"/>
        <v>1183421.5476535938</v>
      </c>
      <c r="Z96" s="5">
        <f t="shared" si="78"/>
        <v>2516702.2564130952</v>
      </c>
      <c r="AA96" s="13">
        <f t="shared" si="79"/>
        <v>8</v>
      </c>
      <c r="AC96">
        <f t="shared" si="61"/>
        <v>93</v>
      </c>
      <c r="AD96">
        <f t="shared" si="62"/>
        <v>2034</v>
      </c>
      <c r="AE96">
        <f t="shared" si="63"/>
        <v>9</v>
      </c>
      <c r="AF96" s="5">
        <f t="shared" si="80"/>
        <v>1103699.6581504138</v>
      </c>
      <c r="AG96" s="5">
        <f t="shared" si="64"/>
        <v>7357.9977210027591</v>
      </c>
      <c r="AH96" s="5">
        <f t="shared" si="65"/>
        <v>27711.314585087039</v>
      </c>
      <c r="AI96" s="5">
        <f t="shared" si="81"/>
        <v>20353.316864084278</v>
      </c>
      <c r="AJ96" s="5">
        <f t="shared" si="82"/>
        <v>1083346.3412863296</v>
      </c>
      <c r="AK96" s="5">
        <f t="shared" si="83"/>
        <v>1160498.5976994243</v>
      </c>
      <c r="AL96" s="5">
        <f t="shared" si="84"/>
        <v>2577152.2564130947</v>
      </c>
      <c r="AM96" s="13">
        <f t="shared" si="85"/>
        <v>8</v>
      </c>
    </row>
    <row r="97" spans="1:39" x14ac:dyDescent="0.35">
      <c r="A97">
        <f t="shared" si="50"/>
        <v>94</v>
      </c>
      <c r="B97">
        <f t="shared" si="51"/>
        <v>2034</v>
      </c>
      <c r="C97">
        <f t="shared" si="52"/>
        <v>10</v>
      </c>
      <c r="D97" s="5">
        <f t="shared" si="68"/>
        <v>1131470.7163254411</v>
      </c>
      <c r="E97" s="5">
        <f>IFERROR(IF($A97="", "", _xlfn.XLOOKUP(A97,Offset!A:A,Offset!I:I, 0)), 0)</f>
        <v>31185.906636628271</v>
      </c>
      <c r="F97" s="5">
        <f t="shared" si="66"/>
        <v>1100284.8096888128</v>
      </c>
      <c r="G97" s="5">
        <f t="shared" si="53"/>
        <v>7335.2320645920863</v>
      </c>
      <c r="H97" s="5">
        <f t="shared" si="54"/>
        <v>27061.314585087039</v>
      </c>
      <c r="I97" s="5">
        <f t="shared" si="67"/>
        <v>19726.082520494951</v>
      </c>
      <c r="J97" s="5">
        <f t="shared" si="69"/>
        <v>1111744.6338049462</v>
      </c>
      <c r="K97" s="5">
        <f t="shared" si="55"/>
        <v>207.90604424418848</v>
      </c>
      <c r="L97" s="5">
        <f t="shared" si="70"/>
        <v>22807.702380863087</v>
      </c>
      <c r="M97" s="5">
        <f t="shared" si="71"/>
        <v>1155508.2048031313</v>
      </c>
      <c r="N97" s="5">
        <f t="shared" si="72"/>
        <v>2543763.5709981821</v>
      </c>
      <c r="O97" s="13">
        <f t="shared" si="73"/>
        <v>8</v>
      </c>
      <c r="Q97">
        <f t="shared" si="56"/>
        <v>94</v>
      </c>
      <c r="R97">
        <f t="shared" si="57"/>
        <v>2034</v>
      </c>
      <c r="S97">
        <f t="shared" si="58"/>
        <v>10</v>
      </c>
      <c r="T97" s="5">
        <f t="shared" si="74"/>
        <v>1166719.2912404996</v>
      </c>
      <c r="U97" s="5">
        <f t="shared" si="59"/>
        <v>7778.128608269998</v>
      </c>
      <c r="V97" s="5">
        <f t="shared" si="60"/>
        <v>27061.314585087039</v>
      </c>
      <c r="W97" s="5">
        <f t="shared" si="75"/>
        <v>19283.18597681704</v>
      </c>
      <c r="X97" s="5">
        <f t="shared" si="76"/>
        <v>1147436.1052636825</v>
      </c>
      <c r="Y97" s="5">
        <f t="shared" si="77"/>
        <v>1191199.6762618639</v>
      </c>
      <c r="Z97" s="5">
        <f t="shared" si="78"/>
        <v>2543763.5709981821</v>
      </c>
      <c r="AA97" s="13">
        <f t="shared" si="79"/>
        <v>8</v>
      </c>
      <c r="AC97">
        <f t="shared" si="61"/>
        <v>94</v>
      </c>
      <c r="AD97">
        <f t="shared" si="62"/>
        <v>2034</v>
      </c>
      <c r="AE97">
        <f t="shared" si="63"/>
        <v>10</v>
      </c>
      <c r="AF97" s="5">
        <f t="shared" si="80"/>
        <v>1083346.3412863296</v>
      </c>
      <c r="AG97" s="5">
        <f t="shared" si="64"/>
        <v>7222.3089419088637</v>
      </c>
      <c r="AH97" s="5">
        <f t="shared" si="65"/>
        <v>27711.314585087039</v>
      </c>
      <c r="AI97" s="5">
        <f t="shared" si="81"/>
        <v>20489.005643178174</v>
      </c>
      <c r="AJ97" s="5">
        <f t="shared" si="82"/>
        <v>1062857.3356431513</v>
      </c>
      <c r="AK97" s="5">
        <f t="shared" si="83"/>
        <v>1167720.9066413331</v>
      </c>
      <c r="AL97" s="5">
        <f t="shared" si="84"/>
        <v>2604863.5709981816</v>
      </c>
      <c r="AM97" s="13">
        <f t="shared" si="85"/>
        <v>8</v>
      </c>
    </row>
    <row r="98" spans="1:39" x14ac:dyDescent="0.35">
      <c r="A98">
        <f t="shared" si="50"/>
        <v>95</v>
      </c>
      <c r="B98">
        <f t="shared" si="51"/>
        <v>2034</v>
      </c>
      <c r="C98">
        <f t="shared" si="52"/>
        <v>11</v>
      </c>
      <c r="D98" s="5">
        <f t="shared" si="68"/>
        <v>1111744.6338049462</v>
      </c>
      <c r="E98" s="5">
        <f>IFERROR(IF($A98="", "", _xlfn.XLOOKUP(A98,Offset!A:A,Offset!I:I, 0)), 0)</f>
        <v>34304.497300291099</v>
      </c>
      <c r="F98" s="5">
        <f t="shared" si="66"/>
        <v>1077440.136504655</v>
      </c>
      <c r="G98" s="5">
        <f t="shared" si="53"/>
        <v>7182.9342433643669</v>
      </c>
      <c r="H98" s="5">
        <f t="shared" si="54"/>
        <v>27061.314585087039</v>
      </c>
      <c r="I98" s="5">
        <f t="shared" si="67"/>
        <v>19878.380341722674</v>
      </c>
      <c r="J98" s="5">
        <f t="shared" si="69"/>
        <v>1091866.2534632236</v>
      </c>
      <c r="K98" s="5">
        <f t="shared" si="55"/>
        <v>228.69664866860734</v>
      </c>
      <c r="L98" s="5">
        <f t="shared" si="70"/>
        <v>23036.399029531694</v>
      </c>
      <c r="M98" s="5">
        <f t="shared" si="71"/>
        <v>1162691.1390464955</v>
      </c>
      <c r="N98" s="5">
        <f t="shared" si="72"/>
        <v>2570824.8855832689</v>
      </c>
      <c r="O98" s="13">
        <f t="shared" si="73"/>
        <v>8</v>
      </c>
      <c r="Q98">
        <f t="shared" si="56"/>
        <v>95</v>
      </c>
      <c r="R98">
        <f t="shared" si="57"/>
        <v>2034</v>
      </c>
      <c r="S98">
        <f t="shared" si="58"/>
        <v>11</v>
      </c>
      <c r="T98" s="5">
        <f t="shared" si="74"/>
        <v>1147436.1052636825</v>
      </c>
      <c r="U98" s="5">
        <f t="shared" si="59"/>
        <v>7649.5740350912174</v>
      </c>
      <c r="V98" s="5">
        <f t="shared" si="60"/>
        <v>27061.314585087039</v>
      </c>
      <c r="W98" s="5">
        <f t="shared" si="75"/>
        <v>19411.740549995822</v>
      </c>
      <c r="X98" s="5">
        <f t="shared" si="76"/>
        <v>1128024.3647136868</v>
      </c>
      <c r="Y98" s="5">
        <f t="shared" si="77"/>
        <v>1198849.2502969552</v>
      </c>
      <c r="Z98" s="5">
        <f t="shared" si="78"/>
        <v>2570824.8855832689</v>
      </c>
      <c r="AA98" s="13">
        <f t="shared" si="79"/>
        <v>8</v>
      </c>
      <c r="AC98">
        <f t="shared" si="61"/>
        <v>95</v>
      </c>
      <c r="AD98">
        <f t="shared" si="62"/>
        <v>2034</v>
      </c>
      <c r="AE98">
        <f t="shared" si="63"/>
        <v>11</v>
      </c>
      <c r="AF98" s="5">
        <f t="shared" si="80"/>
        <v>1062857.3356431513</v>
      </c>
      <c r="AG98" s="5">
        <f t="shared" si="64"/>
        <v>7085.7155709543422</v>
      </c>
      <c r="AH98" s="5">
        <f t="shared" si="65"/>
        <v>27711.314585087039</v>
      </c>
      <c r="AI98" s="5">
        <f t="shared" si="81"/>
        <v>20625.599014132698</v>
      </c>
      <c r="AJ98" s="5">
        <f t="shared" si="82"/>
        <v>1042231.7366290186</v>
      </c>
      <c r="AK98" s="5">
        <f t="shared" si="83"/>
        <v>1174806.6222122875</v>
      </c>
      <c r="AL98" s="5">
        <f t="shared" si="84"/>
        <v>2632574.8855832685</v>
      </c>
      <c r="AM98" s="13">
        <f t="shared" si="85"/>
        <v>8</v>
      </c>
    </row>
    <row r="99" spans="1:39" x14ac:dyDescent="0.35">
      <c r="A99">
        <f t="shared" si="50"/>
        <v>96</v>
      </c>
      <c r="B99">
        <f t="shared" si="51"/>
        <v>2034</v>
      </c>
      <c r="C99">
        <f t="shared" si="52"/>
        <v>12</v>
      </c>
      <c r="D99" s="5">
        <f t="shared" si="68"/>
        <v>1091866.2534632236</v>
      </c>
      <c r="E99" s="5">
        <f>IFERROR(IF($A99="", "", _xlfn.XLOOKUP(A99,Offset!A:A,Offset!I:I, 0)), 0)</f>
        <v>37423.087963953927</v>
      </c>
      <c r="F99" s="5">
        <f t="shared" si="66"/>
        <v>1054443.1654992697</v>
      </c>
      <c r="G99" s="5">
        <f t="shared" si="53"/>
        <v>7029.6211033284653</v>
      </c>
      <c r="H99" s="5">
        <f t="shared" si="54"/>
        <v>27061.314585087039</v>
      </c>
      <c r="I99" s="5">
        <f t="shared" si="67"/>
        <v>20031.693481758572</v>
      </c>
      <c r="J99" s="5">
        <f t="shared" si="69"/>
        <v>1071834.5599814651</v>
      </c>
      <c r="K99" s="5">
        <f t="shared" si="55"/>
        <v>249.4872530930262</v>
      </c>
      <c r="L99" s="5">
        <f t="shared" si="70"/>
        <v>23285.88628262472</v>
      </c>
      <c r="M99" s="5">
        <f t="shared" si="71"/>
        <v>1169720.760149824</v>
      </c>
      <c r="N99" s="5">
        <f t="shared" si="72"/>
        <v>2597886.2001683558</v>
      </c>
      <c r="O99" s="13">
        <f t="shared" si="73"/>
        <v>8</v>
      </c>
      <c r="Q99">
        <f t="shared" si="56"/>
        <v>96</v>
      </c>
      <c r="R99">
        <f t="shared" si="57"/>
        <v>2034</v>
      </c>
      <c r="S99">
        <f t="shared" si="58"/>
        <v>12</v>
      </c>
      <c r="T99" s="5">
        <f t="shared" si="74"/>
        <v>1128024.3647136868</v>
      </c>
      <c r="U99" s="5">
        <f t="shared" si="59"/>
        <v>7520.1624314245792</v>
      </c>
      <c r="V99" s="5">
        <f t="shared" si="60"/>
        <v>27061.314585087039</v>
      </c>
      <c r="W99" s="5">
        <f t="shared" si="75"/>
        <v>19541.15215366246</v>
      </c>
      <c r="X99" s="5">
        <f t="shared" si="76"/>
        <v>1108483.2125600243</v>
      </c>
      <c r="Y99" s="5">
        <f t="shared" si="77"/>
        <v>1206369.4127283797</v>
      </c>
      <c r="Z99" s="5">
        <f t="shared" si="78"/>
        <v>2597886.2001683558</v>
      </c>
      <c r="AA99" s="13">
        <f t="shared" si="79"/>
        <v>8</v>
      </c>
      <c r="AC99">
        <f t="shared" si="61"/>
        <v>96</v>
      </c>
      <c r="AD99">
        <f t="shared" si="62"/>
        <v>2034</v>
      </c>
      <c r="AE99">
        <f t="shared" si="63"/>
        <v>12</v>
      </c>
      <c r="AF99" s="5">
        <f t="shared" si="80"/>
        <v>1042231.7366290186</v>
      </c>
      <c r="AG99" s="5">
        <f t="shared" si="64"/>
        <v>6948.2115775267912</v>
      </c>
      <c r="AH99" s="5">
        <f t="shared" si="65"/>
        <v>27711.314585087039</v>
      </c>
      <c r="AI99" s="5">
        <f t="shared" si="81"/>
        <v>20763.103007560247</v>
      </c>
      <c r="AJ99" s="5">
        <f t="shared" si="82"/>
        <v>1021468.6336214583</v>
      </c>
      <c r="AK99" s="5">
        <f t="shared" si="83"/>
        <v>1181754.8337898143</v>
      </c>
      <c r="AL99" s="5">
        <f t="shared" si="84"/>
        <v>2660286.2001683554</v>
      </c>
      <c r="AM99" s="13">
        <f t="shared" si="85"/>
        <v>8</v>
      </c>
    </row>
    <row r="100" spans="1:39" x14ac:dyDescent="0.35">
      <c r="A100">
        <f t="shared" ref="A100:A131" si="86">IF(ROW()-3&lt;=TotalPeriods_Loan,ROW()-3,"")</f>
        <v>97</v>
      </c>
      <c r="B100">
        <f t="shared" ref="B100:B131" si="87">IF($A100="", "", YEAR(StartYear) + INT(($A100-1)/PPY_Loan))</f>
        <v>2035</v>
      </c>
      <c r="C100">
        <f t="shared" ref="C100:C131" si="88">IF($A100="", "", MOD(A100-1, PPY_Loan)+1)</f>
        <v>1</v>
      </c>
      <c r="D100" s="5">
        <f t="shared" si="68"/>
        <v>1071834.5599814651</v>
      </c>
      <c r="E100" s="5">
        <f>IFERROR(IF($A100="", "", _xlfn.XLOOKUP(A100,Offset!A:A,Offset!I:I, 0)), 0)</f>
        <v>3554.0554302543978</v>
      </c>
      <c r="F100" s="5">
        <f t="shared" si="66"/>
        <v>1068280.5045512107</v>
      </c>
      <c r="G100" s="5">
        <f t="shared" ref="G100:G131" si="89">IFERROR(IF($A100="", "", F100*(LoanRate/PPY_Loan)), 0)</f>
        <v>7121.8700303414053</v>
      </c>
      <c r="H100" s="5">
        <f t="shared" ref="H100:H131" si="90">IFERROR(IF($A100="", "", IF(D100&lt;=0, 0, MIN(StdPayment, D100+G100))), 0)</f>
        <v>27061.314585087039</v>
      </c>
      <c r="I100" s="5">
        <f t="shared" si="67"/>
        <v>19939.444554745634</v>
      </c>
      <c r="J100" s="5">
        <f t="shared" si="69"/>
        <v>1051895.1154267194</v>
      </c>
      <c r="K100" s="5">
        <f t="shared" ref="K100:K131" si="91">IFERROR(IF($A100="", "", IF(D100&lt;=0, 0, E100*(LoanRate/PPY_Loan))), 0)</f>
        <v>23.693702868362653</v>
      </c>
      <c r="L100" s="5">
        <f t="shared" si="70"/>
        <v>23309.579985493085</v>
      </c>
      <c r="M100" s="5">
        <f t="shared" si="71"/>
        <v>1176842.6301801654</v>
      </c>
      <c r="N100" s="5">
        <f t="shared" si="72"/>
        <v>2624947.5147534427</v>
      </c>
      <c r="O100" s="13">
        <f t="shared" si="73"/>
        <v>9</v>
      </c>
      <c r="Q100">
        <f t="shared" ref="Q100:Q131" si="92">IF(ROW()-3&lt;=TotalPeriods_Loan,ROW()-3,"")</f>
        <v>97</v>
      </c>
      <c r="R100">
        <f t="shared" ref="R100:R131" si="93">IF($Q100="", "", YEAR(StartYear) + INT(($Q100-1)/PPY_Loan))</f>
        <v>2035</v>
      </c>
      <c r="S100">
        <f t="shared" ref="S100:S131" si="94">IF($Q100="", "", MOD(Q100-1, PPY_Loan)+1)</f>
        <v>1</v>
      </c>
      <c r="T100" s="5">
        <f t="shared" si="74"/>
        <v>1108483.2125600243</v>
      </c>
      <c r="U100" s="5">
        <f t="shared" ref="U100:U131" si="95">IFERROR(IF($Q100="", "", T100*(LoanRate/PPY_Loan)), 0)</f>
        <v>7389.8880837334964</v>
      </c>
      <c r="V100" s="5">
        <f t="shared" si="60"/>
        <v>27061.314585087039</v>
      </c>
      <c r="W100" s="5">
        <f t="shared" si="75"/>
        <v>19671.426501353541</v>
      </c>
      <c r="X100" s="5">
        <f t="shared" si="76"/>
        <v>1088811.7860586708</v>
      </c>
      <c r="Y100" s="5">
        <f t="shared" si="77"/>
        <v>1213759.3008121131</v>
      </c>
      <c r="Z100" s="5">
        <f t="shared" si="78"/>
        <v>2624947.5147534427</v>
      </c>
      <c r="AA100" s="13">
        <f t="shared" si="79"/>
        <v>9</v>
      </c>
      <c r="AC100">
        <f t="shared" ref="AC100:AC131" si="96">IF(ROW()-3&lt;=TotalPeriods_Loan,ROW()-3,"")</f>
        <v>97</v>
      </c>
      <c r="AD100">
        <f t="shared" ref="AD100:AD131" si="97">IF($AC100="", "", YEAR(StartYear) + INT(($AC100-1)/PPY_Loan))</f>
        <v>2035</v>
      </c>
      <c r="AE100">
        <f t="shared" ref="AE100:AE131" si="98">IF($AC100="", "", MOD(AC100-1, PPY_Loan)+1)</f>
        <v>1</v>
      </c>
      <c r="AF100" s="5">
        <f t="shared" si="80"/>
        <v>1021468.6336214583</v>
      </c>
      <c r="AG100" s="5">
        <f t="shared" ref="AG100:AG131" si="99">IFERROR(IF($AC100="", "", AF100*(LoanRate/PPY_Loan)), 0)</f>
        <v>6809.7908908097224</v>
      </c>
      <c r="AH100" s="5">
        <f t="shared" si="65"/>
        <v>27711.314585087039</v>
      </c>
      <c r="AI100" s="5">
        <f t="shared" si="81"/>
        <v>20901.523694277315</v>
      </c>
      <c r="AJ100" s="5">
        <f t="shared" si="82"/>
        <v>1000567.109927181</v>
      </c>
      <c r="AK100" s="5">
        <f t="shared" si="83"/>
        <v>1188564.6246806239</v>
      </c>
      <c r="AL100" s="5">
        <f t="shared" si="84"/>
        <v>2687997.5147534423</v>
      </c>
      <c r="AM100" s="13">
        <f t="shared" si="85"/>
        <v>9</v>
      </c>
    </row>
    <row r="101" spans="1:39" x14ac:dyDescent="0.35">
      <c r="A101">
        <f t="shared" si="86"/>
        <v>98</v>
      </c>
      <c r="B101">
        <f t="shared" si="87"/>
        <v>2035</v>
      </c>
      <c r="C101">
        <f t="shared" si="88"/>
        <v>2</v>
      </c>
      <c r="D101" s="5">
        <f t="shared" si="68"/>
        <v>1051895.1154267194</v>
      </c>
      <c r="E101" s="5">
        <f>IFERROR(IF($A101="", "", _xlfn.XLOOKUP(A101,Offset!A:A,Offset!I:I, 0)), 0)</f>
        <v>7108.1108605087957</v>
      </c>
      <c r="F101" s="5">
        <f t="shared" si="66"/>
        <v>1044787.0045662107</v>
      </c>
      <c r="G101" s="5">
        <f t="shared" si="89"/>
        <v>6965.2466971080712</v>
      </c>
      <c r="H101" s="5">
        <f t="shared" si="90"/>
        <v>27061.314585087039</v>
      </c>
      <c r="I101" s="5">
        <f t="shared" si="67"/>
        <v>20096.067887978967</v>
      </c>
      <c r="J101" s="5">
        <f t="shared" si="69"/>
        <v>1031799.0475387404</v>
      </c>
      <c r="K101" s="5">
        <f t="shared" si="91"/>
        <v>47.387405736725306</v>
      </c>
      <c r="L101" s="5">
        <f t="shared" si="70"/>
        <v>23356.967391229809</v>
      </c>
      <c r="M101" s="5">
        <f t="shared" si="71"/>
        <v>1183807.8768772734</v>
      </c>
      <c r="N101" s="5">
        <f t="shared" si="72"/>
        <v>2652008.8293385296</v>
      </c>
      <c r="O101" s="13">
        <f t="shared" si="73"/>
        <v>9</v>
      </c>
      <c r="Q101">
        <f t="shared" si="92"/>
        <v>98</v>
      </c>
      <c r="R101">
        <f t="shared" si="93"/>
        <v>2035</v>
      </c>
      <c r="S101">
        <f t="shared" si="94"/>
        <v>2</v>
      </c>
      <c r="T101" s="5">
        <f t="shared" si="74"/>
        <v>1088811.7860586708</v>
      </c>
      <c r="U101" s="5">
        <f t="shared" si="95"/>
        <v>7258.7452403911393</v>
      </c>
      <c r="V101" s="5">
        <f t="shared" si="60"/>
        <v>27061.314585087039</v>
      </c>
      <c r="W101" s="5">
        <f t="shared" si="75"/>
        <v>19802.569344695898</v>
      </c>
      <c r="X101" s="5">
        <f t="shared" si="76"/>
        <v>1069009.216713975</v>
      </c>
      <c r="Y101" s="5">
        <f t="shared" si="77"/>
        <v>1221018.0460525043</v>
      </c>
      <c r="Z101" s="5">
        <f t="shared" si="78"/>
        <v>2652008.8293385296</v>
      </c>
      <c r="AA101" s="13">
        <f t="shared" si="79"/>
        <v>9</v>
      </c>
      <c r="AC101">
        <f t="shared" si="96"/>
        <v>98</v>
      </c>
      <c r="AD101">
        <f t="shared" si="97"/>
        <v>2035</v>
      </c>
      <c r="AE101">
        <f t="shared" si="98"/>
        <v>2</v>
      </c>
      <c r="AF101" s="5">
        <f t="shared" si="80"/>
        <v>1000567.109927181</v>
      </c>
      <c r="AG101" s="5">
        <f t="shared" si="99"/>
        <v>6670.4473995145408</v>
      </c>
      <c r="AH101" s="5">
        <f t="shared" si="65"/>
        <v>27711.314585087039</v>
      </c>
      <c r="AI101" s="5">
        <f t="shared" si="81"/>
        <v>21040.867185572497</v>
      </c>
      <c r="AJ101" s="5">
        <f t="shared" si="82"/>
        <v>979526.24274160853</v>
      </c>
      <c r="AK101" s="5">
        <f t="shared" si="83"/>
        <v>1195235.0720801384</v>
      </c>
      <c r="AL101" s="5">
        <f t="shared" si="84"/>
        <v>2715708.8293385291</v>
      </c>
      <c r="AM101" s="13">
        <f t="shared" si="85"/>
        <v>9</v>
      </c>
    </row>
    <row r="102" spans="1:39" x14ac:dyDescent="0.35">
      <c r="A102">
        <f t="shared" si="86"/>
        <v>99</v>
      </c>
      <c r="B102">
        <f t="shared" si="87"/>
        <v>2035</v>
      </c>
      <c r="C102">
        <f t="shared" si="88"/>
        <v>3</v>
      </c>
      <c r="D102" s="5">
        <f t="shared" si="68"/>
        <v>1031799.0475387404</v>
      </c>
      <c r="E102" s="5">
        <f>IFERROR(IF($A102="", "", _xlfn.XLOOKUP(A102,Offset!A:A,Offset!I:I, 0)), 0)</f>
        <v>10662.166290763194</v>
      </c>
      <c r="F102" s="5">
        <f t="shared" si="66"/>
        <v>1021136.8812479773</v>
      </c>
      <c r="G102" s="5">
        <f t="shared" si="89"/>
        <v>6807.5792083198485</v>
      </c>
      <c r="H102" s="5">
        <f t="shared" si="90"/>
        <v>27061.314585087039</v>
      </c>
      <c r="I102" s="5">
        <f t="shared" si="67"/>
        <v>20253.735376767188</v>
      </c>
      <c r="J102" s="5">
        <f t="shared" si="69"/>
        <v>1011545.3121619732</v>
      </c>
      <c r="K102" s="5">
        <f t="shared" si="91"/>
        <v>71.081108605087962</v>
      </c>
      <c r="L102" s="5">
        <f t="shared" si="70"/>
        <v>23428.048499834898</v>
      </c>
      <c r="M102" s="5">
        <f t="shared" si="71"/>
        <v>1190615.4560855932</v>
      </c>
      <c r="N102" s="5">
        <f t="shared" si="72"/>
        <v>2679070.1439236165</v>
      </c>
      <c r="O102" s="13">
        <f t="shared" si="73"/>
        <v>9</v>
      </c>
      <c r="Q102">
        <f t="shared" si="92"/>
        <v>99</v>
      </c>
      <c r="R102">
        <f t="shared" si="93"/>
        <v>2035</v>
      </c>
      <c r="S102">
        <f t="shared" si="94"/>
        <v>3</v>
      </c>
      <c r="T102" s="5">
        <f t="shared" si="74"/>
        <v>1069009.216713975</v>
      </c>
      <c r="U102" s="5">
        <f t="shared" si="95"/>
        <v>7126.7281114264997</v>
      </c>
      <c r="V102" s="5">
        <f t="shared" si="60"/>
        <v>27061.314585087039</v>
      </c>
      <c r="W102" s="5">
        <f t="shared" si="75"/>
        <v>19934.58647366054</v>
      </c>
      <c r="X102" s="5">
        <f t="shared" si="76"/>
        <v>1049074.6302403144</v>
      </c>
      <c r="Y102" s="5">
        <f t="shared" si="77"/>
        <v>1228144.7741639309</v>
      </c>
      <c r="Z102" s="5">
        <f t="shared" si="78"/>
        <v>2679070.1439236165</v>
      </c>
      <c r="AA102" s="13">
        <f t="shared" si="79"/>
        <v>9</v>
      </c>
      <c r="AC102">
        <f t="shared" si="96"/>
        <v>99</v>
      </c>
      <c r="AD102">
        <f t="shared" si="97"/>
        <v>2035</v>
      </c>
      <c r="AE102">
        <f t="shared" si="98"/>
        <v>3</v>
      </c>
      <c r="AF102" s="5">
        <f t="shared" si="80"/>
        <v>979526.24274160853</v>
      </c>
      <c r="AG102" s="5">
        <f t="shared" si="99"/>
        <v>6530.1749516107238</v>
      </c>
      <c r="AH102" s="5">
        <f t="shared" si="65"/>
        <v>27711.314585087039</v>
      </c>
      <c r="AI102" s="5">
        <f t="shared" si="81"/>
        <v>21181.139633476316</v>
      </c>
      <c r="AJ102" s="5">
        <f t="shared" si="82"/>
        <v>958345.10310813226</v>
      </c>
      <c r="AK102" s="5">
        <f t="shared" si="83"/>
        <v>1201765.247031749</v>
      </c>
      <c r="AL102" s="5">
        <f t="shared" si="84"/>
        <v>2743420.143923616</v>
      </c>
      <c r="AM102" s="13">
        <f t="shared" si="85"/>
        <v>9</v>
      </c>
    </row>
    <row r="103" spans="1:39" x14ac:dyDescent="0.35">
      <c r="A103">
        <f t="shared" si="86"/>
        <v>100</v>
      </c>
      <c r="B103">
        <f t="shared" si="87"/>
        <v>2035</v>
      </c>
      <c r="C103">
        <f t="shared" si="88"/>
        <v>4</v>
      </c>
      <c r="D103" s="5">
        <f t="shared" si="68"/>
        <v>1011545.3121619732</v>
      </c>
      <c r="E103" s="5">
        <f>IFERROR(IF($A103="", "", _xlfn.XLOOKUP(A103,Offset!A:A,Offset!I:I, 0)), 0)</f>
        <v>14216.221721017591</v>
      </c>
      <c r="F103" s="5">
        <f t="shared" si="66"/>
        <v>997329.0904409556</v>
      </c>
      <c r="G103" s="5">
        <f t="shared" si="89"/>
        <v>6648.8606029397042</v>
      </c>
      <c r="H103" s="5">
        <f t="shared" si="90"/>
        <v>27061.314585087039</v>
      </c>
      <c r="I103" s="5">
        <f t="shared" si="67"/>
        <v>20412.453982147334</v>
      </c>
      <c r="J103" s="5">
        <f t="shared" si="69"/>
        <v>991132.85817982582</v>
      </c>
      <c r="K103" s="5">
        <f t="shared" si="91"/>
        <v>94.774811473450612</v>
      </c>
      <c r="L103" s="5">
        <f t="shared" si="70"/>
        <v>23522.823311308348</v>
      </c>
      <c r="M103" s="5">
        <f t="shared" si="71"/>
        <v>1197264.3166885329</v>
      </c>
      <c r="N103" s="5">
        <f t="shared" si="72"/>
        <v>2706131.4585087034</v>
      </c>
      <c r="O103" s="13">
        <f t="shared" si="73"/>
        <v>9</v>
      </c>
      <c r="Q103">
        <f t="shared" si="92"/>
        <v>100</v>
      </c>
      <c r="R103">
        <f t="shared" si="93"/>
        <v>2035</v>
      </c>
      <c r="S103">
        <f t="shared" si="94"/>
        <v>4</v>
      </c>
      <c r="T103" s="5">
        <f t="shared" si="74"/>
        <v>1049074.6302403144</v>
      </c>
      <c r="U103" s="5">
        <f t="shared" si="95"/>
        <v>6993.830868268763</v>
      </c>
      <c r="V103" s="5">
        <f t="shared" si="60"/>
        <v>27061.314585087039</v>
      </c>
      <c r="W103" s="5">
        <f t="shared" si="75"/>
        <v>20067.483716818275</v>
      </c>
      <c r="X103" s="5">
        <f t="shared" si="76"/>
        <v>1029007.1465234961</v>
      </c>
      <c r="Y103" s="5">
        <f t="shared" si="77"/>
        <v>1235138.6050321998</v>
      </c>
      <c r="Z103" s="5">
        <f t="shared" si="78"/>
        <v>2706131.4585087034</v>
      </c>
      <c r="AA103" s="13">
        <f t="shared" si="79"/>
        <v>9</v>
      </c>
      <c r="AC103">
        <f t="shared" si="96"/>
        <v>100</v>
      </c>
      <c r="AD103">
        <f t="shared" si="97"/>
        <v>2035</v>
      </c>
      <c r="AE103">
        <f t="shared" si="98"/>
        <v>4</v>
      </c>
      <c r="AF103" s="5">
        <f t="shared" si="80"/>
        <v>958345.10310813226</v>
      </c>
      <c r="AG103" s="5">
        <f t="shared" si="99"/>
        <v>6388.9673540542153</v>
      </c>
      <c r="AH103" s="5">
        <f t="shared" si="65"/>
        <v>27711.314585087039</v>
      </c>
      <c r="AI103" s="5">
        <f t="shared" si="81"/>
        <v>21322.347231032822</v>
      </c>
      <c r="AJ103" s="5">
        <f t="shared" si="82"/>
        <v>937022.75587709947</v>
      </c>
      <c r="AK103" s="5">
        <f t="shared" si="83"/>
        <v>1208154.2143858033</v>
      </c>
      <c r="AL103" s="5">
        <f t="shared" si="84"/>
        <v>2771131.4585087029</v>
      </c>
      <c r="AM103" s="13">
        <f t="shared" si="85"/>
        <v>9</v>
      </c>
    </row>
    <row r="104" spans="1:39" x14ac:dyDescent="0.35">
      <c r="A104">
        <f t="shared" si="86"/>
        <v>101</v>
      </c>
      <c r="B104">
        <f t="shared" si="87"/>
        <v>2035</v>
      </c>
      <c r="C104">
        <f t="shared" si="88"/>
        <v>5</v>
      </c>
      <c r="D104" s="5">
        <f t="shared" si="68"/>
        <v>991132.85817982582</v>
      </c>
      <c r="E104" s="5">
        <f>IFERROR(IF($A104="", "", _xlfn.XLOOKUP(A104,Offset!A:A,Offset!I:I, 0)), 0)</f>
        <v>17770.277151271988</v>
      </c>
      <c r="F104" s="5">
        <f t="shared" si="66"/>
        <v>973362.58102855389</v>
      </c>
      <c r="G104" s="5">
        <f t="shared" si="89"/>
        <v>6489.083873523693</v>
      </c>
      <c r="H104" s="5">
        <f t="shared" si="90"/>
        <v>27061.314585087039</v>
      </c>
      <c r="I104" s="5">
        <f t="shared" si="67"/>
        <v>20572.230711563345</v>
      </c>
      <c r="J104" s="5">
        <f t="shared" si="69"/>
        <v>970560.62746826245</v>
      </c>
      <c r="K104" s="5">
        <f t="shared" si="91"/>
        <v>118.46851434181326</v>
      </c>
      <c r="L104" s="5">
        <f t="shared" si="70"/>
        <v>23641.291825650162</v>
      </c>
      <c r="M104" s="5">
        <f t="shared" si="71"/>
        <v>1203753.4005620566</v>
      </c>
      <c r="N104" s="5">
        <f t="shared" si="72"/>
        <v>2733192.7730937903</v>
      </c>
      <c r="O104" s="13">
        <f t="shared" si="73"/>
        <v>9</v>
      </c>
      <c r="Q104">
        <f t="shared" si="92"/>
        <v>101</v>
      </c>
      <c r="R104">
        <f t="shared" si="93"/>
        <v>2035</v>
      </c>
      <c r="S104">
        <f t="shared" si="94"/>
        <v>5</v>
      </c>
      <c r="T104" s="5">
        <f t="shared" si="74"/>
        <v>1029007.1465234961</v>
      </c>
      <c r="U104" s="5">
        <f t="shared" si="95"/>
        <v>6860.0476434899747</v>
      </c>
      <c r="V104" s="5">
        <f t="shared" si="60"/>
        <v>27061.314585087039</v>
      </c>
      <c r="W104" s="5">
        <f t="shared" si="75"/>
        <v>20201.266941597063</v>
      </c>
      <c r="X104" s="5">
        <f t="shared" si="76"/>
        <v>1008805.879581899</v>
      </c>
      <c r="Y104" s="5">
        <f t="shared" si="77"/>
        <v>1241998.6526756897</v>
      </c>
      <c r="Z104" s="5">
        <f t="shared" si="78"/>
        <v>2733192.7730937903</v>
      </c>
      <c r="AA104" s="13">
        <f t="shared" si="79"/>
        <v>9</v>
      </c>
      <c r="AC104">
        <f t="shared" si="96"/>
        <v>101</v>
      </c>
      <c r="AD104">
        <f t="shared" si="97"/>
        <v>2035</v>
      </c>
      <c r="AE104">
        <f t="shared" si="98"/>
        <v>5</v>
      </c>
      <c r="AF104" s="5">
        <f t="shared" si="80"/>
        <v>937022.75587709947</v>
      </c>
      <c r="AG104" s="5">
        <f t="shared" si="99"/>
        <v>6246.818372513997</v>
      </c>
      <c r="AH104" s="5">
        <f t="shared" si="65"/>
        <v>27711.314585087039</v>
      </c>
      <c r="AI104" s="5">
        <f t="shared" si="81"/>
        <v>21464.496212573042</v>
      </c>
      <c r="AJ104" s="5">
        <f t="shared" si="82"/>
        <v>915558.25966452644</v>
      </c>
      <c r="AK104" s="5">
        <f t="shared" si="83"/>
        <v>1214401.0327583174</v>
      </c>
      <c r="AL104" s="5">
        <f t="shared" si="84"/>
        <v>2798842.7730937898</v>
      </c>
      <c r="AM104" s="13">
        <f t="shared" si="85"/>
        <v>9</v>
      </c>
    </row>
    <row r="105" spans="1:39" x14ac:dyDescent="0.35">
      <c r="A105">
        <f t="shared" si="86"/>
        <v>102</v>
      </c>
      <c r="B105">
        <f t="shared" si="87"/>
        <v>2035</v>
      </c>
      <c r="C105">
        <f t="shared" si="88"/>
        <v>6</v>
      </c>
      <c r="D105" s="5">
        <f t="shared" si="68"/>
        <v>970560.62746826245</v>
      </c>
      <c r="E105" s="5">
        <f>IFERROR(IF($A105="", "", _xlfn.XLOOKUP(A105,Offset!A:A,Offset!I:I, 0)), 0)</f>
        <v>21324.332581526385</v>
      </c>
      <c r="F105" s="5">
        <f t="shared" si="66"/>
        <v>949236.29488673608</v>
      </c>
      <c r="G105" s="5">
        <f t="shared" si="89"/>
        <v>6328.241965911574</v>
      </c>
      <c r="H105" s="5">
        <f t="shared" si="90"/>
        <v>27061.314585087039</v>
      </c>
      <c r="I105" s="5">
        <f t="shared" si="67"/>
        <v>20733.072619175466</v>
      </c>
      <c r="J105" s="5">
        <f t="shared" si="69"/>
        <v>949827.55484908703</v>
      </c>
      <c r="K105" s="5">
        <f t="shared" si="91"/>
        <v>142.1622172101759</v>
      </c>
      <c r="L105" s="5">
        <f t="shared" si="70"/>
        <v>23783.454042860336</v>
      </c>
      <c r="M105" s="5">
        <f t="shared" si="71"/>
        <v>1210081.6425279682</v>
      </c>
      <c r="N105" s="5">
        <f t="shared" si="72"/>
        <v>2760254.0876788772</v>
      </c>
      <c r="O105" s="13">
        <f t="shared" si="73"/>
        <v>9</v>
      </c>
      <c r="Q105">
        <f t="shared" si="92"/>
        <v>102</v>
      </c>
      <c r="R105">
        <f t="shared" si="93"/>
        <v>2035</v>
      </c>
      <c r="S105">
        <f t="shared" si="94"/>
        <v>6</v>
      </c>
      <c r="T105" s="5">
        <f t="shared" si="74"/>
        <v>1008805.879581899</v>
      </c>
      <c r="U105" s="5">
        <f t="shared" si="95"/>
        <v>6725.3725305459939</v>
      </c>
      <c r="V105" s="5">
        <f t="shared" si="60"/>
        <v>27061.314585087039</v>
      </c>
      <c r="W105" s="5">
        <f t="shared" si="75"/>
        <v>20335.942054541047</v>
      </c>
      <c r="X105" s="5">
        <f t="shared" si="76"/>
        <v>988469.93752735795</v>
      </c>
      <c r="Y105" s="5">
        <f t="shared" si="77"/>
        <v>1248724.0252062357</v>
      </c>
      <c r="Z105" s="5">
        <f t="shared" si="78"/>
        <v>2760254.0876788772</v>
      </c>
      <c r="AA105" s="13">
        <f t="shared" si="79"/>
        <v>9</v>
      </c>
      <c r="AC105">
        <f t="shared" si="96"/>
        <v>102</v>
      </c>
      <c r="AD105">
        <f t="shared" si="97"/>
        <v>2035</v>
      </c>
      <c r="AE105">
        <f t="shared" si="98"/>
        <v>6</v>
      </c>
      <c r="AF105" s="5">
        <f t="shared" si="80"/>
        <v>915558.25966452644</v>
      </c>
      <c r="AG105" s="5">
        <f t="shared" si="99"/>
        <v>6103.7217310968435</v>
      </c>
      <c r="AH105" s="5">
        <f t="shared" si="65"/>
        <v>27711.314585087039</v>
      </c>
      <c r="AI105" s="5">
        <f t="shared" si="81"/>
        <v>21607.592853990194</v>
      </c>
      <c r="AJ105" s="5">
        <f t="shared" si="82"/>
        <v>893950.66681053629</v>
      </c>
      <c r="AK105" s="5">
        <f t="shared" si="83"/>
        <v>1220504.7544894142</v>
      </c>
      <c r="AL105" s="5">
        <f t="shared" si="84"/>
        <v>2826554.0876788767</v>
      </c>
      <c r="AM105" s="13">
        <f t="shared" si="85"/>
        <v>9</v>
      </c>
    </row>
    <row r="106" spans="1:39" x14ac:dyDescent="0.35">
      <c r="A106">
        <f t="shared" si="86"/>
        <v>103</v>
      </c>
      <c r="B106">
        <f t="shared" si="87"/>
        <v>2035</v>
      </c>
      <c r="C106">
        <f t="shared" si="88"/>
        <v>7</v>
      </c>
      <c r="D106" s="5">
        <f t="shared" si="68"/>
        <v>949827.55484908703</v>
      </c>
      <c r="E106" s="5">
        <f>IFERROR(IF($A106="", "", _xlfn.XLOOKUP(A106,Offset!A:A,Offset!I:I, 0)), 0)</f>
        <v>24878.388011780782</v>
      </c>
      <c r="F106" s="5">
        <f t="shared" si="66"/>
        <v>924949.16683730623</v>
      </c>
      <c r="G106" s="5">
        <f t="shared" si="89"/>
        <v>6166.3277789153753</v>
      </c>
      <c r="H106" s="5">
        <f t="shared" si="90"/>
        <v>27061.314585087039</v>
      </c>
      <c r="I106" s="5">
        <f t="shared" si="67"/>
        <v>20894.986806171662</v>
      </c>
      <c r="J106" s="5">
        <f t="shared" si="69"/>
        <v>928932.56804291531</v>
      </c>
      <c r="K106" s="5">
        <f t="shared" si="91"/>
        <v>165.85592007853856</v>
      </c>
      <c r="L106" s="5">
        <f t="shared" si="70"/>
        <v>23949.309962938874</v>
      </c>
      <c r="M106" s="5">
        <f t="shared" si="71"/>
        <v>1216247.9703068836</v>
      </c>
      <c r="N106" s="5">
        <f t="shared" si="72"/>
        <v>2787315.4022639641</v>
      </c>
      <c r="O106" s="13">
        <f t="shared" si="73"/>
        <v>9</v>
      </c>
      <c r="Q106">
        <f t="shared" si="92"/>
        <v>103</v>
      </c>
      <c r="R106">
        <f t="shared" si="93"/>
        <v>2035</v>
      </c>
      <c r="S106">
        <f t="shared" si="94"/>
        <v>7</v>
      </c>
      <c r="T106" s="5">
        <f t="shared" si="74"/>
        <v>988469.93752735795</v>
      </c>
      <c r="U106" s="5">
        <f t="shared" si="95"/>
        <v>6589.7995835157199</v>
      </c>
      <c r="V106" s="5">
        <f t="shared" si="60"/>
        <v>27061.314585087039</v>
      </c>
      <c r="W106" s="5">
        <f t="shared" si="75"/>
        <v>20471.515001571319</v>
      </c>
      <c r="X106" s="5">
        <f t="shared" si="76"/>
        <v>967998.42252578668</v>
      </c>
      <c r="Y106" s="5">
        <f t="shared" si="77"/>
        <v>1255313.8247897513</v>
      </c>
      <c r="Z106" s="5">
        <f t="shared" si="78"/>
        <v>2787315.4022639641</v>
      </c>
      <c r="AA106" s="13">
        <f t="shared" si="79"/>
        <v>9</v>
      </c>
      <c r="AC106">
        <f t="shared" si="96"/>
        <v>103</v>
      </c>
      <c r="AD106">
        <f t="shared" si="97"/>
        <v>2035</v>
      </c>
      <c r="AE106">
        <f t="shared" si="98"/>
        <v>7</v>
      </c>
      <c r="AF106" s="5">
        <f t="shared" si="80"/>
        <v>893950.66681053629</v>
      </c>
      <c r="AG106" s="5">
        <f t="shared" si="99"/>
        <v>5959.6711120702421</v>
      </c>
      <c r="AH106" s="5">
        <f t="shared" si="65"/>
        <v>27711.314585087039</v>
      </c>
      <c r="AI106" s="5">
        <f t="shared" si="81"/>
        <v>21751.643473016797</v>
      </c>
      <c r="AJ106" s="5">
        <f t="shared" si="82"/>
        <v>872199.02333751949</v>
      </c>
      <c r="AK106" s="5">
        <f t="shared" si="83"/>
        <v>1226464.4256014845</v>
      </c>
      <c r="AL106" s="5">
        <f t="shared" si="84"/>
        <v>2854265.4022639636</v>
      </c>
      <c r="AM106" s="13">
        <f t="shared" si="85"/>
        <v>9</v>
      </c>
    </row>
    <row r="107" spans="1:39" x14ac:dyDescent="0.35">
      <c r="A107">
        <f t="shared" si="86"/>
        <v>104</v>
      </c>
      <c r="B107">
        <f t="shared" si="87"/>
        <v>2035</v>
      </c>
      <c r="C107">
        <f t="shared" si="88"/>
        <v>8</v>
      </c>
      <c r="D107" s="5">
        <f t="shared" si="68"/>
        <v>928932.56804291531</v>
      </c>
      <c r="E107" s="5">
        <f>IFERROR(IF($A107="", "", _xlfn.XLOOKUP(A107,Offset!A:A,Offset!I:I, 0)), 0)</f>
        <v>28432.443442035179</v>
      </c>
      <c r="F107" s="5">
        <f t="shared" si="66"/>
        <v>900500.12460088008</v>
      </c>
      <c r="G107" s="5">
        <f t="shared" si="89"/>
        <v>6003.3341640058679</v>
      </c>
      <c r="H107" s="5">
        <f t="shared" si="90"/>
        <v>27061.314585087039</v>
      </c>
      <c r="I107" s="5">
        <f t="shared" si="67"/>
        <v>21057.980421081171</v>
      </c>
      <c r="J107" s="5">
        <f t="shared" si="69"/>
        <v>907874.58762183413</v>
      </c>
      <c r="K107" s="5">
        <f t="shared" si="91"/>
        <v>189.5496229469012</v>
      </c>
      <c r="L107" s="5">
        <f t="shared" si="70"/>
        <v>24138.859585885777</v>
      </c>
      <c r="M107" s="5">
        <f t="shared" si="71"/>
        <v>1222251.3044708895</v>
      </c>
      <c r="N107" s="5">
        <f t="shared" si="72"/>
        <v>2814376.716849051</v>
      </c>
      <c r="O107" s="13">
        <f t="shared" si="73"/>
        <v>9</v>
      </c>
      <c r="Q107">
        <f t="shared" si="92"/>
        <v>104</v>
      </c>
      <c r="R107">
        <f t="shared" si="93"/>
        <v>2035</v>
      </c>
      <c r="S107">
        <f t="shared" si="94"/>
        <v>8</v>
      </c>
      <c r="T107" s="5">
        <f t="shared" si="74"/>
        <v>967998.42252578668</v>
      </c>
      <c r="U107" s="5">
        <f t="shared" si="95"/>
        <v>6453.3228168385785</v>
      </c>
      <c r="V107" s="5">
        <f t="shared" si="60"/>
        <v>27061.314585087039</v>
      </c>
      <c r="W107" s="5">
        <f t="shared" si="75"/>
        <v>20607.991768248459</v>
      </c>
      <c r="X107" s="5">
        <f t="shared" si="76"/>
        <v>947390.43075753818</v>
      </c>
      <c r="Y107" s="5">
        <f t="shared" si="77"/>
        <v>1261767.1476065898</v>
      </c>
      <c r="Z107" s="5">
        <f t="shared" si="78"/>
        <v>2814376.716849051</v>
      </c>
      <c r="AA107" s="13">
        <f t="shared" si="79"/>
        <v>9</v>
      </c>
      <c r="AC107">
        <f t="shared" si="96"/>
        <v>104</v>
      </c>
      <c r="AD107">
        <f t="shared" si="97"/>
        <v>2035</v>
      </c>
      <c r="AE107">
        <f t="shared" si="98"/>
        <v>8</v>
      </c>
      <c r="AF107" s="5">
        <f t="shared" si="80"/>
        <v>872199.02333751949</v>
      </c>
      <c r="AG107" s="5">
        <f t="shared" si="99"/>
        <v>5814.6601555834641</v>
      </c>
      <c r="AH107" s="5">
        <f t="shared" si="65"/>
        <v>27711.314585087039</v>
      </c>
      <c r="AI107" s="5">
        <f t="shared" si="81"/>
        <v>21896.654429503575</v>
      </c>
      <c r="AJ107" s="5">
        <f t="shared" si="82"/>
        <v>850302.36890801589</v>
      </c>
      <c r="AK107" s="5">
        <f t="shared" si="83"/>
        <v>1232279.0857570679</v>
      </c>
      <c r="AL107" s="5">
        <f t="shared" si="84"/>
        <v>2881976.7168490505</v>
      </c>
      <c r="AM107" s="13">
        <f t="shared" si="85"/>
        <v>9</v>
      </c>
    </row>
    <row r="108" spans="1:39" x14ac:dyDescent="0.35">
      <c r="A108">
        <f t="shared" si="86"/>
        <v>105</v>
      </c>
      <c r="B108">
        <f t="shared" si="87"/>
        <v>2035</v>
      </c>
      <c r="C108">
        <f t="shared" si="88"/>
        <v>9</v>
      </c>
      <c r="D108" s="5">
        <f t="shared" si="68"/>
        <v>907874.58762183413</v>
      </c>
      <c r="E108" s="5">
        <f>IFERROR(IF($A108="", "", _xlfn.XLOOKUP(A108,Offset!A:A,Offset!I:I, 0)), 0)</f>
        <v>31986.498872289576</v>
      </c>
      <c r="F108" s="5">
        <f t="shared" si="66"/>
        <v>875888.08874954458</v>
      </c>
      <c r="G108" s="5">
        <f t="shared" si="89"/>
        <v>5839.2539249969641</v>
      </c>
      <c r="H108" s="5">
        <f t="shared" si="90"/>
        <v>27061.314585087039</v>
      </c>
      <c r="I108" s="5">
        <f t="shared" si="67"/>
        <v>21222.060660090076</v>
      </c>
      <c r="J108" s="5">
        <f t="shared" si="69"/>
        <v>886652.52696174406</v>
      </c>
      <c r="K108" s="5">
        <f t="shared" si="91"/>
        <v>213.24332581526386</v>
      </c>
      <c r="L108" s="5">
        <f t="shared" si="70"/>
        <v>24352.10291170104</v>
      </c>
      <c r="M108" s="5">
        <f t="shared" si="71"/>
        <v>1228090.5583958866</v>
      </c>
      <c r="N108" s="5">
        <f t="shared" si="72"/>
        <v>2841438.0314341378</v>
      </c>
      <c r="O108" s="13">
        <f t="shared" si="73"/>
        <v>9</v>
      </c>
      <c r="Q108">
        <f t="shared" si="92"/>
        <v>105</v>
      </c>
      <c r="R108">
        <f t="shared" si="93"/>
        <v>2035</v>
      </c>
      <c r="S108">
        <f t="shared" si="94"/>
        <v>9</v>
      </c>
      <c r="T108" s="5">
        <f t="shared" si="74"/>
        <v>947390.43075753818</v>
      </c>
      <c r="U108" s="5">
        <f t="shared" si="95"/>
        <v>6315.936205050255</v>
      </c>
      <c r="V108" s="5">
        <f t="shared" si="60"/>
        <v>27061.314585087039</v>
      </c>
      <c r="W108" s="5">
        <f t="shared" si="75"/>
        <v>20745.378380036782</v>
      </c>
      <c r="X108" s="5">
        <f t="shared" si="76"/>
        <v>926645.05237750139</v>
      </c>
      <c r="Y108" s="5">
        <f t="shared" si="77"/>
        <v>1268083.08381164</v>
      </c>
      <c r="Z108" s="5">
        <f t="shared" si="78"/>
        <v>2841438.0314341378</v>
      </c>
      <c r="AA108" s="13">
        <f t="shared" si="79"/>
        <v>9</v>
      </c>
      <c r="AC108">
        <f t="shared" si="96"/>
        <v>105</v>
      </c>
      <c r="AD108">
        <f t="shared" si="97"/>
        <v>2035</v>
      </c>
      <c r="AE108">
        <f t="shared" si="98"/>
        <v>9</v>
      </c>
      <c r="AF108" s="5">
        <f t="shared" si="80"/>
        <v>850302.36890801589</v>
      </c>
      <c r="AG108" s="5">
        <f t="shared" si="99"/>
        <v>5668.6824593867732</v>
      </c>
      <c r="AH108" s="5">
        <f t="shared" si="65"/>
        <v>27711.314585087039</v>
      </c>
      <c r="AI108" s="5">
        <f t="shared" si="81"/>
        <v>22042.632125700264</v>
      </c>
      <c r="AJ108" s="5">
        <f t="shared" si="82"/>
        <v>828259.73678231565</v>
      </c>
      <c r="AK108" s="5">
        <f t="shared" si="83"/>
        <v>1237947.7682164547</v>
      </c>
      <c r="AL108" s="5">
        <f t="shared" si="84"/>
        <v>2909688.0314341374</v>
      </c>
      <c r="AM108" s="13">
        <f t="shared" si="85"/>
        <v>9</v>
      </c>
    </row>
    <row r="109" spans="1:39" x14ac:dyDescent="0.35">
      <c r="A109">
        <f t="shared" si="86"/>
        <v>106</v>
      </c>
      <c r="B109">
        <f t="shared" si="87"/>
        <v>2035</v>
      </c>
      <c r="C109">
        <f t="shared" si="88"/>
        <v>10</v>
      </c>
      <c r="D109" s="5">
        <f t="shared" si="68"/>
        <v>886652.52696174406</v>
      </c>
      <c r="E109" s="5">
        <f>IFERROR(IF($A109="", "", _xlfn.XLOOKUP(A109,Offset!A:A,Offset!I:I, 0)), 0)</f>
        <v>35540.554302543977</v>
      </c>
      <c r="F109" s="5">
        <f t="shared" si="66"/>
        <v>851111.97265920008</v>
      </c>
      <c r="G109" s="5">
        <f t="shared" si="89"/>
        <v>5674.0798177280012</v>
      </c>
      <c r="H109" s="5">
        <f t="shared" si="90"/>
        <v>27061.314585087039</v>
      </c>
      <c r="I109" s="5">
        <f t="shared" si="67"/>
        <v>21387.234767359038</v>
      </c>
      <c r="J109" s="5">
        <f t="shared" si="69"/>
        <v>865265.29219438508</v>
      </c>
      <c r="K109" s="5">
        <f t="shared" si="91"/>
        <v>236.93702868362652</v>
      </c>
      <c r="L109" s="5">
        <f t="shared" si="70"/>
        <v>24589.039940384668</v>
      </c>
      <c r="M109" s="5">
        <f t="shared" si="71"/>
        <v>1233764.6382136145</v>
      </c>
      <c r="N109" s="5">
        <f t="shared" si="72"/>
        <v>2868499.3460192247</v>
      </c>
      <c r="O109" s="13">
        <f t="shared" si="73"/>
        <v>9</v>
      </c>
      <c r="Q109">
        <f t="shared" si="92"/>
        <v>106</v>
      </c>
      <c r="R109">
        <f t="shared" si="93"/>
        <v>2035</v>
      </c>
      <c r="S109">
        <f t="shared" si="94"/>
        <v>10</v>
      </c>
      <c r="T109" s="5">
        <f t="shared" si="74"/>
        <v>926645.05237750139</v>
      </c>
      <c r="U109" s="5">
        <f t="shared" si="95"/>
        <v>6177.6336825166763</v>
      </c>
      <c r="V109" s="5">
        <f t="shared" si="60"/>
        <v>27061.314585087039</v>
      </c>
      <c r="W109" s="5">
        <f t="shared" si="75"/>
        <v>20883.680902570362</v>
      </c>
      <c r="X109" s="5">
        <f t="shared" si="76"/>
        <v>905761.37147493102</v>
      </c>
      <c r="Y109" s="5">
        <f t="shared" si="77"/>
        <v>1274260.7174941567</v>
      </c>
      <c r="Z109" s="5">
        <f t="shared" si="78"/>
        <v>2868499.3460192247</v>
      </c>
      <c r="AA109" s="13">
        <f t="shared" si="79"/>
        <v>9</v>
      </c>
      <c r="AC109">
        <f t="shared" si="96"/>
        <v>106</v>
      </c>
      <c r="AD109">
        <f t="shared" si="97"/>
        <v>2035</v>
      </c>
      <c r="AE109">
        <f t="shared" si="98"/>
        <v>10</v>
      </c>
      <c r="AF109" s="5">
        <f t="shared" si="80"/>
        <v>828259.73678231565</v>
      </c>
      <c r="AG109" s="5">
        <f t="shared" si="99"/>
        <v>5521.7315785487717</v>
      </c>
      <c r="AH109" s="5">
        <f t="shared" si="65"/>
        <v>27711.314585087039</v>
      </c>
      <c r="AI109" s="5">
        <f t="shared" si="81"/>
        <v>22189.583006538269</v>
      </c>
      <c r="AJ109" s="5">
        <f t="shared" si="82"/>
        <v>806070.15377577743</v>
      </c>
      <c r="AK109" s="5">
        <f t="shared" si="83"/>
        <v>1243469.4997950033</v>
      </c>
      <c r="AL109" s="5">
        <f t="shared" si="84"/>
        <v>2937399.3460192243</v>
      </c>
      <c r="AM109" s="13">
        <f t="shared" si="85"/>
        <v>9</v>
      </c>
    </row>
    <row r="110" spans="1:39" x14ac:dyDescent="0.35">
      <c r="A110">
        <f t="shared" si="86"/>
        <v>107</v>
      </c>
      <c r="B110">
        <f t="shared" si="87"/>
        <v>2035</v>
      </c>
      <c r="C110">
        <f t="shared" si="88"/>
        <v>11</v>
      </c>
      <c r="D110" s="5">
        <f t="shared" si="68"/>
        <v>865265.29219438508</v>
      </c>
      <c r="E110" s="5">
        <f>IFERROR(IF($A110="", "", _xlfn.XLOOKUP(A110,Offset!A:A,Offset!I:I, 0)), 0)</f>
        <v>39094.609732798373</v>
      </c>
      <c r="F110" s="5">
        <f t="shared" si="66"/>
        <v>826170.68246158666</v>
      </c>
      <c r="G110" s="5">
        <f t="shared" si="89"/>
        <v>5507.8045497439116</v>
      </c>
      <c r="H110" s="5">
        <f t="shared" si="90"/>
        <v>27061.314585087039</v>
      </c>
      <c r="I110" s="5">
        <f t="shared" si="67"/>
        <v>21553.510035343126</v>
      </c>
      <c r="J110" s="5">
        <f t="shared" si="69"/>
        <v>843711.78215904196</v>
      </c>
      <c r="K110" s="5">
        <f t="shared" si="91"/>
        <v>260.63073155198919</v>
      </c>
      <c r="L110" s="5">
        <f t="shared" si="70"/>
        <v>24849.670671936656</v>
      </c>
      <c r="M110" s="5">
        <f t="shared" si="71"/>
        <v>1239272.4427633584</v>
      </c>
      <c r="N110" s="5">
        <f t="shared" si="72"/>
        <v>2895560.6606043116</v>
      </c>
      <c r="O110" s="13">
        <f t="shared" si="73"/>
        <v>9</v>
      </c>
      <c r="Q110">
        <f t="shared" si="92"/>
        <v>107</v>
      </c>
      <c r="R110">
        <f t="shared" si="93"/>
        <v>2035</v>
      </c>
      <c r="S110">
        <f t="shared" si="94"/>
        <v>11</v>
      </c>
      <c r="T110" s="5">
        <f t="shared" si="74"/>
        <v>905761.37147493102</v>
      </c>
      <c r="U110" s="5">
        <f t="shared" si="95"/>
        <v>6038.4091431662073</v>
      </c>
      <c r="V110" s="5">
        <f t="shared" si="60"/>
        <v>27061.314585087039</v>
      </c>
      <c r="W110" s="5">
        <f t="shared" si="75"/>
        <v>21022.905441920833</v>
      </c>
      <c r="X110" s="5">
        <f t="shared" si="76"/>
        <v>884738.46603301016</v>
      </c>
      <c r="Y110" s="5">
        <f t="shared" si="77"/>
        <v>1280299.1266373228</v>
      </c>
      <c r="Z110" s="5">
        <f t="shared" si="78"/>
        <v>2895560.6606043116</v>
      </c>
      <c r="AA110" s="13">
        <f t="shared" si="79"/>
        <v>9</v>
      </c>
      <c r="AC110">
        <f t="shared" si="96"/>
        <v>107</v>
      </c>
      <c r="AD110">
        <f t="shared" si="97"/>
        <v>2035</v>
      </c>
      <c r="AE110">
        <f t="shared" si="98"/>
        <v>11</v>
      </c>
      <c r="AF110" s="5">
        <f t="shared" si="80"/>
        <v>806070.15377577743</v>
      </c>
      <c r="AG110" s="5">
        <f t="shared" si="99"/>
        <v>5373.8010251718497</v>
      </c>
      <c r="AH110" s="5">
        <f t="shared" si="65"/>
        <v>27711.314585087039</v>
      </c>
      <c r="AI110" s="5">
        <f t="shared" si="81"/>
        <v>22337.513559915191</v>
      </c>
      <c r="AJ110" s="5">
        <f t="shared" si="82"/>
        <v>783732.64021586219</v>
      </c>
      <c r="AK110" s="5">
        <f t="shared" si="83"/>
        <v>1248843.3008201751</v>
      </c>
      <c r="AL110" s="5">
        <f t="shared" si="84"/>
        <v>2965110.6606043112</v>
      </c>
      <c r="AM110" s="13">
        <f t="shared" si="85"/>
        <v>9</v>
      </c>
    </row>
    <row r="111" spans="1:39" x14ac:dyDescent="0.35">
      <c r="A111">
        <f t="shared" si="86"/>
        <v>108</v>
      </c>
      <c r="B111">
        <f t="shared" si="87"/>
        <v>2035</v>
      </c>
      <c r="C111">
        <f t="shared" si="88"/>
        <v>12</v>
      </c>
      <c r="D111" s="5">
        <f t="shared" si="68"/>
        <v>843711.78215904196</v>
      </c>
      <c r="E111" s="5">
        <f>IFERROR(IF($A111="", "", _xlfn.XLOOKUP(A111,Offset!A:A,Offset!I:I, 0)), 0)</f>
        <v>42648.66516305277</v>
      </c>
      <c r="F111" s="5">
        <f t="shared" si="66"/>
        <v>801063.11699598923</v>
      </c>
      <c r="G111" s="5">
        <f t="shared" si="89"/>
        <v>5340.4207799732621</v>
      </c>
      <c r="H111" s="5">
        <f t="shared" si="90"/>
        <v>27061.314585087039</v>
      </c>
      <c r="I111" s="5">
        <f t="shared" si="67"/>
        <v>21720.893805113777</v>
      </c>
      <c r="J111" s="5">
        <f t="shared" si="69"/>
        <v>821990.88835392823</v>
      </c>
      <c r="K111" s="5">
        <f t="shared" si="91"/>
        <v>284.32443442035179</v>
      </c>
      <c r="L111" s="5">
        <f t="shared" si="70"/>
        <v>25133.995106357008</v>
      </c>
      <c r="M111" s="5">
        <f t="shared" si="71"/>
        <v>1244612.8635433316</v>
      </c>
      <c r="N111" s="5">
        <f t="shared" si="72"/>
        <v>2922621.9751893985</v>
      </c>
      <c r="O111" s="13">
        <f t="shared" si="73"/>
        <v>9</v>
      </c>
      <c r="Q111">
        <f t="shared" si="92"/>
        <v>108</v>
      </c>
      <c r="R111">
        <f t="shared" si="93"/>
        <v>2035</v>
      </c>
      <c r="S111">
        <f t="shared" si="94"/>
        <v>12</v>
      </c>
      <c r="T111" s="5">
        <f t="shared" si="74"/>
        <v>884738.46603301016</v>
      </c>
      <c r="U111" s="5">
        <f t="shared" si="95"/>
        <v>5898.2564402200678</v>
      </c>
      <c r="V111" s="5">
        <f t="shared" si="60"/>
        <v>27061.314585087039</v>
      </c>
      <c r="W111" s="5">
        <f t="shared" si="75"/>
        <v>21163.058144866969</v>
      </c>
      <c r="X111" s="5">
        <f t="shared" si="76"/>
        <v>863575.40788814321</v>
      </c>
      <c r="Y111" s="5">
        <f t="shared" si="77"/>
        <v>1286197.383077543</v>
      </c>
      <c r="Z111" s="5">
        <f t="shared" si="78"/>
        <v>2922621.9751893985</v>
      </c>
      <c r="AA111" s="13">
        <f t="shared" si="79"/>
        <v>9</v>
      </c>
      <c r="AC111">
        <f t="shared" si="96"/>
        <v>108</v>
      </c>
      <c r="AD111">
        <f t="shared" si="97"/>
        <v>2035</v>
      </c>
      <c r="AE111">
        <f t="shared" si="98"/>
        <v>12</v>
      </c>
      <c r="AF111" s="5">
        <f t="shared" si="80"/>
        <v>783732.64021586219</v>
      </c>
      <c r="AG111" s="5">
        <f t="shared" si="99"/>
        <v>5224.8842681057486</v>
      </c>
      <c r="AH111" s="5">
        <f t="shared" si="65"/>
        <v>27711.314585087039</v>
      </c>
      <c r="AI111" s="5">
        <f t="shared" si="81"/>
        <v>22486.430316981292</v>
      </c>
      <c r="AJ111" s="5">
        <f t="shared" si="82"/>
        <v>761246.20989888092</v>
      </c>
      <c r="AK111" s="5">
        <f t="shared" si="83"/>
        <v>1254068.1850882808</v>
      </c>
      <c r="AL111" s="5">
        <f t="shared" si="84"/>
        <v>2992821.975189398</v>
      </c>
      <c r="AM111" s="13">
        <f t="shared" si="85"/>
        <v>9</v>
      </c>
    </row>
    <row r="112" spans="1:39" x14ac:dyDescent="0.35">
      <c r="A112">
        <f t="shared" si="86"/>
        <v>109</v>
      </c>
      <c r="B112">
        <f t="shared" si="87"/>
        <v>2036</v>
      </c>
      <c r="C112">
        <f t="shared" si="88"/>
        <v>1</v>
      </c>
      <c r="D112" s="5">
        <f t="shared" si="68"/>
        <v>821990.88835392823</v>
      </c>
      <c r="E112" s="5">
        <f>IFERROR(IF($A112="", "", _xlfn.XLOOKUP(A112,Offset!A:A,Offset!I:I, 0)), 0)</f>
        <v>3389.6776493440921</v>
      </c>
      <c r="F112" s="5">
        <f t="shared" si="66"/>
        <v>818601.21070458414</v>
      </c>
      <c r="G112" s="5">
        <f t="shared" si="89"/>
        <v>5457.3414046972275</v>
      </c>
      <c r="H112" s="5">
        <f t="shared" si="90"/>
        <v>27061.314585087039</v>
      </c>
      <c r="I112" s="5">
        <f t="shared" si="67"/>
        <v>21603.97318038981</v>
      </c>
      <c r="J112" s="5">
        <f t="shared" si="69"/>
        <v>800386.91517353838</v>
      </c>
      <c r="K112" s="5">
        <f t="shared" si="91"/>
        <v>22.597850995627283</v>
      </c>
      <c r="L112" s="5">
        <f t="shared" si="70"/>
        <v>25156.592957352634</v>
      </c>
      <c r="M112" s="5">
        <f t="shared" si="71"/>
        <v>1250070.2049480288</v>
      </c>
      <c r="N112" s="5">
        <f t="shared" si="72"/>
        <v>2949683.2897744854</v>
      </c>
      <c r="O112" s="13">
        <f t="shared" si="73"/>
        <v>10</v>
      </c>
      <c r="Q112">
        <f t="shared" si="92"/>
        <v>109</v>
      </c>
      <c r="R112">
        <f t="shared" si="93"/>
        <v>2036</v>
      </c>
      <c r="S112">
        <f t="shared" si="94"/>
        <v>1</v>
      </c>
      <c r="T112" s="5">
        <f t="shared" si="74"/>
        <v>863575.40788814321</v>
      </c>
      <c r="U112" s="5">
        <f t="shared" si="95"/>
        <v>5757.1693859209554</v>
      </c>
      <c r="V112" s="5">
        <f t="shared" si="60"/>
        <v>27061.314585087039</v>
      </c>
      <c r="W112" s="5">
        <f t="shared" si="75"/>
        <v>21304.145199166083</v>
      </c>
      <c r="X112" s="5">
        <f t="shared" si="76"/>
        <v>842271.26268897718</v>
      </c>
      <c r="Y112" s="5">
        <f t="shared" si="77"/>
        <v>1291954.552463464</v>
      </c>
      <c r="Z112" s="5">
        <f t="shared" si="78"/>
        <v>2949683.2897744854</v>
      </c>
      <c r="AA112" s="13">
        <f t="shared" si="79"/>
        <v>10</v>
      </c>
      <c r="AC112">
        <f t="shared" si="96"/>
        <v>109</v>
      </c>
      <c r="AD112">
        <f t="shared" si="97"/>
        <v>2036</v>
      </c>
      <c r="AE112">
        <f t="shared" si="98"/>
        <v>1</v>
      </c>
      <c r="AF112" s="5">
        <f t="shared" si="80"/>
        <v>761246.20989888092</v>
      </c>
      <c r="AG112" s="5">
        <f t="shared" si="99"/>
        <v>5074.974732659206</v>
      </c>
      <c r="AH112" s="5">
        <f t="shared" si="65"/>
        <v>27711.314585087039</v>
      </c>
      <c r="AI112" s="5">
        <f t="shared" si="81"/>
        <v>22636.339852427831</v>
      </c>
      <c r="AJ112" s="5">
        <f t="shared" si="82"/>
        <v>738609.87004645308</v>
      </c>
      <c r="AK112" s="5">
        <f t="shared" si="83"/>
        <v>1259143.1598209401</v>
      </c>
      <c r="AL112" s="5">
        <f t="shared" si="84"/>
        <v>3020533.2897744849</v>
      </c>
      <c r="AM112" s="13">
        <f t="shared" si="85"/>
        <v>10</v>
      </c>
    </row>
    <row r="113" spans="1:39" x14ac:dyDescent="0.35">
      <c r="A113">
        <f t="shared" si="86"/>
        <v>110</v>
      </c>
      <c r="B113">
        <f t="shared" si="87"/>
        <v>2036</v>
      </c>
      <c r="C113">
        <f t="shared" si="88"/>
        <v>2</v>
      </c>
      <c r="D113" s="5">
        <f t="shared" si="68"/>
        <v>800386.91517353838</v>
      </c>
      <c r="E113" s="5">
        <f>IFERROR(IF($A113="", "", _xlfn.XLOOKUP(A113,Offset!A:A,Offset!I:I, 0)), 0)</f>
        <v>6779.3552986881841</v>
      </c>
      <c r="F113" s="5">
        <f t="shared" si="66"/>
        <v>793607.55987485021</v>
      </c>
      <c r="G113" s="5">
        <f t="shared" si="89"/>
        <v>5290.7170658323348</v>
      </c>
      <c r="H113" s="5">
        <f t="shared" si="90"/>
        <v>27061.314585087039</v>
      </c>
      <c r="I113" s="5">
        <f t="shared" si="67"/>
        <v>21770.597519254705</v>
      </c>
      <c r="J113" s="5">
        <f t="shared" si="69"/>
        <v>778616.31765428372</v>
      </c>
      <c r="K113" s="5">
        <f t="shared" si="91"/>
        <v>45.195701991254566</v>
      </c>
      <c r="L113" s="5">
        <f t="shared" si="70"/>
        <v>25201.788659343889</v>
      </c>
      <c r="M113" s="5">
        <f t="shared" si="71"/>
        <v>1255360.9220138611</v>
      </c>
      <c r="N113" s="5">
        <f t="shared" si="72"/>
        <v>2976744.6043595723</v>
      </c>
      <c r="O113" s="13">
        <f t="shared" si="73"/>
        <v>10</v>
      </c>
      <c r="Q113">
        <f t="shared" si="92"/>
        <v>110</v>
      </c>
      <c r="R113">
        <f t="shared" si="93"/>
        <v>2036</v>
      </c>
      <c r="S113">
        <f t="shared" si="94"/>
        <v>2</v>
      </c>
      <c r="T113" s="5">
        <f t="shared" si="74"/>
        <v>842271.26268897718</v>
      </c>
      <c r="U113" s="5">
        <f t="shared" si="95"/>
        <v>5615.1417512598482</v>
      </c>
      <c r="V113" s="5">
        <f t="shared" si="60"/>
        <v>27061.314585087039</v>
      </c>
      <c r="W113" s="5">
        <f t="shared" si="75"/>
        <v>21446.17283382719</v>
      </c>
      <c r="X113" s="5">
        <f t="shared" si="76"/>
        <v>820825.08985514997</v>
      </c>
      <c r="Y113" s="5">
        <f t="shared" si="77"/>
        <v>1297569.6942147238</v>
      </c>
      <c r="Z113" s="5">
        <f t="shared" si="78"/>
        <v>2976744.6043595723</v>
      </c>
      <c r="AA113" s="13">
        <f t="shared" si="79"/>
        <v>10</v>
      </c>
      <c r="AC113">
        <f t="shared" si="96"/>
        <v>110</v>
      </c>
      <c r="AD113">
        <f t="shared" si="97"/>
        <v>2036</v>
      </c>
      <c r="AE113">
        <f t="shared" si="98"/>
        <v>2</v>
      </c>
      <c r="AF113" s="5">
        <f t="shared" si="80"/>
        <v>738609.87004645308</v>
      </c>
      <c r="AG113" s="5">
        <f t="shared" si="99"/>
        <v>4924.0658003096878</v>
      </c>
      <c r="AH113" s="5">
        <f t="shared" si="65"/>
        <v>27711.314585087039</v>
      </c>
      <c r="AI113" s="5">
        <f t="shared" si="81"/>
        <v>22787.248784777352</v>
      </c>
      <c r="AJ113" s="5">
        <f t="shared" si="82"/>
        <v>715822.62126167573</v>
      </c>
      <c r="AK113" s="5">
        <f t="shared" si="83"/>
        <v>1264067.2256212498</v>
      </c>
      <c r="AL113" s="5">
        <f t="shared" si="84"/>
        <v>3048244.6043595718</v>
      </c>
      <c r="AM113" s="13">
        <f t="shared" si="85"/>
        <v>10</v>
      </c>
    </row>
    <row r="114" spans="1:39" x14ac:dyDescent="0.35">
      <c r="A114">
        <f t="shared" si="86"/>
        <v>111</v>
      </c>
      <c r="B114">
        <f t="shared" si="87"/>
        <v>2036</v>
      </c>
      <c r="C114">
        <f t="shared" si="88"/>
        <v>3</v>
      </c>
      <c r="D114" s="5">
        <f t="shared" si="68"/>
        <v>778616.31765428372</v>
      </c>
      <c r="E114" s="5">
        <f>IFERROR(IF($A114="", "", _xlfn.XLOOKUP(A114,Offset!A:A,Offset!I:I, 0)), 0)</f>
        <v>10169.032948032276</v>
      </c>
      <c r="F114" s="5">
        <f t="shared" si="66"/>
        <v>768447.28470625146</v>
      </c>
      <c r="G114" s="5">
        <f t="shared" si="89"/>
        <v>5122.9818980416767</v>
      </c>
      <c r="H114" s="5">
        <f t="shared" si="90"/>
        <v>27061.314585087039</v>
      </c>
      <c r="I114" s="5">
        <f t="shared" si="67"/>
        <v>21938.33268704536</v>
      </c>
      <c r="J114" s="5">
        <f t="shared" si="69"/>
        <v>756677.98496723839</v>
      </c>
      <c r="K114" s="5">
        <f t="shared" si="91"/>
        <v>67.793552986881849</v>
      </c>
      <c r="L114" s="5">
        <f t="shared" si="70"/>
        <v>25269.58221233077</v>
      </c>
      <c r="M114" s="5">
        <f t="shared" si="71"/>
        <v>1260483.9039119028</v>
      </c>
      <c r="N114" s="5">
        <f t="shared" si="72"/>
        <v>3003805.9189446592</v>
      </c>
      <c r="O114" s="13">
        <f t="shared" si="73"/>
        <v>10</v>
      </c>
      <c r="Q114">
        <f t="shared" si="92"/>
        <v>111</v>
      </c>
      <c r="R114">
        <f t="shared" si="93"/>
        <v>2036</v>
      </c>
      <c r="S114">
        <f t="shared" si="94"/>
        <v>3</v>
      </c>
      <c r="T114" s="5">
        <f t="shared" si="74"/>
        <v>820825.08985514997</v>
      </c>
      <c r="U114" s="5">
        <f t="shared" si="95"/>
        <v>5472.1672657010004</v>
      </c>
      <c r="V114" s="5">
        <f t="shared" si="60"/>
        <v>27061.314585087039</v>
      </c>
      <c r="W114" s="5">
        <f t="shared" si="75"/>
        <v>21589.147319386037</v>
      </c>
      <c r="X114" s="5">
        <f t="shared" si="76"/>
        <v>799235.94253576396</v>
      </c>
      <c r="Y114" s="5">
        <f t="shared" si="77"/>
        <v>1303041.8614804249</v>
      </c>
      <c r="Z114" s="5">
        <f t="shared" si="78"/>
        <v>3003805.9189446592</v>
      </c>
      <c r="AA114" s="13">
        <f t="shared" si="79"/>
        <v>10</v>
      </c>
      <c r="AC114">
        <f t="shared" si="96"/>
        <v>111</v>
      </c>
      <c r="AD114">
        <f t="shared" si="97"/>
        <v>2036</v>
      </c>
      <c r="AE114">
        <f t="shared" si="98"/>
        <v>3</v>
      </c>
      <c r="AF114" s="5">
        <f t="shared" si="80"/>
        <v>715822.62126167573</v>
      </c>
      <c r="AG114" s="5">
        <f t="shared" si="99"/>
        <v>4772.150808411172</v>
      </c>
      <c r="AH114" s="5">
        <f t="shared" si="65"/>
        <v>27711.314585087039</v>
      </c>
      <c r="AI114" s="5">
        <f t="shared" si="81"/>
        <v>22939.163776675865</v>
      </c>
      <c r="AJ114" s="5">
        <f t="shared" si="82"/>
        <v>692883.4574849999</v>
      </c>
      <c r="AK114" s="5">
        <f t="shared" si="83"/>
        <v>1268839.3764296609</v>
      </c>
      <c r="AL114" s="5">
        <f t="shared" si="84"/>
        <v>3075955.9189446587</v>
      </c>
      <c r="AM114" s="13">
        <f t="shared" si="85"/>
        <v>10</v>
      </c>
    </row>
    <row r="115" spans="1:39" x14ac:dyDescent="0.35">
      <c r="A115">
        <f t="shared" si="86"/>
        <v>112</v>
      </c>
      <c r="B115">
        <f t="shared" si="87"/>
        <v>2036</v>
      </c>
      <c r="C115">
        <f t="shared" si="88"/>
        <v>4</v>
      </c>
      <c r="D115" s="5">
        <f t="shared" si="68"/>
        <v>756677.98496723839</v>
      </c>
      <c r="E115" s="5">
        <f>IFERROR(IF($A115="", "", _xlfn.XLOOKUP(A115,Offset!A:A,Offset!I:I, 0)), 0)</f>
        <v>13558.710597376368</v>
      </c>
      <c r="F115" s="5">
        <f t="shared" si="66"/>
        <v>743119.27436986205</v>
      </c>
      <c r="G115" s="5">
        <f t="shared" si="89"/>
        <v>4954.1284957990811</v>
      </c>
      <c r="H115" s="5">
        <f t="shared" si="90"/>
        <v>27061.314585087039</v>
      </c>
      <c r="I115" s="5">
        <f t="shared" si="67"/>
        <v>22107.186089287956</v>
      </c>
      <c r="J115" s="5">
        <f t="shared" si="69"/>
        <v>734570.79887795041</v>
      </c>
      <c r="K115" s="5">
        <f t="shared" si="91"/>
        <v>90.391403982509132</v>
      </c>
      <c r="L115" s="5">
        <f t="shared" si="70"/>
        <v>25359.97361631328</v>
      </c>
      <c r="M115" s="5">
        <f t="shared" si="71"/>
        <v>1265438.0324077019</v>
      </c>
      <c r="N115" s="5">
        <f t="shared" si="72"/>
        <v>3030867.2335297461</v>
      </c>
      <c r="O115" s="13">
        <f t="shared" si="73"/>
        <v>10</v>
      </c>
      <c r="Q115">
        <f t="shared" si="92"/>
        <v>112</v>
      </c>
      <c r="R115">
        <f t="shared" si="93"/>
        <v>2036</v>
      </c>
      <c r="S115">
        <f t="shared" si="94"/>
        <v>4</v>
      </c>
      <c r="T115" s="5">
        <f t="shared" si="74"/>
        <v>799235.94253576396</v>
      </c>
      <c r="U115" s="5">
        <f t="shared" si="95"/>
        <v>5328.2396169050935</v>
      </c>
      <c r="V115" s="5">
        <f t="shared" si="60"/>
        <v>27061.314585087039</v>
      </c>
      <c r="W115" s="5">
        <f t="shared" si="75"/>
        <v>21733.074968181943</v>
      </c>
      <c r="X115" s="5">
        <f t="shared" si="76"/>
        <v>777502.86756758206</v>
      </c>
      <c r="Y115" s="5">
        <f t="shared" si="77"/>
        <v>1308370.10109733</v>
      </c>
      <c r="Z115" s="5">
        <f t="shared" si="78"/>
        <v>3030867.2335297461</v>
      </c>
      <c r="AA115" s="13">
        <f t="shared" si="79"/>
        <v>10</v>
      </c>
      <c r="AC115">
        <f t="shared" si="96"/>
        <v>112</v>
      </c>
      <c r="AD115">
        <f t="shared" si="97"/>
        <v>2036</v>
      </c>
      <c r="AE115">
        <f t="shared" si="98"/>
        <v>4</v>
      </c>
      <c r="AF115" s="5">
        <f t="shared" si="80"/>
        <v>692883.4574849999</v>
      </c>
      <c r="AG115" s="5">
        <f t="shared" si="99"/>
        <v>4619.2230498999998</v>
      </c>
      <c r="AH115" s="5">
        <f t="shared" si="65"/>
        <v>27711.314585087039</v>
      </c>
      <c r="AI115" s="5">
        <f t="shared" si="81"/>
        <v>23092.091535187039</v>
      </c>
      <c r="AJ115" s="5">
        <f t="shared" si="82"/>
        <v>669791.36594981281</v>
      </c>
      <c r="AK115" s="5">
        <f t="shared" si="83"/>
        <v>1273458.599479561</v>
      </c>
      <c r="AL115" s="5">
        <f t="shared" si="84"/>
        <v>3103667.2335297456</v>
      </c>
      <c r="AM115" s="13">
        <f t="shared" si="85"/>
        <v>10</v>
      </c>
    </row>
    <row r="116" spans="1:39" x14ac:dyDescent="0.35">
      <c r="A116">
        <f t="shared" si="86"/>
        <v>113</v>
      </c>
      <c r="B116">
        <f t="shared" si="87"/>
        <v>2036</v>
      </c>
      <c r="C116">
        <f t="shared" si="88"/>
        <v>5</v>
      </c>
      <c r="D116" s="5">
        <f t="shared" si="68"/>
        <v>734570.79887795041</v>
      </c>
      <c r="E116" s="5">
        <f>IFERROR(IF($A116="", "", _xlfn.XLOOKUP(A116,Offset!A:A,Offset!I:I, 0)), 0)</f>
        <v>16948.38824672046</v>
      </c>
      <c r="F116" s="5">
        <f t="shared" si="66"/>
        <v>717622.41063122998</v>
      </c>
      <c r="G116" s="5">
        <f t="shared" si="89"/>
        <v>4784.1494042082004</v>
      </c>
      <c r="H116" s="5">
        <f t="shared" si="90"/>
        <v>27061.314585087039</v>
      </c>
      <c r="I116" s="5">
        <f t="shared" si="67"/>
        <v>22277.165180878837</v>
      </c>
      <c r="J116" s="5">
        <f t="shared" si="69"/>
        <v>712293.63369707158</v>
      </c>
      <c r="K116" s="5">
        <f t="shared" si="91"/>
        <v>112.98925497813642</v>
      </c>
      <c r="L116" s="5">
        <f t="shared" si="70"/>
        <v>25472.962871291416</v>
      </c>
      <c r="M116" s="5">
        <f t="shared" si="71"/>
        <v>1270222.1818119101</v>
      </c>
      <c r="N116" s="5">
        <f t="shared" si="72"/>
        <v>3057928.548114833</v>
      </c>
      <c r="O116" s="13">
        <f t="shared" si="73"/>
        <v>10</v>
      </c>
      <c r="Q116">
        <f t="shared" si="92"/>
        <v>113</v>
      </c>
      <c r="R116">
        <f t="shared" si="93"/>
        <v>2036</v>
      </c>
      <c r="S116">
        <f t="shared" si="94"/>
        <v>5</v>
      </c>
      <c r="T116" s="5">
        <f t="shared" si="74"/>
        <v>777502.86756758206</v>
      </c>
      <c r="U116" s="5">
        <f t="shared" si="95"/>
        <v>5183.3524504505476</v>
      </c>
      <c r="V116" s="5">
        <f t="shared" si="60"/>
        <v>27061.314585087039</v>
      </c>
      <c r="W116" s="5">
        <f t="shared" si="75"/>
        <v>21877.962134636491</v>
      </c>
      <c r="X116" s="5">
        <f t="shared" si="76"/>
        <v>755624.90543294558</v>
      </c>
      <c r="Y116" s="5">
        <f t="shared" si="77"/>
        <v>1313553.4535477806</v>
      </c>
      <c r="Z116" s="5">
        <f t="shared" si="78"/>
        <v>3057928.548114833</v>
      </c>
      <c r="AA116" s="13">
        <f t="shared" si="79"/>
        <v>10</v>
      </c>
      <c r="AC116">
        <f t="shared" si="96"/>
        <v>113</v>
      </c>
      <c r="AD116">
        <f t="shared" si="97"/>
        <v>2036</v>
      </c>
      <c r="AE116">
        <f t="shared" si="98"/>
        <v>5</v>
      </c>
      <c r="AF116" s="5">
        <f t="shared" si="80"/>
        <v>669791.36594981281</v>
      </c>
      <c r="AG116" s="5">
        <f t="shared" si="99"/>
        <v>4465.2757729987525</v>
      </c>
      <c r="AH116" s="5">
        <f t="shared" si="65"/>
        <v>27711.314585087039</v>
      </c>
      <c r="AI116" s="5">
        <f t="shared" si="81"/>
        <v>23246.038812088285</v>
      </c>
      <c r="AJ116" s="5">
        <f t="shared" si="82"/>
        <v>646545.3271377245</v>
      </c>
      <c r="AK116" s="5">
        <f t="shared" si="83"/>
        <v>1277923.8752525598</v>
      </c>
      <c r="AL116" s="5">
        <f t="shared" si="84"/>
        <v>3131378.5481148325</v>
      </c>
      <c r="AM116" s="13">
        <f t="shared" si="85"/>
        <v>10</v>
      </c>
    </row>
    <row r="117" spans="1:39" x14ac:dyDescent="0.35">
      <c r="A117">
        <f t="shared" si="86"/>
        <v>114</v>
      </c>
      <c r="B117">
        <f t="shared" si="87"/>
        <v>2036</v>
      </c>
      <c r="C117">
        <f t="shared" si="88"/>
        <v>6</v>
      </c>
      <c r="D117" s="5">
        <f t="shared" si="68"/>
        <v>712293.63369707158</v>
      </c>
      <c r="E117" s="5">
        <f>IFERROR(IF($A117="", "", _xlfn.XLOOKUP(A117,Offset!A:A,Offset!I:I, 0)), 0)</f>
        <v>20338.065896064552</v>
      </c>
      <c r="F117" s="5">
        <f t="shared" si="66"/>
        <v>691955.56780100707</v>
      </c>
      <c r="G117" s="5">
        <f t="shared" si="89"/>
        <v>4613.037118673381</v>
      </c>
      <c r="H117" s="5">
        <f t="shared" si="90"/>
        <v>27061.314585087039</v>
      </c>
      <c r="I117" s="5">
        <f t="shared" si="67"/>
        <v>22448.27746641366</v>
      </c>
      <c r="J117" s="5">
        <f t="shared" si="69"/>
        <v>689845.3562306579</v>
      </c>
      <c r="K117" s="5">
        <f t="shared" si="91"/>
        <v>135.5871059737637</v>
      </c>
      <c r="L117" s="5">
        <f t="shared" si="70"/>
        <v>25608.549977265178</v>
      </c>
      <c r="M117" s="5">
        <f t="shared" si="71"/>
        <v>1274835.2189305834</v>
      </c>
      <c r="N117" s="5">
        <f t="shared" si="72"/>
        <v>3084989.8626999198</v>
      </c>
      <c r="O117" s="13">
        <f t="shared" si="73"/>
        <v>10</v>
      </c>
      <c r="Q117">
        <f t="shared" si="92"/>
        <v>114</v>
      </c>
      <c r="R117">
        <f t="shared" si="93"/>
        <v>2036</v>
      </c>
      <c r="S117">
        <f t="shared" si="94"/>
        <v>6</v>
      </c>
      <c r="T117" s="5">
        <f t="shared" si="74"/>
        <v>755624.90543294558</v>
      </c>
      <c r="U117" s="5">
        <f t="shared" si="95"/>
        <v>5037.4993695529711</v>
      </c>
      <c r="V117" s="5">
        <f t="shared" si="60"/>
        <v>27061.314585087039</v>
      </c>
      <c r="W117" s="5">
        <f t="shared" si="75"/>
        <v>22023.815215534069</v>
      </c>
      <c r="X117" s="5">
        <f t="shared" si="76"/>
        <v>733601.09021741152</v>
      </c>
      <c r="Y117" s="5">
        <f t="shared" si="77"/>
        <v>1318590.9529173337</v>
      </c>
      <c r="Z117" s="5">
        <f t="shared" si="78"/>
        <v>3084989.8626999198</v>
      </c>
      <c r="AA117" s="13">
        <f t="shared" si="79"/>
        <v>10</v>
      </c>
      <c r="AC117">
        <f t="shared" si="96"/>
        <v>114</v>
      </c>
      <c r="AD117">
        <f t="shared" si="97"/>
        <v>2036</v>
      </c>
      <c r="AE117">
        <f t="shared" si="98"/>
        <v>6</v>
      </c>
      <c r="AF117" s="5">
        <f t="shared" si="80"/>
        <v>646545.3271377245</v>
      </c>
      <c r="AG117" s="5">
        <f t="shared" si="99"/>
        <v>4310.3021809181637</v>
      </c>
      <c r="AH117" s="5">
        <f t="shared" si="65"/>
        <v>27711.314585087039</v>
      </c>
      <c r="AI117" s="5">
        <f t="shared" si="81"/>
        <v>23401.012404168876</v>
      </c>
      <c r="AJ117" s="5">
        <f t="shared" si="82"/>
        <v>623144.31473355566</v>
      </c>
      <c r="AK117" s="5">
        <f t="shared" si="83"/>
        <v>1282234.1774334779</v>
      </c>
      <c r="AL117" s="5">
        <f t="shared" si="84"/>
        <v>3159089.8626999194</v>
      </c>
      <c r="AM117" s="13">
        <f t="shared" si="85"/>
        <v>10</v>
      </c>
    </row>
    <row r="118" spans="1:39" x14ac:dyDescent="0.35">
      <c r="A118">
        <f t="shared" si="86"/>
        <v>115</v>
      </c>
      <c r="B118">
        <f t="shared" si="87"/>
        <v>2036</v>
      </c>
      <c r="C118">
        <f t="shared" si="88"/>
        <v>7</v>
      </c>
      <c r="D118" s="5">
        <f t="shared" si="68"/>
        <v>689845.3562306579</v>
      </c>
      <c r="E118" s="5">
        <f>IFERROR(IF($A118="", "", _xlfn.XLOOKUP(A118,Offset!A:A,Offset!I:I, 0)), 0)</f>
        <v>23727.743545408644</v>
      </c>
      <c r="F118" s="5">
        <f t="shared" si="66"/>
        <v>666117.6126852493</v>
      </c>
      <c r="G118" s="5">
        <f t="shared" si="89"/>
        <v>4440.7840845683286</v>
      </c>
      <c r="H118" s="5">
        <f t="shared" si="90"/>
        <v>27061.314585087039</v>
      </c>
      <c r="I118" s="5">
        <f t="shared" si="67"/>
        <v>22620.530500518711</v>
      </c>
      <c r="J118" s="5">
        <f t="shared" si="69"/>
        <v>667224.82573013916</v>
      </c>
      <c r="K118" s="5">
        <f t="shared" si="91"/>
        <v>158.18495696939098</v>
      </c>
      <c r="L118" s="5">
        <f t="shared" si="70"/>
        <v>25766.73493423457</v>
      </c>
      <c r="M118" s="5">
        <f t="shared" si="71"/>
        <v>1279276.0030151517</v>
      </c>
      <c r="N118" s="5">
        <f t="shared" si="72"/>
        <v>3112051.1772850067</v>
      </c>
      <c r="O118" s="13">
        <f t="shared" si="73"/>
        <v>10</v>
      </c>
      <c r="Q118">
        <f t="shared" si="92"/>
        <v>115</v>
      </c>
      <c r="R118">
        <f t="shared" si="93"/>
        <v>2036</v>
      </c>
      <c r="S118">
        <f t="shared" si="94"/>
        <v>7</v>
      </c>
      <c r="T118" s="5">
        <f t="shared" si="74"/>
        <v>733601.09021741152</v>
      </c>
      <c r="U118" s="5">
        <f t="shared" si="95"/>
        <v>4890.6739347827433</v>
      </c>
      <c r="V118" s="5">
        <f t="shared" si="60"/>
        <v>27061.314585087039</v>
      </c>
      <c r="W118" s="5">
        <f t="shared" si="75"/>
        <v>22170.640650304296</v>
      </c>
      <c r="X118" s="5">
        <f t="shared" si="76"/>
        <v>711430.44956710725</v>
      </c>
      <c r="Y118" s="5">
        <f t="shared" si="77"/>
        <v>1323481.6268521165</v>
      </c>
      <c r="Z118" s="5">
        <f t="shared" si="78"/>
        <v>3112051.1772850067</v>
      </c>
      <c r="AA118" s="13">
        <f t="shared" si="79"/>
        <v>10</v>
      </c>
      <c r="AC118">
        <f t="shared" si="96"/>
        <v>115</v>
      </c>
      <c r="AD118">
        <f t="shared" si="97"/>
        <v>2036</v>
      </c>
      <c r="AE118">
        <f t="shared" si="98"/>
        <v>7</v>
      </c>
      <c r="AF118" s="5">
        <f t="shared" si="80"/>
        <v>623144.31473355566</v>
      </c>
      <c r="AG118" s="5">
        <f t="shared" si="99"/>
        <v>4154.2954315570378</v>
      </c>
      <c r="AH118" s="5">
        <f t="shared" si="65"/>
        <v>27711.314585087039</v>
      </c>
      <c r="AI118" s="5">
        <f t="shared" si="81"/>
        <v>23557.01915353</v>
      </c>
      <c r="AJ118" s="5">
        <f t="shared" si="82"/>
        <v>599587.29558002565</v>
      </c>
      <c r="AK118" s="5">
        <f t="shared" si="83"/>
        <v>1286388.4728650351</v>
      </c>
      <c r="AL118" s="5">
        <f t="shared" si="84"/>
        <v>3186801.1772850063</v>
      </c>
      <c r="AM118" s="13">
        <f t="shared" si="85"/>
        <v>10</v>
      </c>
    </row>
    <row r="119" spans="1:39" x14ac:dyDescent="0.35">
      <c r="A119">
        <f t="shared" si="86"/>
        <v>116</v>
      </c>
      <c r="B119">
        <f t="shared" si="87"/>
        <v>2036</v>
      </c>
      <c r="C119">
        <f t="shared" si="88"/>
        <v>8</v>
      </c>
      <c r="D119" s="5">
        <f t="shared" si="68"/>
        <v>667224.82573013916</v>
      </c>
      <c r="E119" s="5">
        <f>IFERROR(IF($A119="", "", _xlfn.XLOOKUP(A119,Offset!A:A,Offset!I:I, 0)), 0)</f>
        <v>27117.421194752736</v>
      </c>
      <c r="F119" s="5">
        <f t="shared" si="66"/>
        <v>640107.40453538648</v>
      </c>
      <c r="G119" s="5">
        <f t="shared" si="89"/>
        <v>4267.3826969025768</v>
      </c>
      <c r="H119" s="5">
        <f t="shared" si="90"/>
        <v>27061.314585087039</v>
      </c>
      <c r="I119" s="5">
        <f t="shared" si="67"/>
        <v>22793.931888184463</v>
      </c>
      <c r="J119" s="5">
        <f t="shared" si="69"/>
        <v>644430.89384195465</v>
      </c>
      <c r="K119" s="5">
        <f t="shared" si="91"/>
        <v>180.78280796501826</v>
      </c>
      <c r="L119" s="5">
        <f t="shared" si="70"/>
        <v>25947.517742199587</v>
      </c>
      <c r="M119" s="5">
        <f t="shared" si="71"/>
        <v>1283543.3857120543</v>
      </c>
      <c r="N119" s="5">
        <f t="shared" si="72"/>
        <v>3139112.4918700936</v>
      </c>
      <c r="O119" s="13">
        <f t="shared" si="73"/>
        <v>10</v>
      </c>
      <c r="Q119">
        <f t="shared" si="92"/>
        <v>116</v>
      </c>
      <c r="R119">
        <f t="shared" si="93"/>
        <v>2036</v>
      </c>
      <c r="S119">
        <f t="shared" si="94"/>
        <v>8</v>
      </c>
      <c r="T119" s="5">
        <f t="shared" si="74"/>
        <v>711430.44956710725</v>
      </c>
      <c r="U119" s="5">
        <f t="shared" si="95"/>
        <v>4742.8696637807152</v>
      </c>
      <c r="V119" s="5">
        <f t="shared" si="60"/>
        <v>27061.314585087039</v>
      </c>
      <c r="W119" s="5">
        <f t="shared" si="75"/>
        <v>22318.444921306324</v>
      </c>
      <c r="X119" s="5">
        <f t="shared" si="76"/>
        <v>689112.00464580092</v>
      </c>
      <c r="Y119" s="5">
        <f t="shared" si="77"/>
        <v>1328224.4965158973</v>
      </c>
      <c r="Z119" s="5">
        <f t="shared" si="78"/>
        <v>3139112.4918700936</v>
      </c>
      <c r="AA119" s="13">
        <f t="shared" si="79"/>
        <v>10</v>
      </c>
      <c r="AC119">
        <f t="shared" si="96"/>
        <v>116</v>
      </c>
      <c r="AD119">
        <f t="shared" si="97"/>
        <v>2036</v>
      </c>
      <c r="AE119">
        <f t="shared" si="98"/>
        <v>8</v>
      </c>
      <c r="AF119" s="5">
        <f t="shared" si="80"/>
        <v>599587.29558002565</v>
      </c>
      <c r="AG119" s="5">
        <f t="shared" si="99"/>
        <v>3997.2486372001713</v>
      </c>
      <c r="AH119" s="5">
        <f t="shared" si="65"/>
        <v>27711.314585087039</v>
      </c>
      <c r="AI119" s="5">
        <f t="shared" si="81"/>
        <v>23714.065947886869</v>
      </c>
      <c r="AJ119" s="5">
        <f t="shared" si="82"/>
        <v>575873.22963213874</v>
      </c>
      <c r="AK119" s="5">
        <f t="shared" si="83"/>
        <v>1290385.7215022352</v>
      </c>
      <c r="AL119" s="5">
        <f t="shared" si="84"/>
        <v>3214512.4918700932</v>
      </c>
      <c r="AM119" s="13">
        <f t="shared" si="85"/>
        <v>10</v>
      </c>
    </row>
    <row r="120" spans="1:39" x14ac:dyDescent="0.35">
      <c r="A120">
        <f t="shared" si="86"/>
        <v>117</v>
      </c>
      <c r="B120">
        <f t="shared" si="87"/>
        <v>2036</v>
      </c>
      <c r="C120">
        <f t="shared" si="88"/>
        <v>9</v>
      </c>
      <c r="D120" s="5">
        <f t="shared" si="68"/>
        <v>644430.89384195465</v>
      </c>
      <c r="E120" s="5">
        <f>IFERROR(IF($A120="", "", _xlfn.XLOOKUP(A120,Offset!A:A,Offset!I:I, 0)), 0)</f>
        <v>30507.098844096829</v>
      </c>
      <c r="F120" s="5">
        <f t="shared" si="66"/>
        <v>613923.79499785777</v>
      </c>
      <c r="G120" s="5">
        <f t="shared" si="89"/>
        <v>4092.8252999857186</v>
      </c>
      <c r="H120" s="5">
        <f t="shared" si="90"/>
        <v>27061.314585087039</v>
      </c>
      <c r="I120" s="5">
        <f t="shared" si="67"/>
        <v>22968.489285101321</v>
      </c>
      <c r="J120" s="5">
        <f t="shared" si="69"/>
        <v>621462.40455685335</v>
      </c>
      <c r="K120" s="5">
        <f t="shared" si="91"/>
        <v>203.38065896064555</v>
      </c>
      <c r="L120" s="5">
        <f t="shared" si="70"/>
        <v>26150.898401160233</v>
      </c>
      <c r="M120" s="5">
        <f t="shared" si="71"/>
        <v>1287636.21101204</v>
      </c>
      <c r="N120" s="5">
        <f t="shared" si="72"/>
        <v>3166173.8064551805</v>
      </c>
      <c r="O120" s="13">
        <f t="shared" si="73"/>
        <v>10</v>
      </c>
      <c r="Q120">
        <f t="shared" si="92"/>
        <v>117</v>
      </c>
      <c r="R120">
        <f t="shared" si="93"/>
        <v>2036</v>
      </c>
      <c r="S120">
        <f t="shared" si="94"/>
        <v>9</v>
      </c>
      <c r="T120" s="5">
        <f t="shared" si="74"/>
        <v>689112.00464580092</v>
      </c>
      <c r="U120" s="5">
        <f t="shared" si="95"/>
        <v>4594.0800309720062</v>
      </c>
      <c r="V120" s="5">
        <f t="shared" si="60"/>
        <v>27061.314585087039</v>
      </c>
      <c r="W120" s="5">
        <f t="shared" si="75"/>
        <v>22467.234554115032</v>
      </c>
      <c r="X120" s="5">
        <f t="shared" si="76"/>
        <v>666644.77009168593</v>
      </c>
      <c r="Y120" s="5">
        <f t="shared" si="77"/>
        <v>1332818.5765468692</v>
      </c>
      <c r="Z120" s="5">
        <f t="shared" si="78"/>
        <v>3166173.8064551805</v>
      </c>
      <c r="AA120" s="13">
        <f t="shared" si="79"/>
        <v>10</v>
      </c>
      <c r="AC120">
        <f t="shared" si="96"/>
        <v>117</v>
      </c>
      <c r="AD120">
        <f t="shared" si="97"/>
        <v>2036</v>
      </c>
      <c r="AE120">
        <f t="shared" si="98"/>
        <v>9</v>
      </c>
      <c r="AF120" s="5">
        <f t="shared" si="80"/>
        <v>575873.22963213874</v>
      </c>
      <c r="AG120" s="5">
        <f t="shared" si="99"/>
        <v>3839.1548642142584</v>
      </c>
      <c r="AH120" s="5">
        <f t="shared" si="65"/>
        <v>27711.314585087039</v>
      </c>
      <c r="AI120" s="5">
        <f t="shared" si="81"/>
        <v>23872.15972087278</v>
      </c>
      <c r="AJ120" s="5">
        <f t="shared" si="82"/>
        <v>552001.06991126598</v>
      </c>
      <c r="AK120" s="5">
        <f t="shared" si="83"/>
        <v>1294224.8763664495</v>
      </c>
      <c r="AL120" s="5">
        <f t="shared" si="84"/>
        <v>3242223.80645518</v>
      </c>
      <c r="AM120" s="13">
        <f t="shared" si="85"/>
        <v>10</v>
      </c>
    </row>
    <row r="121" spans="1:39" x14ac:dyDescent="0.35">
      <c r="A121">
        <f t="shared" si="86"/>
        <v>118</v>
      </c>
      <c r="B121">
        <f t="shared" si="87"/>
        <v>2036</v>
      </c>
      <c r="C121">
        <f t="shared" si="88"/>
        <v>10</v>
      </c>
      <c r="D121" s="5">
        <f t="shared" si="68"/>
        <v>621462.40455685335</v>
      </c>
      <c r="E121" s="5">
        <f>IFERROR(IF($A121="", "", _xlfn.XLOOKUP(A121,Offset!A:A,Offset!I:I, 0)), 0)</f>
        <v>33896.776493440921</v>
      </c>
      <c r="F121" s="5">
        <f t="shared" si="66"/>
        <v>587565.62806341238</v>
      </c>
      <c r="G121" s="5">
        <f t="shared" si="89"/>
        <v>3917.104187089416</v>
      </c>
      <c r="H121" s="5">
        <f t="shared" si="90"/>
        <v>27061.314585087039</v>
      </c>
      <c r="I121" s="5">
        <f t="shared" si="67"/>
        <v>23144.210397997624</v>
      </c>
      <c r="J121" s="5">
        <f t="shared" si="69"/>
        <v>598318.19415885571</v>
      </c>
      <c r="K121" s="5">
        <f t="shared" si="91"/>
        <v>225.97850995627283</v>
      </c>
      <c r="L121" s="5">
        <f t="shared" si="70"/>
        <v>26376.876911116506</v>
      </c>
      <c r="M121" s="5">
        <f t="shared" si="71"/>
        <v>1291553.3151991295</v>
      </c>
      <c r="N121" s="5">
        <f t="shared" si="72"/>
        <v>3193235.1210402674</v>
      </c>
      <c r="O121" s="13">
        <f t="shared" si="73"/>
        <v>10</v>
      </c>
      <c r="Q121">
        <f t="shared" si="92"/>
        <v>118</v>
      </c>
      <c r="R121">
        <f t="shared" si="93"/>
        <v>2036</v>
      </c>
      <c r="S121">
        <f t="shared" si="94"/>
        <v>10</v>
      </c>
      <c r="T121" s="5">
        <f t="shared" si="74"/>
        <v>666644.77009168593</v>
      </c>
      <c r="U121" s="5">
        <f t="shared" si="95"/>
        <v>4444.2984672779066</v>
      </c>
      <c r="V121" s="5">
        <f t="shared" si="60"/>
        <v>27061.314585087039</v>
      </c>
      <c r="W121" s="5">
        <f t="shared" si="75"/>
        <v>22617.016117809133</v>
      </c>
      <c r="X121" s="5">
        <f t="shared" si="76"/>
        <v>644027.75397387682</v>
      </c>
      <c r="Y121" s="5">
        <f t="shared" si="77"/>
        <v>1337262.8750141473</v>
      </c>
      <c r="Z121" s="5">
        <f t="shared" si="78"/>
        <v>3193235.1210402674</v>
      </c>
      <c r="AA121" s="13">
        <f t="shared" si="79"/>
        <v>10</v>
      </c>
      <c r="AC121">
        <f t="shared" si="96"/>
        <v>118</v>
      </c>
      <c r="AD121">
        <f t="shared" si="97"/>
        <v>2036</v>
      </c>
      <c r="AE121">
        <f t="shared" si="98"/>
        <v>10</v>
      </c>
      <c r="AF121" s="5">
        <f t="shared" si="80"/>
        <v>552001.06991126598</v>
      </c>
      <c r="AG121" s="5">
        <f t="shared" si="99"/>
        <v>3680.0071327417736</v>
      </c>
      <c r="AH121" s="5">
        <f t="shared" si="65"/>
        <v>27711.314585087039</v>
      </c>
      <c r="AI121" s="5">
        <f t="shared" si="81"/>
        <v>24031.307452345267</v>
      </c>
      <c r="AJ121" s="5">
        <f t="shared" si="82"/>
        <v>527969.76245892071</v>
      </c>
      <c r="AK121" s="5">
        <f t="shared" si="83"/>
        <v>1297904.8834991914</v>
      </c>
      <c r="AL121" s="5">
        <f t="shared" si="84"/>
        <v>3269935.1210402669</v>
      </c>
      <c r="AM121" s="13">
        <f t="shared" si="85"/>
        <v>10</v>
      </c>
    </row>
    <row r="122" spans="1:39" x14ac:dyDescent="0.35">
      <c r="A122">
        <f t="shared" si="86"/>
        <v>119</v>
      </c>
      <c r="B122">
        <f t="shared" si="87"/>
        <v>2036</v>
      </c>
      <c r="C122">
        <f t="shared" si="88"/>
        <v>11</v>
      </c>
      <c r="D122" s="5">
        <f t="shared" si="68"/>
        <v>598318.19415885571</v>
      </c>
      <c r="E122" s="5">
        <f>IFERROR(IF($A122="", "", _xlfn.XLOOKUP(A122,Offset!A:A,Offset!I:I, 0)), 0)</f>
        <v>37286.454142785013</v>
      </c>
      <c r="F122" s="5">
        <f t="shared" si="66"/>
        <v>561031.74001607066</v>
      </c>
      <c r="G122" s="5">
        <f t="shared" si="89"/>
        <v>3740.2116001071381</v>
      </c>
      <c r="H122" s="5">
        <f t="shared" si="90"/>
        <v>27061.314585087039</v>
      </c>
      <c r="I122" s="5">
        <f t="shared" si="67"/>
        <v>23321.102984979902</v>
      </c>
      <c r="J122" s="5">
        <f t="shared" si="69"/>
        <v>574997.09117387584</v>
      </c>
      <c r="K122" s="5">
        <f t="shared" si="91"/>
        <v>248.57636095190011</v>
      </c>
      <c r="L122" s="5">
        <f t="shared" si="70"/>
        <v>26625.453272068407</v>
      </c>
      <c r="M122" s="5">
        <f t="shared" si="71"/>
        <v>1295293.5267992367</v>
      </c>
      <c r="N122" s="5">
        <f t="shared" si="72"/>
        <v>3220296.4356253543</v>
      </c>
      <c r="O122" s="13">
        <f t="shared" si="73"/>
        <v>10</v>
      </c>
      <c r="Q122">
        <f t="shared" si="92"/>
        <v>119</v>
      </c>
      <c r="R122">
        <f t="shared" si="93"/>
        <v>2036</v>
      </c>
      <c r="S122">
        <f t="shared" si="94"/>
        <v>11</v>
      </c>
      <c r="T122" s="5">
        <f t="shared" si="74"/>
        <v>644027.75397387682</v>
      </c>
      <c r="U122" s="5">
        <f t="shared" si="95"/>
        <v>4293.5183598258454</v>
      </c>
      <c r="V122" s="5">
        <f t="shared" si="60"/>
        <v>27061.314585087039</v>
      </c>
      <c r="W122" s="5">
        <f t="shared" si="75"/>
        <v>22767.796225261194</v>
      </c>
      <c r="X122" s="5">
        <f t="shared" si="76"/>
        <v>621259.95774861565</v>
      </c>
      <c r="Y122" s="5">
        <f t="shared" si="77"/>
        <v>1341556.3933739732</v>
      </c>
      <c r="Z122" s="5">
        <f t="shared" si="78"/>
        <v>3220296.4356253543</v>
      </c>
      <c r="AA122" s="13">
        <f t="shared" si="79"/>
        <v>10</v>
      </c>
      <c r="AC122">
        <f t="shared" si="96"/>
        <v>119</v>
      </c>
      <c r="AD122">
        <f t="shared" si="97"/>
        <v>2036</v>
      </c>
      <c r="AE122">
        <f t="shared" si="98"/>
        <v>11</v>
      </c>
      <c r="AF122" s="5">
        <f t="shared" si="80"/>
        <v>527969.76245892071</v>
      </c>
      <c r="AG122" s="5">
        <f t="shared" si="99"/>
        <v>3519.7984163928049</v>
      </c>
      <c r="AH122" s="5">
        <f t="shared" si="65"/>
        <v>27711.314585087039</v>
      </c>
      <c r="AI122" s="5">
        <f t="shared" si="81"/>
        <v>24191.516168694234</v>
      </c>
      <c r="AJ122" s="5">
        <f t="shared" si="82"/>
        <v>503778.24629022647</v>
      </c>
      <c r="AK122" s="5">
        <f t="shared" si="83"/>
        <v>1301424.6819155843</v>
      </c>
      <c r="AL122" s="5">
        <f t="shared" si="84"/>
        <v>3297646.4356253538</v>
      </c>
      <c r="AM122" s="13">
        <f t="shared" si="85"/>
        <v>10</v>
      </c>
    </row>
    <row r="123" spans="1:39" x14ac:dyDescent="0.35">
      <c r="A123">
        <f t="shared" si="86"/>
        <v>120</v>
      </c>
      <c r="B123">
        <f t="shared" si="87"/>
        <v>2036</v>
      </c>
      <c r="C123">
        <f t="shared" si="88"/>
        <v>12</v>
      </c>
      <c r="D123" s="5">
        <f t="shared" si="68"/>
        <v>574997.09117387584</v>
      </c>
      <c r="E123" s="5">
        <f>IFERROR(IF($A123="", "", _xlfn.XLOOKUP(A123,Offset!A:A,Offset!I:I, 0)), 0)</f>
        <v>40676.131792129105</v>
      </c>
      <c r="F123" s="5">
        <f t="shared" si="66"/>
        <v>534320.95938174671</v>
      </c>
      <c r="G123" s="5">
        <f t="shared" si="89"/>
        <v>3562.1397292116449</v>
      </c>
      <c r="H123" s="5">
        <f t="shared" si="90"/>
        <v>27061.314585087039</v>
      </c>
      <c r="I123" s="5">
        <f t="shared" si="67"/>
        <v>23499.174855875393</v>
      </c>
      <c r="J123" s="5">
        <f t="shared" si="69"/>
        <v>551497.91631800041</v>
      </c>
      <c r="K123" s="5">
        <f t="shared" si="91"/>
        <v>271.1742119475274</v>
      </c>
      <c r="L123" s="5">
        <f t="shared" si="70"/>
        <v>26896.627484015935</v>
      </c>
      <c r="M123" s="5">
        <f t="shared" si="71"/>
        <v>1298855.6665284482</v>
      </c>
      <c r="N123" s="5">
        <f t="shared" si="72"/>
        <v>3247357.7502104412</v>
      </c>
      <c r="O123" s="13">
        <f t="shared" si="73"/>
        <v>10</v>
      </c>
      <c r="Q123">
        <f t="shared" si="92"/>
        <v>120</v>
      </c>
      <c r="R123">
        <f t="shared" si="93"/>
        <v>2036</v>
      </c>
      <c r="S123">
        <f t="shared" si="94"/>
        <v>12</v>
      </c>
      <c r="T123" s="5">
        <f t="shared" si="74"/>
        <v>621259.95774861565</v>
      </c>
      <c r="U123" s="5">
        <f t="shared" si="95"/>
        <v>4141.7330516574375</v>
      </c>
      <c r="V123" s="5">
        <f t="shared" si="60"/>
        <v>27061.314585087039</v>
      </c>
      <c r="W123" s="5">
        <f t="shared" si="75"/>
        <v>22919.581533429602</v>
      </c>
      <c r="X123" s="5">
        <f t="shared" si="76"/>
        <v>598340.37621518609</v>
      </c>
      <c r="Y123" s="5">
        <f t="shared" si="77"/>
        <v>1345698.1264256306</v>
      </c>
      <c r="Z123" s="5">
        <f t="shared" si="78"/>
        <v>3247357.7502104412</v>
      </c>
      <c r="AA123" s="13">
        <f t="shared" si="79"/>
        <v>10</v>
      </c>
      <c r="AC123">
        <f t="shared" si="96"/>
        <v>120</v>
      </c>
      <c r="AD123">
        <f t="shared" si="97"/>
        <v>2036</v>
      </c>
      <c r="AE123">
        <f t="shared" si="98"/>
        <v>12</v>
      </c>
      <c r="AF123" s="5">
        <f t="shared" si="80"/>
        <v>503778.24629022647</v>
      </c>
      <c r="AG123" s="5">
        <f t="shared" si="99"/>
        <v>3358.5216419348435</v>
      </c>
      <c r="AH123" s="5">
        <f t="shared" si="65"/>
        <v>27711.314585087039</v>
      </c>
      <c r="AI123" s="5">
        <f t="shared" si="81"/>
        <v>24352.792943152195</v>
      </c>
      <c r="AJ123" s="5">
        <f t="shared" si="82"/>
        <v>479425.45334707428</v>
      </c>
      <c r="AK123" s="5">
        <f t="shared" si="83"/>
        <v>1304783.203557519</v>
      </c>
      <c r="AL123" s="5">
        <f t="shared" si="84"/>
        <v>3325357.7502104407</v>
      </c>
      <c r="AM123" s="13">
        <f t="shared" si="85"/>
        <v>10</v>
      </c>
    </row>
    <row r="124" spans="1:39" x14ac:dyDescent="0.35">
      <c r="A124">
        <f t="shared" si="86"/>
        <v>121</v>
      </c>
      <c r="B124">
        <f t="shared" si="87"/>
        <v>2037</v>
      </c>
      <c r="C124">
        <f t="shared" si="88"/>
        <v>1</v>
      </c>
      <c r="D124" s="5">
        <f t="shared" si="68"/>
        <v>551497.91631800041</v>
      </c>
      <c r="E124" s="5">
        <f>IFERROR(IF($A124="", "", _xlfn.XLOOKUP(A124,Offset!A:A,Offset!I:I, 0)), 0)</f>
        <v>3817.0237572443607</v>
      </c>
      <c r="F124" s="5">
        <f t="shared" si="66"/>
        <v>547680.89256075607</v>
      </c>
      <c r="G124" s="5">
        <f t="shared" si="89"/>
        <v>3651.2059504050408</v>
      </c>
      <c r="H124" s="5">
        <f t="shared" si="90"/>
        <v>27061.314585087039</v>
      </c>
      <c r="I124" s="5">
        <f t="shared" si="67"/>
        <v>23410.108634681998</v>
      </c>
      <c r="J124" s="5">
        <f t="shared" si="69"/>
        <v>528087.80768331839</v>
      </c>
      <c r="K124" s="5">
        <f t="shared" si="91"/>
        <v>25.446825048295739</v>
      </c>
      <c r="L124" s="5">
        <f t="shared" si="70"/>
        <v>26922.074309064232</v>
      </c>
      <c r="M124" s="5">
        <f t="shared" si="71"/>
        <v>1302506.8724788532</v>
      </c>
      <c r="N124" s="5">
        <f t="shared" si="72"/>
        <v>3274419.0647955281</v>
      </c>
      <c r="O124" s="13">
        <f t="shared" si="73"/>
        <v>11</v>
      </c>
      <c r="Q124">
        <f t="shared" si="92"/>
        <v>121</v>
      </c>
      <c r="R124">
        <f t="shared" si="93"/>
        <v>2037</v>
      </c>
      <c r="S124">
        <f t="shared" si="94"/>
        <v>1</v>
      </c>
      <c r="T124" s="5">
        <f t="shared" si="74"/>
        <v>598340.37621518609</v>
      </c>
      <c r="U124" s="5">
        <f t="shared" si="95"/>
        <v>3988.9358414345743</v>
      </c>
      <c r="V124" s="5">
        <f t="shared" si="60"/>
        <v>27061.314585087039</v>
      </c>
      <c r="W124" s="5">
        <f t="shared" si="75"/>
        <v>23072.378743652465</v>
      </c>
      <c r="X124" s="5">
        <f t="shared" si="76"/>
        <v>575267.9974715336</v>
      </c>
      <c r="Y124" s="5">
        <f t="shared" si="77"/>
        <v>1349687.0622670653</v>
      </c>
      <c r="Z124" s="5">
        <f t="shared" si="78"/>
        <v>3274419.0647955281</v>
      </c>
      <c r="AA124" s="13">
        <f t="shared" si="79"/>
        <v>11</v>
      </c>
      <c r="AC124">
        <f t="shared" si="96"/>
        <v>121</v>
      </c>
      <c r="AD124">
        <f t="shared" si="97"/>
        <v>2037</v>
      </c>
      <c r="AE124">
        <f t="shared" si="98"/>
        <v>1</v>
      </c>
      <c r="AF124" s="5">
        <f t="shared" si="80"/>
        <v>479425.45334707428</v>
      </c>
      <c r="AG124" s="5">
        <f t="shared" si="99"/>
        <v>3196.1696889804953</v>
      </c>
      <c r="AH124" s="5">
        <f t="shared" si="65"/>
        <v>27711.314585087039</v>
      </c>
      <c r="AI124" s="5">
        <f t="shared" si="81"/>
        <v>24515.144896106543</v>
      </c>
      <c r="AJ124" s="5">
        <f t="shared" si="82"/>
        <v>454910.30845096771</v>
      </c>
      <c r="AK124" s="5">
        <f t="shared" si="83"/>
        <v>1307979.3732464996</v>
      </c>
      <c r="AL124" s="5">
        <f t="shared" si="84"/>
        <v>3353069.0647955276</v>
      </c>
      <c r="AM124" s="13">
        <f t="shared" si="85"/>
        <v>11</v>
      </c>
    </row>
    <row r="125" spans="1:39" x14ac:dyDescent="0.35">
      <c r="A125">
        <f t="shared" si="86"/>
        <v>122</v>
      </c>
      <c r="B125">
        <f t="shared" si="87"/>
        <v>2037</v>
      </c>
      <c r="C125">
        <f t="shared" si="88"/>
        <v>2</v>
      </c>
      <c r="D125" s="5">
        <f t="shared" si="68"/>
        <v>528087.80768331839</v>
      </c>
      <c r="E125" s="5">
        <f>IFERROR(IF($A125="", "", _xlfn.XLOOKUP(A125,Offset!A:A,Offset!I:I, 0)), 0)</f>
        <v>7634.0475144887214</v>
      </c>
      <c r="F125" s="5">
        <f t="shared" si="66"/>
        <v>520453.76016882964</v>
      </c>
      <c r="G125" s="5">
        <f t="shared" si="89"/>
        <v>3469.6917344588646</v>
      </c>
      <c r="H125" s="5">
        <f t="shared" si="90"/>
        <v>27061.314585087039</v>
      </c>
      <c r="I125" s="5">
        <f t="shared" si="67"/>
        <v>23591.622850628173</v>
      </c>
      <c r="J125" s="5">
        <f t="shared" si="69"/>
        <v>504496.18483269023</v>
      </c>
      <c r="K125" s="5">
        <f t="shared" si="91"/>
        <v>50.893650096591479</v>
      </c>
      <c r="L125" s="5">
        <f t="shared" si="70"/>
        <v>26972.967959160822</v>
      </c>
      <c r="M125" s="5">
        <f t="shared" si="71"/>
        <v>1305976.564213312</v>
      </c>
      <c r="N125" s="5">
        <f t="shared" si="72"/>
        <v>3301480.379380615</v>
      </c>
      <c r="O125" s="13">
        <f t="shared" si="73"/>
        <v>11</v>
      </c>
      <c r="Q125">
        <f t="shared" si="92"/>
        <v>122</v>
      </c>
      <c r="R125">
        <f t="shared" si="93"/>
        <v>2037</v>
      </c>
      <c r="S125">
        <f t="shared" si="94"/>
        <v>2</v>
      </c>
      <c r="T125" s="5">
        <f t="shared" si="74"/>
        <v>575267.9974715336</v>
      </c>
      <c r="U125" s="5">
        <f t="shared" si="95"/>
        <v>3835.1199831435574</v>
      </c>
      <c r="V125" s="5">
        <f t="shared" si="60"/>
        <v>27061.314585087039</v>
      </c>
      <c r="W125" s="5">
        <f t="shared" si="75"/>
        <v>23226.19460194348</v>
      </c>
      <c r="X125" s="5">
        <f t="shared" si="76"/>
        <v>552041.80286959012</v>
      </c>
      <c r="Y125" s="5">
        <f t="shared" si="77"/>
        <v>1353522.1822502089</v>
      </c>
      <c r="Z125" s="5">
        <f t="shared" si="78"/>
        <v>3301480.379380615</v>
      </c>
      <c r="AA125" s="13">
        <f t="shared" si="79"/>
        <v>11</v>
      </c>
      <c r="AC125">
        <f t="shared" si="96"/>
        <v>122</v>
      </c>
      <c r="AD125">
        <f t="shared" si="97"/>
        <v>2037</v>
      </c>
      <c r="AE125">
        <f t="shared" si="98"/>
        <v>2</v>
      </c>
      <c r="AF125" s="5">
        <f t="shared" si="80"/>
        <v>454910.30845096771</v>
      </c>
      <c r="AG125" s="5">
        <f t="shared" si="99"/>
        <v>3032.7353896731183</v>
      </c>
      <c r="AH125" s="5">
        <f t="shared" si="65"/>
        <v>27711.314585087039</v>
      </c>
      <c r="AI125" s="5">
        <f t="shared" si="81"/>
        <v>24678.57919541392</v>
      </c>
      <c r="AJ125" s="5">
        <f t="shared" si="82"/>
        <v>430231.7292555538</v>
      </c>
      <c r="AK125" s="5">
        <f t="shared" si="83"/>
        <v>1311012.1086361727</v>
      </c>
      <c r="AL125" s="5">
        <f t="shared" si="84"/>
        <v>3380780.3793806145</v>
      </c>
      <c r="AM125" s="13">
        <f t="shared" si="85"/>
        <v>11</v>
      </c>
    </row>
    <row r="126" spans="1:39" x14ac:dyDescent="0.35">
      <c r="A126">
        <f t="shared" si="86"/>
        <v>123</v>
      </c>
      <c r="B126">
        <f t="shared" si="87"/>
        <v>2037</v>
      </c>
      <c r="C126">
        <f t="shared" si="88"/>
        <v>3</v>
      </c>
      <c r="D126" s="5">
        <f t="shared" si="68"/>
        <v>504496.18483269023</v>
      </c>
      <c r="E126" s="5">
        <f>IFERROR(IF($A126="", "", _xlfn.XLOOKUP(A126,Offset!A:A,Offset!I:I, 0)), 0)</f>
        <v>11451.071271733083</v>
      </c>
      <c r="F126" s="5">
        <f t="shared" si="66"/>
        <v>493045.11356095714</v>
      </c>
      <c r="G126" s="5">
        <f t="shared" si="89"/>
        <v>3286.9674237397144</v>
      </c>
      <c r="H126" s="5">
        <f t="shared" si="90"/>
        <v>27061.314585087039</v>
      </c>
      <c r="I126" s="5">
        <f t="shared" si="67"/>
        <v>23774.347161347323</v>
      </c>
      <c r="J126" s="5">
        <f t="shared" si="69"/>
        <v>480721.83767134289</v>
      </c>
      <c r="K126" s="5">
        <f t="shared" si="91"/>
        <v>76.340475144887222</v>
      </c>
      <c r="L126" s="5">
        <f t="shared" si="70"/>
        <v>27049.308434305709</v>
      </c>
      <c r="M126" s="5">
        <f t="shared" si="71"/>
        <v>1309263.5316370516</v>
      </c>
      <c r="N126" s="5">
        <f t="shared" si="72"/>
        <v>3328541.6939657019</v>
      </c>
      <c r="O126" s="13">
        <f t="shared" si="73"/>
        <v>11</v>
      </c>
      <c r="Q126">
        <f t="shared" si="92"/>
        <v>123</v>
      </c>
      <c r="R126">
        <f t="shared" si="93"/>
        <v>2037</v>
      </c>
      <c r="S126">
        <f t="shared" si="94"/>
        <v>3</v>
      </c>
      <c r="T126" s="5">
        <f t="shared" si="74"/>
        <v>552041.80286959012</v>
      </c>
      <c r="U126" s="5">
        <f t="shared" si="95"/>
        <v>3680.2786857972678</v>
      </c>
      <c r="V126" s="5">
        <f t="shared" si="60"/>
        <v>27061.314585087039</v>
      </c>
      <c r="W126" s="5">
        <f t="shared" si="75"/>
        <v>23381.035899289771</v>
      </c>
      <c r="X126" s="5">
        <f t="shared" si="76"/>
        <v>528660.76697030035</v>
      </c>
      <c r="Y126" s="5">
        <f t="shared" si="77"/>
        <v>1357202.4609360062</v>
      </c>
      <c r="Z126" s="5">
        <f t="shared" si="78"/>
        <v>3328541.6939657019</v>
      </c>
      <c r="AA126" s="13">
        <f t="shared" si="79"/>
        <v>11</v>
      </c>
      <c r="AC126">
        <f t="shared" si="96"/>
        <v>123</v>
      </c>
      <c r="AD126">
        <f t="shared" si="97"/>
        <v>2037</v>
      </c>
      <c r="AE126">
        <f t="shared" si="98"/>
        <v>3</v>
      </c>
      <c r="AF126" s="5">
        <f t="shared" si="80"/>
        <v>430231.7292555538</v>
      </c>
      <c r="AG126" s="5">
        <f t="shared" si="99"/>
        <v>2868.2115283703588</v>
      </c>
      <c r="AH126" s="5">
        <f t="shared" si="65"/>
        <v>27711.314585087039</v>
      </c>
      <c r="AI126" s="5">
        <f t="shared" si="81"/>
        <v>24843.103056716682</v>
      </c>
      <c r="AJ126" s="5">
        <f t="shared" si="82"/>
        <v>405388.62619883713</v>
      </c>
      <c r="AK126" s="5">
        <f t="shared" si="83"/>
        <v>1313880.3201645431</v>
      </c>
      <c r="AL126" s="5">
        <f t="shared" si="84"/>
        <v>3408491.6939657014</v>
      </c>
      <c r="AM126" s="13">
        <f t="shared" si="85"/>
        <v>11</v>
      </c>
    </row>
    <row r="127" spans="1:39" x14ac:dyDescent="0.35">
      <c r="A127">
        <f t="shared" si="86"/>
        <v>124</v>
      </c>
      <c r="B127">
        <f t="shared" si="87"/>
        <v>2037</v>
      </c>
      <c r="C127">
        <f t="shared" si="88"/>
        <v>4</v>
      </c>
      <c r="D127" s="5">
        <f t="shared" si="68"/>
        <v>480721.83767134289</v>
      </c>
      <c r="E127" s="5">
        <f>IFERROR(IF($A127="", "", _xlfn.XLOOKUP(A127,Offset!A:A,Offset!I:I, 0)), 0)</f>
        <v>15268.095028977443</v>
      </c>
      <c r="F127" s="5">
        <f t="shared" si="66"/>
        <v>465453.74264236545</v>
      </c>
      <c r="G127" s="5">
        <f t="shared" si="89"/>
        <v>3103.0249509491032</v>
      </c>
      <c r="H127" s="5">
        <f t="shared" si="90"/>
        <v>27061.314585087039</v>
      </c>
      <c r="I127" s="5">
        <f t="shared" si="67"/>
        <v>23958.289634137935</v>
      </c>
      <c r="J127" s="5">
        <f t="shared" si="69"/>
        <v>456763.54803720495</v>
      </c>
      <c r="K127" s="5">
        <f t="shared" si="91"/>
        <v>101.78730019318296</v>
      </c>
      <c r="L127" s="5">
        <f t="shared" si="70"/>
        <v>27151.095734498893</v>
      </c>
      <c r="M127" s="5">
        <f t="shared" si="71"/>
        <v>1312366.5565880006</v>
      </c>
      <c r="N127" s="5">
        <f t="shared" si="72"/>
        <v>3355603.0085507887</v>
      </c>
      <c r="O127" s="13">
        <f t="shared" si="73"/>
        <v>11</v>
      </c>
      <c r="Q127">
        <f t="shared" si="92"/>
        <v>124</v>
      </c>
      <c r="R127">
        <f t="shared" si="93"/>
        <v>2037</v>
      </c>
      <c r="S127">
        <f t="shared" si="94"/>
        <v>4</v>
      </c>
      <c r="T127" s="5">
        <f t="shared" si="74"/>
        <v>528660.76697030035</v>
      </c>
      <c r="U127" s="5">
        <f t="shared" si="95"/>
        <v>3524.4051131353358</v>
      </c>
      <c r="V127" s="5">
        <f t="shared" si="60"/>
        <v>27061.314585087039</v>
      </c>
      <c r="W127" s="5">
        <f t="shared" si="75"/>
        <v>23536.909471951702</v>
      </c>
      <c r="X127" s="5">
        <f t="shared" si="76"/>
        <v>505123.85749834863</v>
      </c>
      <c r="Y127" s="5">
        <f t="shared" si="77"/>
        <v>1360726.8660491414</v>
      </c>
      <c r="Z127" s="5">
        <f t="shared" si="78"/>
        <v>3355603.0085507887</v>
      </c>
      <c r="AA127" s="13">
        <f t="shared" si="79"/>
        <v>11</v>
      </c>
      <c r="AC127">
        <f t="shared" si="96"/>
        <v>124</v>
      </c>
      <c r="AD127">
        <f t="shared" si="97"/>
        <v>2037</v>
      </c>
      <c r="AE127">
        <f t="shared" si="98"/>
        <v>4</v>
      </c>
      <c r="AF127" s="5">
        <f t="shared" si="80"/>
        <v>405388.62619883713</v>
      </c>
      <c r="AG127" s="5">
        <f t="shared" si="99"/>
        <v>2702.5908413255811</v>
      </c>
      <c r="AH127" s="5">
        <f t="shared" si="65"/>
        <v>27711.314585087039</v>
      </c>
      <c r="AI127" s="5">
        <f t="shared" si="81"/>
        <v>25008.723743761457</v>
      </c>
      <c r="AJ127" s="5">
        <f t="shared" si="82"/>
        <v>380379.90245507564</v>
      </c>
      <c r="AK127" s="5">
        <f t="shared" si="83"/>
        <v>1316582.9110058686</v>
      </c>
      <c r="AL127" s="5">
        <f t="shared" si="84"/>
        <v>3436203.0085507883</v>
      </c>
      <c r="AM127" s="13">
        <f t="shared" si="85"/>
        <v>11</v>
      </c>
    </row>
    <row r="128" spans="1:39" x14ac:dyDescent="0.35">
      <c r="A128">
        <f t="shared" si="86"/>
        <v>125</v>
      </c>
      <c r="B128">
        <f t="shared" si="87"/>
        <v>2037</v>
      </c>
      <c r="C128">
        <f t="shared" si="88"/>
        <v>5</v>
      </c>
      <c r="D128" s="5">
        <f t="shared" si="68"/>
        <v>456763.54803720495</v>
      </c>
      <c r="E128" s="5">
        <f>IFERROR(IF($A128="", "", _xlfn.XLOOKUP(A128,Offset!A:A,Offset!I:I, 0)), 0)</f>
        <v>19085.118786221803</v>
      </c>
      <c r="F128" s="5">
        <f t="shared" si="66"/>
        <v>437678.42925098317</v>
      </c>
      <c r="G128" s="5">
        <f t="shared" si="89"/>
        <v>2917.8561950065546</v>
      </c>
      <c r="H128" s="5">
        <f t="shared" si="90"/>
        <v>27061.314585087039</v>
      </c>
      <c r="I128" s="5">
        <f t="shared" si="67"/>
        <v>24143.458390080483</v>
      </c>
      <c r="J128" s="5">
        <f t="shared" si="69"/>
        <v>432620.08964712446</v>
      </c>
      <c r="K128" s="5">
        <f t="shared" si="91"/>
        <v>127.23412524147869</v>
      </c>
      <c r="L128" s="5">
        <f t="shared" si="70"/>
        <v>27278.32985974037</v>
      </c>
      <c r="M128" s="5">
        <f t="shared" si="71"/>
        <v>1315284.4127830071</v>
      </c>
      <c r="N128" s="5">
        <f t="shared" si="72"/>
        <v>3382664.3231358756</v>
      </c>
      <c r="O128" s="13">
        <f t="shared" si="73"/>
        <v>11</v>
      </c>
      <c r="Q128">
        <f t="shared" si="92"/>
        <v>125</v>
      </c>
      <c r="R128">
        <f t="shared" si="93"/>
        <v>2037</v>
      </c>
      <c r="S128">
        <f t="shared" si="94"/>
        <v>5</v>
      </c>
      <c r="T128" s="5">
        <f t="shared" si="74"/>
        <v>505123.85749834863</v>
      </c>
      <c r="U128" s="5">
        <f t="shared" si="95"/>
        <v>3367.4923833223243</v>
      </c>
      <c r="V128" s="5">
        <f t="shared" si="60"/>
        <v>27061.314585087039</v>
      </c>
      <c r="W128" s="5">
        <f t="shared" si="75"/>
        <v>23693.822201764713</v>
      </c>
      <c r="X128" s="5">
        <f t="shared" si="76"/>
        <v>481430.0352965839</v>
      </c>
      <c r="Y128" s="5">
        <f t="shared" si="77"/>
        <v>1364094.3584324636</v>
      </c>
      <c r="Z128" s="5">
        <f t="shared" si="78"/>
        <v>3382664.3231358756</v>
      </c>
      <c r="AA128" s="13">
        <f t="shared" si="79"/>
        <v>11</v>
      </c>
      <c r="AC128">
        <f t="shared" si="96"/>
        <v>125</v>
      </c>
      <c r="AD128">
        <f t="shared" si="97"/>
        <v>2037</v>
      </c>
      <c r="AE128">
        <f t="shared" si="98"/>
        <v>5</v>
      </c>
      <c r="AF128" s="5">
        <f t="shared" si="80"/>
        <v>380379.90245507564</v>
      </c>
      <c r="AG128" s="5">
        <f t="shared" si="99"/>
        <v>2535.8660163671711</v>
      </c>
      <c r="AH128" s="5">
        <f t="shared" si="65"/>
        <v>27711.314585087039</v>
      </c>
      <c r="AI128" s="5">
        <f t="shared" si="81"/>
        <v>25175.448568719868</v>
      </c>
      <c r="AJ128" s="5">
        <f t="shared" si="82"/>
        <v>355204.4538863558</v>
      </c>
      <c r="AK128" s="5">
        <f t="shared" si="83"/>
        <v>1319118.7770222358</v>
      </c>
      <c r="AL128" s="5">
        <f t="shared" si="84"/>
        <v>3463914.3231358752</v>
      </c>
      <c r="AM128" s="13">
        <f t="shared" si="85"/>
        <v>11</v>
      </c>
    </row>
    <row r="129" spans="1:39" x14ac:dyDescent="0.35">
      <c r="A129">
        <f t="shared" si="86"/>
        <v>126</v>
      </c>
      <c r="B129">
        <f t="shared" si="87"/>
        <v>2037</v>
      </c>
      <c r="C129">
        <f t="shared" si="88"/>
        <v>6</v>
      </c>
      <c r="D129" s="5">
        <f t="shared" si="68"/>
        <v>432620.08964712446</v>
      </c>
      <c r="E129" s="5">
        <f>IFERROR(IF($A129="", "", _xlfn.XLOOKUP(A129,Offset!A:A,Offset!I:I, 0)), 0)</f>
        <v>22902.142543466165</v>
      </c>
      <c r="F129" s="5">
        <f t="shared" si="66"/>
        <v>409717.94710365828</v>
      </c>
      <c r="G129" s="5">
        <f t="shared" si="89"/>
        <v>2731.4529806910555</v>
      </c>
      <c r="H129" s="5">
        <f t="shared" si="90"/>
        <v>27061.314585087039</v>
      </c>
      <c r="I129" s="5">
        <f t="shared" si="67"/>
        <v>24329.861604395985</v>
      </c>
      <c r="J129" s="5">
        <f t="shared" si="69"/>
        <v>408290.2280427285</v>
      </c>
      <c r="K129" s="5">
        <f t="shared" si="91"/>
        <v>152.68095028977444</v>
      </c>
      <c r="L129" s="5">
        <f t="shared" si="70"/>
        <v>27431.010810030144</v>
      </c>
      <c r="M129" s="5">
        <f t="shared" si="71"/>
        <v>1318015.8657636982</v>
      </c>
      <c r="N129" s="5">
        <f t="shared" si="72"/>
        <v>3409725.6377209625</v>
      </c>
      <c r="O129" s="13">
        <f t="shared" si="73"/>
        <v>11</v>
      </c>
      <c r="Q129">
        <f t="shared" si="92"/>
        <v>126</v>
      </c>
      <c r="R129">
        <f t="shared" si="93"/>
        <v>2037</v>
      </c>
      <c r="S129">
        <f t="shared" si="94"/>
        <v>6</v>
      </c>
      <c r="T129" s="5">
        <f t="shared" si="74"/>
        <v>481430.0352965839</v>
      </c>
      <c r="U129" s="5">
        <f t="shared" si="95"/>
        <v>3209.533568643893</v>
      </c>
      <c r="V129" s="5">
        <f t="shared" si="60"/>
        <v>27061.314585087039</v>
      </c>
      <c r="W129" s="5">
        <f t="shared" si="75"/>
        <v>23851.781016443147</v>
      </c>
      <c r="X129" s="5">
        <f t="shared" si="76"/>
        <v>457578.25428014074</v>
      </c>
      <c r="Y129" s="5">
        <f t="shared" si="77"/>
        <v>1367303.8920011076</v>
      </c>
      <c r="Z129" s="5">
        <f t="shared" si="78"/>
        <v>3409725.6377209625</v>
      </c>
      <c r="AA129" s="13">
        <f t="shared" si="79"/>
        <v>11</v>
      </c>
      <c r="AC129">
        <f t="shared" si="96"/>
        <v>126</v>
      </c>
      <c r="AD129">
        <f t="shared" si="97"/>
        <v>2037</v>
      </c>
      <c r="AE129">
        <f t="shared" si="98"/>
        <v>6</v>
      </c>
      <c r="AF129" s="5">
        <f t="shared" si="80"/>
        <v>355204.4538863558</v>
      </c>
      <c r="AG129" s="5">
        <f t="shared" si="99"/>
        <v>2368.0296925757057</v>
      </c>
      <c r="AH129" s="5">
        <f t="shared" si="65"/>
        <v>27711.314585087039</v>
      </c>
      <c r="AI129" s="5">
        <f t="shared" si="81"/>
        <v>25343.284892511332</v>
      </c>
      <c r="AJ129" s="5">
        <f t="shared" si="82"/>
        <v>329861.16899384448</v>
      </c>
      <c r="AK129" s="5">
        <f t="shared" si="83"/>
        <v>1321486.8067148116</v>
      </c>
      <c r="AL129" s="5">
        <f t="shared" si="84"/>
        <v>3491625.6377209621</v>
      </c>
      <c r="AM129" s="13">
        <f t="shared" si="85"/>
        <v>11</v>
      </c>
    </row>
    <row r="130" spans="1:39" x14ac:dyDescent="0.35">
      <c r="A130">
        <f t="shared" si="86"/>
        <v>127</v>
      </c>
      <c r="B130">
        <f t="shared" si="87"/>
        <v>2037</v>
      </c>
      <c r="C130">
        <f t="shared" si="88"/>
        <v>7</v>
      </c>
      <c r="D130" s="5">
        <f t="shared" si="68"/>
        <v>408290.2280427285</v>
      </c>
      <c r="E130" s="5">
        <f>IFERROR(IF($A130="", "", _xlfn.XLOOKUP(A130,Offset!A:A,Offset!I:I, 0)), 0)</f>
        <v>26719.166300710527</v>
      </c>
      <c r="F130" s="5">
        <f t="shared" si="66"/>
        <v>381571.06174201798</v>
      </c>
      <c r="G130" s="5">
        <f t="shared" si="89"/>
        <v>2543.8070782801201</v>
      </c>
      <c r="H130" s="5">
        <f t="shared" si="90"/>
        <v>27061.314585087039</v>
      </c>
      <c r="I130" s="5">
        <f t="shared" si="67"/>
        <v>24517.50750680692</v>
      </c>
      <c r="J130" s="5">
        <f t="shared" si="69"/>
        <v>383772.72053592157</v>
      </c>
      <c r="K130" s="5">
        <f t="shared" si="91"/>
        <v>178.12777533807019</v>
      </c>
      <c r="L130" s="5">
        <f t="shared" si="70"/>
        <v>27609.138585368215</v>
      </c>
      <c r="M130" s="5">
        <f t="shared" si="71"/>
        <v>1320559.6728419783</v>
      </c>
      <c r="N130" s="5">
        <f t="shared" si="72"/>
        <v>3436786.9523060494</v>
      </c>
      <c r="O130" s="13">
        <f t="shared" si="73"/>
        <v>11</v>
      </c>
      <c r="Q130">
        <f t="shared" si="92"/>
        <v>127</v>
      </c>
      <c r="R130">
        <f t="shared" si="93"/>
        <v>2037</v>
      </c>
      <c r="S130">
        <f t="shared" si="94"/>
        <v>7</v>
      </c>
      <c r="T130" s="5">
        <f t="shared" si="74"/>
        <v>457578.25428014074</v>
      </c>
      <c r="U130" s="5">
        <f t="shared" si="95"/>
        <v>3050.5216952009387</v>
      </c>
      <c r="V130" s="5">
        <f t="shared" si="60"/>
        <v>27061.314585087039</v>
      </c>
      <c r="W130" s="5">
        <f t="shared" si="75"/>
        <v>24010.792889886099</v>
      </c>
      <c r="X130" s="5">
        <f t="shared" si="76"/>
        <v>433567.46139025467</v>
      </c>
      <c r="Y130" s="5">
        <f t="shared" si="77"/>
        <v>1370354.4136963086</v>
      </c>
      <c r="Z130" s="5">
        <f t="shared" si="78"/>
        <v>3436786.9523060494</v>
      </c>
      <c r="AA130" s="13">
        <f t="shared" si="79"/>
        <v>11</v>
      </c>
      <c r="AC130">
        <f t="shared" si="96"/>
        <v>127</v>
      </c>
      <c r="AD130">
        <f t="shared" si="97"/>
        <v>2037</v>
      </c>
      <c r="AE130">
        <f t="shared" si="98"/>
        <v>7</v>
      </c>
      <c r="AF130" s="5">
        <f t="shared" si="80"/>
        <v>329861.16899384448</v>
      </c>
      <c r="AG130" s="5">
        <f t="shared" si="99"/>
        <v>2199.0744599589634</v>
      </c>
      <c r="AH130" s="5">
        <f t="shared" si="65"/>
        <v>27711.314585087039</v>
      </c>
      <c r="AI130" s="5">
        <f t="shared" si="81"/>
        <v>25512.240125128075</v>
      </c>
      <c r="AJ130" s="5">
        <f t="shared" si="82"/>
        <v>304348.92886871641</v>
      </c>
      <c r="AK130" s="5">
        <f t="shared" si="83"/>
        <v>1323685.8811747706</v>
      </c>
      <c r="AL130" s="5">
        <f t="shared" si="84"/>
        <v>3519336.9523060489</v>
      </c>
      <c r="AM130" s="13">
        <f t="shared" si="85"/>
        <v>11</v>
      </c>
    </row>
    <row r="131" spans="1:39" x14ac:dyDescent="0.35">
      <c r="A131">
        <f t="shared" si="86"/>
        <v>128</v>
      </c>
      <c r="B131">
        <f t="shared" si="87"/>
        <v>2037</v>
      </c>
      <c r="C131">
        <f t="shared" si="88"/>
        <v>8</v>
      </c>
      <c r="D131" s="5">
        <f t="shared" si="68"/>
        <v>383772.72053592157</v>
      </c>
      <c r="E131" s="5">
        <f>IFERROR(IF($A131="", "", _xlfn.XLOOKUP(A131,Offset!A:A,Offset!I:I, 0)), 0)</f>
        <v>30536.190057954889</v>
      </c>
      <c r="F131" s="5">
        <f t="shared" si="66"/>
        <v>353236.53047796671</v>
      </c>
      <c r="G131" s="5">
        <f t="shared" si="89"/>
        <v>2354.910203186445</v>
      </c>
      <c r="H131" s="5">
        <f t="shared" si="90"/>
        <v>27061.314585087039</v>
      </c>
      <c r="I131" s="5">
        <f t="shared" si="67"/>
        <v>24706.404381900593</v>
      </c>
      <c r="J131" s="5">
        <f t="shared" si="69"/>
        <v>359066.31615402095</v>
      </c>
      <c r="K131" s="5">
        <f t="shared" si="91"/>
        <v>203.57460038636594</v>
      </c>
      <c r="L131" s="5">
        <f t="shared" si="70"/>
        <v>27812.713185754579</v>
      </c>
      <c r="M131" s="5">
        <f t="shared" si="71"/>
        <v>1322914.5830451646</v>
      </c>
      <c r="N131" s="5">
        <f t="shared" si="72"/>
        <v>3463848.2668911363</v>
      </c>
      <c r="O131" s="13">
        <f t="shared" si="73"/>
        <v>11</v>
      </c>
      <c r="Q131">
        <f t="shared" si="92"/>
        <v>128</v>
      </c>
      <c r="R131">
        <f t="shared" si="93"/>
        <v>2037</v>
      </c>
      <c r="S131">
        <f t="shared" si="94"/>
        <v>8</v>
      </c>
      <c r="T131" s="5">
        <f t="shared" si="74"/>
        <v>433567.46139025467</v>
      </c>
      <c r="U131" s="5">
        <f t="shared" si="95"/>
        <v>2890.4497426016978</v>
      </c>
      <c r="V131" s="5">
        <f t="shared" si="60"/>
        <v>27061.314585087039</v>
      </c>
      <c r="W131" s="5">
        <f t="shared" si="75"/>
        <v>24170.864842485342</v>
      </c>
      <c r="X131" s="5">
        <f t="shared" si="76"/>
        <v>409396.59654776932</v>
      </c>
      <c r="Y131" s="5">
        <f t="shared" si="77"/>
        <v>1373244.8634389103</v>
      </c>
      <c r="Z131" s="5">
        <f t="shared" si="78"/>
        <v>3463848.2668911363</v>
      </c>
      <c r="AA131" s="13">
        <f t="shared" si="79"/>
        <v>11</v>
      </c>
      <c r="AC131">
        <f t="shared" si="96"/>
        <v>128</v>
      </c>
      <c r="AD131">
        <f t="shared" si="97"/>
        <v>2037</v>
      </c>
      <c r="AE131">
        <f t="shared" si="98"/>
        <v>8</v>
      </c>
      <c r="AF131" s="5">
        <f t="shared" si="80"/>
        <v>304348.92886871641</v>
      </c>
      <c r="AG131" s="5">
        <f t="shared" si="99"/>
        <v>2028.9928591247763</v>
      </c>
      <c r="AH131" s="5">
        <f t="shared" si="65"/>
        <v>27711.314585087039</v>
      </c>
      <c r="AI131" s="5">
        <f t="shared" si="81"/>
        <v>25682.321725962262</v>
      </c>
      <c r="AJ131" s="5">
        <f t="shared" si="82"/>
        <v>278666.60714275413</v>
      </c>
      <c r="AK131" s="5">
        <f t="shared" si="83"/>
        <v>1325714.8740338953</v>
      </c>
      <c r="AL131" s="5">
        <f t="shared" si="84"/>
        <v>3547048.2668911358</v>
      </c>
      <c r="AM131" s="13">
        <f t="shared" si="85"/>
        <v>11</v>
      </c>
    </row>
    <row r="132" spans="1:39" x14ac:dyDescent="0.35">
      <c r="A132">
        <f t="shared" ref="A132:A219" si="100">IF(ROW()-3&lt;=TotalPeriods_Loan,ROW()-3,"")</f>
        <v>129</v>
      </c>
      <c r="B132">
        <f t="shared" ref="B132:B219" si="101">IF($A132="", "", YEAR(StartYear) + INT(($A132-1)/PPY_Loan))</f>
        <v>2037</v>
      </c>
      <c r="C132">
        <f t="shared" ref="C132:C159" si="102">IF($A132="", "", MOD(A132-1, PPY_Loan)+1)</f>
        <v>9</v>
      </c>
      <c r="D132" s="5">
        <f t="shared" si="68"/>
        <v>359066.31615402095</v>
      </c>
      <c r="E132" s="5">
        <f>IFERROR(IF($A132="", "", _xlfn.XLOOKUP(A132,Offset!A:A,Offset!I:I, 0)), 0)</f>
        <v>34353.213815199248</v>
      </c>
      <c r="F132" s="5">
        <f t="shared" si="66"/>
        <v>324713.10233882169</v>
      </c>
      <c r="G132" s="5">
        <f t="shared" ref="G132:G159" si="103">IFERROR(IF($A132="", "", F132*(LoanRate/PPY_Loan)), 0)</f>
        <v>2164.7540155921447</v>
      </c>
      <c r="H132" s="5">
        <f t="shared" ref="H132:H159" si="104">IFERROR(IF($A132="", "", IF(D132&lt;=0, 0, MIN(StdPayment, D132+G132))), 0)</f>
        <v>27061.314585087039</v>
      </c>
      <c r="I132" s="5">
        <f t="shared" si="67"/>
        <v>24896.560569494894</v>
      </c>
      <c r="J132" s="5">
        <f t="shared" si="69"/>
        <v>334169.75558452605</v>
      </c>
      <c r="K132" s="5">
        <f t="shared" ref="K132:K159" si="105">IFERROR(IF($A132="", "", IF(D132&lt;=0, 0, E132*(LoanRate/PPY_Loan))), 0)</f>
        <v>229.02142543466167</v>
      </c>
      <c r="L132" s="5">
        <f t="shared" si="70"/>
        <v>28041.73461118924</v>
      </c>
      <c r="M132" s="5">
        <f t="shared" si="71"/>
        <v>1325079.3370607567</v>
      </c>
      <c r="N132" s="5">
        <f t="shared" si="72"/>
        <v>3490909.5814762232</v>
      </c>
      <c r="O132" s="13">
        <f t="shared" si="73"/>
        <v>11</v>
      </c>
      <c r="Q132">
        <f t="shared" ref="Q132:Q219" si="106">IF(ROW()-3&lt;=TotalPeriods_Loan,ROW()-3,"")</f>
        <v>129</v>
      </c>
      <c r="R132">
        <f t="shared" ref="R132:R219" si="107">IF($Q132="", "", YEAR(StartYear) + INT(($Q132-1)/PPY_Loan))</f>
        <v>2037</v>
      </c>
      <c r="S132">
        <f t="shared" ref="S132:S159" si="108">IF($Q132="", "", MOD(Q132-1, PPY_Loan)+1)</f>
        <v>9</v>
      </c>
      <c r="T132" s="5">
        <f t="shared" si="74"/>
        <v>409396.59654776932</v>
      </c>
      <c r="U132" s="5">
        <f t="shared" ref="U132:U159" si="109">IFERROR(IF($Q132="", "", T132*(LoanRate/PPY_Loan)), 0)</f>
        <v>2729.3106436517955</v>
      </c>
      <c r="V132" s="5">
        <f t="shared" ref="V132:V183" si="110">IFERROR(IF($Q132="", "", IF(T132&lt;=0, 0, MIN(StdPayment, T132+U132))), 0)</f>
        <v>27061.314585087039</v>
      </c>
      <c r="W132" s="5">
        <f t="shared" si="75"/>
        <v>24332.003941435243</v>
      </c>
      <c r="X132" s="5">
        <f t="shared" si="76"/>
        <v>385064.59260633407</v>
      </c>
      <c r="Y132" s="5">
        <f t="shared" si="77"/>
        <v>1375974.1740825621</v>
      </c>
      <c r="Z132" s="5">
        <f t="shared" si="78"/>
        <v>3490909.5814762232</v>
      </c>
      <c r="AA132" s="13">
        <f t="shared" si="79"/>
        <v>11</v>
      </c>
      <c r="AC132">
        <f t="shared" ref="AC132:AC219" si="111">IF(ROW()-3&lt;=TotalPeriods_Loan,ROW()-3,"")</f>
        <v>129</v>
      </c>
      <c r="AD132">
        <f t="shared" ref="AD132:AD219" si="112">IF($AC132="", "", YEAR(StartYear) + INT(($AC132-1)/PPY_Loan))</f>
        <v>2037</v>
      </c>
      <c r="AE132">
        <f t="shared" ref="AE132:AE159" si="113">IF($AC132="", "", MOD(AC132-1, PPY_Loan)+1)</f>
        <v>9</v>
      </c>
      <c r="AF132" s="5">
        <f t="shared" si="80"/>
        <v>278666.60714275413</v>
      </c>
      <c r="AG132" s="5">
        <f t="shared" ref="AG132:AG159" si="114">IFERROR(IF($AC132="", "", AF132*(LoanRate/PPY_Loan)), 0)</f>
        <v>1857.7773809516943</v>
      </c>
      <c r="AH132" s="5">
        <f t="shared" ref="AH132:AH183" si="115">IFERROR(IF($AC132="", "", IF(AF132&lt;=0, 0, MIN(StdPayment+IF(ISBLANK(ExtraRepay),0,ExtraRepay), AF132+AG132))), 0)</f>
        <v>27711.314585087039</v>
      </c>
      <c r="AI132" s="5">
        <f t="shared" si="81"/>
        <v>25853.537204135344</v>
      </c>
      <c r="AJ132" s="5">
        <f t="shared" si="82"/>
        <v>252813.06993861878</v>
      </c>
      <c r="AK132" s="5">
        <f t="shared" si="83"/>
        <v>1327572.651414847</v>
      </c>
      <c r="AL132" s="5">
        <f t="shared" si="84"/>
        <v>3574759.5814762227</v>
      </c>
      <c r="AM132" s="13">
        <f t="shared" si="85"/>
        <v>11</v>
      </c>
    </row>
    <row r="133" spans="1:39" x14ac:dyDescent="0.35">
      <c r="A133">
        <f t="shared" si="100"/>
        <v>130</v>
      </c>
      <c r="B133">
        <f t="shared" si="101"/>
        <v>2037</v>
      </c>
      <c r="C133">
        <f t="shared" si="102"/>
        <v>10</v>
      </c>
      <c r="D133" s="5">
        <f t="shared" si="68"/>
        <v>334169.75558452605</v>
      </c>
      <c r="E133" s="5">
        <f>IFERROR(IF($A133="", "", _xlfn.XLOOKUP(A133,Offset!A:A,Offset!I:I, 0)), 0)</f>
        <v>38170.237572443606</v>
      </c>
      <c r="F133" s="5">
        <f t="shared" ref="F133:F159" si="116">IFERROR(IF($A133="", "", MAX(0, D133 - E133)), 0)</f>
        <v>295999.51801208244</v>
      </c>
      <c r="G133" s="5">
        <f t="shared" si="103"/>
        <v>1973.3301200805497</v>
      </c>
      <c r="H133" s="5">
        <f t="shared" si="104"/>
        <v>27061.314585087039</v>
      </c>
      <c r="I133" s="5">
        <f t="shared" ref="I133:I159" si="117">IFERROR(IF($A133="", "", IF(D133&lt;=0, 0,H133-G133)), 0)</f>
        <v>25087.984465006488</v>
      </c>
      <c r="J133" s="5">
        <f t="shared" si="69"/>
        <v>309081.77111951954</v>
      </c>
      <c r="K133" s="5">
        <f t="shared" si="105"/>
        <v>254.46825048295739</v>
      </c>
      <c r="L133" s="5">
        <f t="shared" si="70"/>
        <v>28296.202861672198</v>
      </c>
      <c r="M133" s="5">
        <f t="shared" si="71"/>
        <v>1327052.6671808374</v>
      </c>
      <c r="N133" s="5">
        <f t="shared" si="72"/>
        <v>3517970.8960613101</v>
      </c>
      <c r="O133" s="13">
        <f t="shared" si="73"/>
        <v>11</v>
      </c>
      <c r="Q133">
        <f t="shared" si="106"/>
        <v>130</v>
      </c>
      <c r="R133">
        <f t="shared" si="107"/>
        <v>2037</v>
      </c>
      <c r="S133">
        <f t="shared" si="108"/>
        <v>10</v>
      </c>
      <c r="T133" s="5">
        <f t="shared" si="74"/>
        <v>385064.59260633407</v>
      </c>
      <c r="U133" s="5">
        <f t="shared" si="109"/>
        <v>2567.0972840422273</v>
      </c>
      <c r="V133" s="5">
        <f t="shared" si="110"/>
        <v>27061.314585087039</v>
      </c>
      <c r="W133" s="5">
        <f t="shared" si="75"/>
        <v>24494.21730104481</v>
      </c>
      <c r="X133" s="5">
        <f t="shared" si="76"/>
        <v>360570.37530528929</v>
      </c>
      <c r="Y133" s="5">
        <f t="shared" si="77"/>
        <v>1378541.2713666044</v>
      </c>
      <c r="Z133" s="5">
        <f t="shared" si="78"/>
        <v>3517970.8960613101</v>
      </c>
      <c r="AA133" s="13">
        <f t="shared" si="79"/>
        <v>11</v>
      </c>
      <c r="AC133">
        <f t="shared" si="111"/>
        <v>130</v>
      </c>
      <c r="AD133">
        <f t="shared" si="112"/>
        <v>2037</v>
      </c>
      <c r="AE133">
        <f t="shared" si="113"/>
        <v>10</v>
      </c>
      <c r="AF133" s="5">
        <f t="shared" si="80"/>
        <v>252813.06993861878</v>
      </c>
      <c r="AG133" s="5">
        <f t="shared" si="114"/>
        <v>1685.4204662574587</v>
      </c>
      <c r="AH133" s="5">
        <f t="shared" si="115"/>
        <v>27711.314585087039</v>
      </c>
      <c r="AI133" s="5">
        <f t="shared" si="81"/>
        <v>26025.894118829579</v>
      </c>
      <c r="AJ133" s="5">
        <f t="shared" si="82"/>
        <v>226787.1758197892</v>
      </c>
      <c r="AK133" s="5">
        <f t="shared" si="83"/>
        <v>1329258.0718811045</v>
      </c>
      <c r="AL133" s="5">
        <f t="shared" si="84"/>
        <v>3602470.8960613096</v>
      </c>
      <c r="AM133" s="13">
        <f t="shared" si="85"/>
        <v>11</v>
      </c>
    </row>
    <row r="134" spans="1:39" x14ac:dyDescent="0.35">
      <c r="A134">
        <f t="shared" si="100"/>
        <v>131</v>
      </c>
      <c r="B134">
        <f t="shared" si="101"/>
        <v>2037</v>
      </c>
      <c r="C134">
        <f t="shared" si="102"/>
        <v>11</v>
      </c>
      <c r="D134" s="5">
        <f t="shared" ref="D134:D159" si="118">IFERROR(IF($A134="", "",IF(J133&lt;=0, 0,J133)), 0)</f>
        <v>309081.77111951954</v>
      </c>
      <c r="E134" s="5">
        <f>IFERROR(IF($A134="", "", _xlfn.XLOOKUP(A134,Offset!A:A,Offset!I:I, 0)), 0)</f>
        <v>41987.261329687964</v>
      </c>
      <c r="F134" s="5">
        <f t="shared" si="116"/>
        <v>267094.50978983159</v>
      </c>
      <c r="G134" s="5">
        <f t="shared" si="103"/>
        <v>1780.6300652655441</v>
      </c>
      <c r="H134" s="5">
        <f t="shared" si="104"/>
        <v>27061.314585087039</v>
      </c>
      <c r="I134" s="5">
        <f t="shared" si="117"/>
        <v>25280.684519821494</v>
      </c>
      <c r="J134" s="5">
        <f t="shared" ref="J134:J159" si="119">IFERROR(IF($A134="", "", IF(D134&lt;=0, 0, MAX(0, D134-I134))), 0)</f>
        <v>283801.08659969806</v>
      </c>
      <c r="K134" s="5">
        <f t="shared" si="105"/>
        <v>279.91507553125314</v>
      </c>
      <c r="L134" s="5">
        <f t="shared" ref="L134:L159" si="120">IFERROR(IF($A134="", "", L133+K134), 0)</f>
        <v>28576.117937203453</v>
      </c>
      <c r="M134" s="5">
        <f t="shared" ref="M134:M159" si="121">IF($A134="","",M133+G134)</f>
        <v>1328833.2972461029</v>
      </c>
      <c r="N134" s="5">
        <f t="shared" ref="N134:N159" si="122">IF($A134="","",N133+H134)</f>
        <v>3545032.210646397</v>
      </c>
      <c r="O134" s="13">
        <f t="shared" ref="O134:O159" si="123">IF($A134="","",IF(B134&lt;&gt;B133,O133+1,O133))</f>
        <v>11</v>
      </c>
      <c r="Q134">
        <f t="shared" si="106"/>
        <v>131</v>
      </c>
      <c r="R134">
        <f t="shared" si="107"/>
        <v>2037</v>
      </c>
      <c r="S134">
        <f t="shared" si="108"/>
        <v>11</v>
      </c>
      <c r="T134" s="5">
        <f t="shared" ref="T134:T221" si="124">IFERROR(IF($Q134="", "",IF(X133&lt;=0, 0, X133)), 0)</f>
        <v>360570.37530528929</v>
      </c>
      <c r="U134" s="5">
        <f t="shared" si="109"/>
        <v>2403.802502035262</v>
      </c>
      <c r="V134" s="5">
        <f t="shared" si="110"/>
        <v>27061.314585087039</v>
      </c>
      <c r="W134" s="5">
        <f t="shared" ref="W134:W221" si="125">IFERROR(IF($Q134="", "", IF(T134&lt;=0, 0, V134-U134)), 0)</f>
        <v>24657.512083051777</v>
      </c>
      <c r="X134" s="5">
        <f t="shared" ref="X134:X221" si="126">IFERROR(IF($Q134="", "", IF(T134&lt;=0, 0, MAX(0, T134-W134))), 0)</f>
        <v>335912.8632222375</v>
      </c>
      <c r="Y134" s="5">
        <f t="shared" ref="Y134:Y159" si="127">IF($Q134="","",Y133+U134)</f>
        <v>1380945.0738686395</v>
      </c>
      <c r="Z134" s="5">
        <f t="shared" ref="Z134:Z159" si="128">IF($Q134="","",Z133+V134)</f>
        <v>3545032.210646397</v>
      </c>
      <c r="AA134" s="13">
        <f t="shared" ref="AA134:AA159" si="129">IF($Q134="","",IF(R134&lt;&gt;R133,AA133+1,AA133))</f>
        <v>11</v>
      </c>
      <c r="AC134">
        <f t="shared" si="111"/>
        <v>131</v>
      </c>
      <c r="AD134">
        <f t="shared" si="112"/>
        <v>2037</v>
      </c>
      <c r="AE134">
        <f t="shared" si="113"/>
        <v>11</v>
      </c>
      <c r="AF134" s="5">
        <f t="shared" ref="AF134:AF221" si="130">IFERROR(IF($AC134="", "",IF(AJ133&lt;=0, 0, AJ133)), 0)</f>
        <v>226787.1758197892</v>
      </c>
      <c r="AG134" s="5">
        <f t="shared" si="114"/>
        <v>1511.9145054652615</v>
      </c>
      <c r="AH134" s="5">
        <f t="shared" si="115"/>
        <v>27711.314585087039</v>
      </c>
      <c r="AI134" s="5">
        <f t="shared" ref="AI134:AI221" si="131">IFERROR(IF($AC134="", "", IF(AF134&lt;=0, 0, AH134-AG134)), 0)</f>
        <v>26199.400079621777</v>
      </c>
      <c r="AJ134" s="5">
        <f t="shared" ref="AJ134:AJ221" si="132">IFERROR(IF($AC134="", "", IF(AF134&lt;=0, 0, MAX(0, AF134-AI134))), 0)</f>
        <v>200587.77574016742</v>
      </c>
      <c r="AK134" s="5">
        <f t="shared" ref="AK134:AK159" si="133">IF($AC134="","",AK133+AG134)</f>
        <v>1330769.9863865697</v>
      </c>
      <c r="AL134" s="5">
        <f t="shared" ref="AL134:AL159" si="134">IF($AC134="","",AL133+AH134)</f>
        <v>3630182.2106463965</v>
      </c>
      <c r="AM134" s="13">
        <f t="shared" ref="AM134:AM159" si="135">IF($AC134="","",IF(AD134&lt;&gt;AD133,AM133+1,AM133))</f>
        <v>11</v>
      </c>
    </row>
    <row r="135" spans="1:39" x14ac:dyDescent="0.35">
      <c r="A135">
        <f t="shared" si="100"/>
        <v>132</v>
      </c>
      <c r="B135">
        <f t="shared" si="101"/>
        <v>2037</v>
      </c>
      <c r="C135">
        <f t="shared" si="102"/>
        <v>12</v>
      </c>
      <c r="D135" s="5">
        <f t="shared" si="118"/>
        <v>283801.08659969806</v>
      </c>
      <c r="E135" s="5">
        <f>IFERROR(IF($A135="", "", _xlfn.XLOOKUP(A135,Offset!A:A,Offset!I:I, 0)), 0)</f>
        <v>45804.285086932323</v>
      </c>
      <c r="F135" s="5">
        <f t="shared" si="116"/>
        <v>237996.80151276573</v>
      </c>
      <c r="G135" s="5">
        <f t="shared" si="103"/>
        <v>1586.6453434184382</v>
      </c>
      <c r="H135" s="5">
        <f t="shared" si="104"/>
        <v>27061.314585087039</v>
      </c>
      <c r="I135" s="5">
        <f t="shared" si="117"/>
        <v>25474.669241668602</v>
      </c>
      <c r="J135" s="5">
        <f t="shared" si="119"/>
        <v>258326.41735802946</v>
      </c>
      <c r="K135" s="5">
        <f t="shared" si="105"/>
        <v>305.36190057954883</v>
      </c>
      <c r="L135" s="5">
        <f t="shared" si="120"/>
        <v>28881.479837783001</v>
      </c>
      <c r="M135" s="5">
        <f t="shared" si="121"/>
        <v>1330419.9425895214</v>
      </c>
      <c r="N135" s="5">
        <f t="shared" si="122"/>
        <v>3572093.5252314839</v>
      </c>
      <c r="O135" s="13">
        <f t="shared" si="123"/>
        <v>11</v>
      </c>
      <c r="Q135">
        <f t="shared" si="106"/>
        <v>132</v>
      </c>
      <c r="R135">
        <f t="shared" si="107"/>
        <v>2037</v>
      </c>
      <c r="S135">
        <f t="shared" si="108"/>
        <v>12</v>
      </c>
      <c r="T135" s="5">
        <f t="shared" si="124"/>
        <v>335912.8632222375</v>
      </c>
      <c r="U135" s="5">
        <f t="shared" si="109"/>
        <v>2239.41908814825</v>
      </c>
      <c r="V135" s="5">
        <f t="shared" si="110"/>
        <v>27061.314585087039</v>
      </c>
      <c r="W135" s="5">
        <f t="shared" si="125"/>
        <v>24821.895496938789</v>
      </c>
      <c r="X135" s="5">
        <f t="shared" si="126"/>
        <v>311090.96772529872</v>
      </c>
      <c r="Y135" s="5">
        <f t="shared" si="127"/>
        <v>1383184.4929567878</v>
      </c>
      <c r="Z135" s="5">
        <f t="shared" si="128"/>
        <v>3572093.5252314839</v>
      </c>
      <c r="AA135" s="13">
        <f t="shared" si="129"/>
        <v>11</v>
      </c>
      <c r="AC135">
        <f t="shared" si="111"/>
        <v>132</v>
      </c>
      <c r="AD135">
        <f t="shared" si="112"/>
        <v>2037</v>
      </c>
      <c r="AE135">
        <f t="shared" si="113"/>
        <v>12</v>
      </c>
      <c r="AF135" s="5">
        <f t="shared" si="130"/>
        <v>200587.77574016742</v>
      </c>
      <c r="AG135" s="5">
        <f t="shared" si="114"/>
        <v>1337.2518382677829</v>
      </c>
      <c r="AH135" s="5">
        <f t="shared" si="115"/>
        <v>27711.314585087039</v>
      </c>
      <c r="AI135" s="5">
        <f t="shared" si="131"/>
        <v>26374.062746819254</v>
      </c>
      <c r="AJ135" s="5">
        <f t="shared" si="132"/>
        <v>174213.71299334816</v>
      </c>
      <c r="AK135" s="5">
        <f t="shared" si="133"/>
        <v>1332107.2382248375</v>
      </c>
      <c r="AL135" s="5">
        <f t="shared" si="134"/>
        <v>3657893.5252314834</v>
      </c>
      <c r="AM135" s="13">
        <f t="shared" si="135"/>
        <v>11</v>
      </c>
    </row>
    <row r="136" spans="1:39" x14ac:dyDescent="0.35">
      <c r="A136">
        <f t="shared" si="100"/>
        <v>133</v>
      </c>
      <c r="B136">
        <f t="shared" si="101"/>
        <v>2038</v>
      </c>
      <c r="C136">
        <f t="shared" si="102"/>
        <v>1</v>
      </c>
      <c r="D136" s="5">
        <f t="shared" si="118"/>
        <v>258326.41735802946</v>
      </c>
      <c r="E136" s="5">
        <f>IFERROR(IF($A136="", "", _xlfn.XLOOKUP(A136,Offset!A:A,Offset!I:I, 0)), 0)</f>
        <v>3792.122298870524</v>
      </c>
      <c r="F136" s="5">
        <f t="shared" si="116"/>
        <v>254534.29505915893</v>
      </c>
      <c r="G136" s="5">
        <f t="shared" si="103"/>
        <v>1696.895300394393</v>
      </c>
      <c r="H136" s="5">
        <f t="shared" si="104"/>
        <v>27061.314585087039</v>
      </c>
      <c r="I136" s="5">
        <f t="shared" si="117"/>
        <v>25364.419284692645</v>
      </c>
      <c r="J136" s="5">
        <f t="shared" si="119"/>
        <v>232961.99807333681</v>
      </c>
      <c r="K136" s="5">
        <f t="shared" si="105"/>
        <v>25.280815325803495</v>
      </c>
      <c r="L136" s="5">
        <f t="shared" si="120"/>
        <v>28906.760653108806</v>
      </c>
      <c r="M136" s="5">
        <f t="shared" si="121"/>
        <v>1332116.8378899158</v>
      </c>
      <c r="N136" s="5">
        <f t="shared" si="122"/>
        <v>3599154.8398165707</v>
      </c>
      <c r="O136" s="13">
        <f t="shared" si="123"/>
        <v>12</v>
      </c>
      <c r="Q136">
        <f t="shared" si="106"/>
        <v>133</v>
      </c>
      <c r="R136">
        <f t="shared" si="107"/>
        <v>2038</v>
      </c>
      <c r="S136">
        <f t="shared" si="108"/>
        <v>1</v>
      </c>
      <c r="T136" s="5">
        <f t="shared" si="124"/>
        <v>311090.96772529872</v>
      </c>
      <c r="U136" s="5">
        <f t="shared" si="109"/>
        <v>2073.9397848353251</v>
      </c>
      <c r="V136" s="5">
        <f t="shared" si="110"/>
        <v>27061.314585087039</v>
      </c>
      <c r="W136" s="5">
        <f t="shared" si="125"/>
        <v>24987.374800251713</v>
      </c>
      <c r="X136" s="5">
        <f t="shared" si="126"/>
        <v>286103.59292504698</v>
      </c>
      <c r="Y136" s="5">
        <f t="shared" si="127"/>
        <v>1385258.4327416231</v>
      </c>
      <c r="Z136" s="5">
        <f t="shared" si="128"/>
        <v>3599154.8398165707</v>
      </c>
      <c r="AA136" s="13">
        <f t="shared" si="129"/>
        <v>12</v>
      </c>
      <c r="AC136">
        <f t="shared" si="111"/>
        <v>133</v>
      </c>
      <c r="AD136">
        <f t="shared" si="112"/>
        <v>2038</v>
      </c>
      <c r="AE136">
        <f t="shared" si="113"/>
        <v>1</v>
      </c>
      <c r="AF136" s="5">
        <f t="shared" si="130"/>
        <v>174213.71299334816</v>
      </c>
      <c r="AG136" s="5">
        <f t="shared" si="114"/>
        <v>1161.4247532889879</v>
      </c>
      <c r="AH136" s="5">
        <f t="shared" si="115"/>
        <v>27711.314585087039</v>
      </c>
      <c r="AI136" s="5">
        <f t="shared" si="131"/>
        <v>26549.889831798049</v>
      </c>
      <c r="AJ136" s="5">
        <f t="shared" si="132"/>
        <v>147663.8231615501</v>
      </c>
      <c r="AK136" s="5">
        <f t="shared" si="133"/>
        <v>1333268.6629781264</v>
      </c>
      <c r="AL136" s="5">
        <f t="shared" si="134"/>
        <v>3685604.8398165703</v>
      </c>
      <c r="AM136" s="13">
        <f t="shared" si="135"/>
        <v>12</v>
      </c>
    </row>
    <row r="137" spans="1:39" x14ac:dyDescent="0.35">
      <c r="A137">
        <f t="shared" si="100"/>
        <v>134</v>
      </c>
      <c r="B137">
        <f t="shared" si="101"/>
        <v>2038</v>
      </c>
      <c r="C137">
        <f t="shared" si="102"/>
        <v>2</v>
      </c>
      <c r="D137" s="5">
        <f t="shared" si="118"/>
        <v>232961.99807333681</v>
      </c>
      <c r="E137" s="5">
        <f>IFERROR(IF($A137="", "", _xlfn.XLOOKUP(A137,Offset!A:A,Offset!I:I, 0)), 0)</f>
        <v>7584.244597741048</v>
      </c>
      <c r="F137" s="5">
        <f t="shared" si="116"/>
        <v>225377.75347559576</v>
      </c>
      <c r="G137" s="5">
        <f t="shared" si="103"/>
        <v>1502.5183565039717</v>
      </c>
      <c r="H137" s="5">
        <f t="shared" si="104"/>
        <v>27061.314585087039</v>
      </c>
      <c r="I137" s="5">
        <f t="shared" si="117"/>
        <v>25558.796228583065</v>
      </c>
      <c r="J137" s="5">
        <f t="shared" si="119"/>
        <v>207403.20184475376</v>
      </c>
      <c r="K137" s="5">
        <f t="shared" si="105"/>
        <v>50.56163065160699</v>
      </c>
      <c r="L137" s="5">
        <f t="shared" si="120"/>
        <v>28957.322283760412</v>
      </c>
      <c r="M137" s="5">
        <f t="shared" si="121"/>
        <v>1333619.3562464197</v>
      </c>
      <c r="N137" s="5">
        <f t="shared" si="122"/>
        <v>3626216.1544016576</v>
      </c>
      <c r="O137" s="13">
        <f t="shared" si="123"/>
        <v>12</v>
      </c>
      <c r="Q137">
        <f t="shared" si="106"/>
        <v>134</v>
      </c>
      <c r="R137">
        <f t="shared" si="107"/>
        <v>2038</v>
      </c>
      <c r="S137">
        <f t="shared" si="108"/>
        <v>2</v>
      </c>
      <c r="T137" s="5">
        <f t="shared" si="124"/>
        <v>286103.59292504698</v>
      </c>
      <c r="U137" s="5">
        <f t="shared" si="109"/>
        <v>1907.35728616698</v>
      </c>
      <c r="V137" s="5">
        <f t="shared" si="110"/>
        <v>27061.314585087039</v>
      </c>
      <c r="W137" s="5">
        <f t="shared" si="125"/>
        <v>25153.957298920061</v>
      </c>
      <c r="X137" s="5">
        <f t="shared" si="126"/>
        <v>260949.63562612692</v>
      </c>
      <c r="Y137" s="5">
        <f t="shared" si="127"/>
        <v>1387165.79002779</v>
      </c>
      <c r="Z137" s="5">
        <f t="shared" si="128"/>
        <v>3626216.1544016576</v>
      </c>
      <c r="AA137" s="13">
        <f t="shared" si="129"/>
        <v>12</v>
      </c>
      <c r="AC137">
        <f t="shared" si="111"/>
        <v>134</v>
      </c>
      <c r="AD137">
        <f t="shared" si="112"/>
        <v>2038</v>
      </c>
      <c r="AE137">
        <f t="shared" si="113"/>
        <v>2</v>
      </c>
      <c r="AF137" s="5">
        <f t="shared" si="130"/>
        <v>147663.8231615501</v>
      </c>
      <c r="AG137" s="5">
        <f t="shared" si="114"/>
        <v>984.42548774366742</v>
      </c>
      <c r="AH137" s="5">
        <f t="shared" si="115"/>
        <v>27711.314585087039</v>
      </c>
      <c r="AI137" s="5">
        <f t="shared" si="131"/>
        <v>26726.88909734337</v>
      </c>
      <c r="AJ137" s="5">
        <f t="shared" si="132"/>
        <v>120936.93406420673</v>
      </c>
      <c r="AK137" s="5">
        <f t="shared" si="133"/>
        <v>1334253.0884658701</v>
      </c>
      <c r="AL137" s="5">
        <f t="shared" si="134"/>
        <v>3713316.1544016572</v>
      </c>
      <c r="AM137" s="13">
        <f t="shared" si="135"/>
        <v>12</v>
      </c>
    </row>
    <row r="138" spans="1:39" x14ac:dyDescent="0.35">
      <c r="A138">
        <f t="shared" si="100"/>
        <v>135</v>
      </c>
      <c r="B138">
        <f t="shared" si="101"/>
        <v>2038</v>
      </c>
      <c r="C138">
        <f t="shared" si="102"/>
        <v>3</v>
      </c>
      <c r="D138" s="5">
        <f t="shared" si="118"/>
        <v>207403.20184475376</v>
      </c>
      <c r="E138" s="5">
        <f>IFERROR(IF($A138="", "", _xlfn.XLOOKUP(A138,Offset!A:A,Offset!I:I, 0)), 0)</f>
        <v>11376.366896611573</v>
      </c>
      <c r="F138" s="5">
        <f t="shared" si="116"/>
        <v>196026.83494814218</v>
      </c>
      <c r="G138" s="5">
        <f t="shared" si="103"/>
        <v>1306.8455663209479</v>
      </c>
      <c r="H138" s="5">
        <f t="shared" si="104"/>
        <v>27061.314585087039</v>
      </c>
      <c r="I138" s="5">
        <f t="shared" si="117"/>
        <v>25754.469018766089</v>
      </c>
      <c r="J138" s="5">
        <f t="shared" si="119"/>
        <v>181648.73282598768</v>
      </c>
      <c r="K138" s="5">
        <f t="shared" si="105"/>
        <v>75.842445977410492</v>
      </c>
      <c r="L138" s="5">
        <f t="shared" si="120"/>
        <v>29033.164729737822</v>
      </c>
      <c r="M138" s="5">
        <f t="shared" si="121"/>
        <v>1334926.2018127406</v>
      </c>
      <c r="N138" s="5">
        <f t="shared" si="122"/>
        <v>3653277.4689867445</v>
      </c>
      <c r="O138" s="13">
        <f t="shared" si="123"/>
        <v>12</v>
      </c>
      <c r="Q138">
        <f t="shared" si="106"/>
        <v>135</v>
      </c>
      <c r="R138">
        <f t="shared" si="107"/>
        <v>2038</v>
      </c>
      <c r="S138">
        <f t="shared" si="108"/>
        <v>3</v>
      </c>
      <c r="T138" s="5">
        <f t="shared" si="124"/>
        <v>260949.63562612692</v>
      </c>
      <c r="U138" s="5">
        <f t="shared" si="109"/>
        <v>1739.664237507513</v>
      </c>
      <c r="V138" s="5">
        <f t="shared" si="110"/>
        <v>27061.314585087039</v>
      </c>
      <c r="W138" s="5">
        <f t="shared" si="125"/>
        <v>25321.650347579525</v>
      </c>
      <c r="X138" s="5">
        <f t="shared" si="126"/>
        <v>235627.98527854739</v>
      </c>
      <c r="Y138" s="5">
        <f t="shared" si="127"/>
        <v>1388905.4542652976</v>
      </c>
      <c r="Z138" s="5">
        <f t="shared" si="128"/>
        <v>3653277.4689867445</v>
      </c>
      <c r="AA138" s="13">
        <f t="shared" si="129"/>
        <v>12</v>
      </c>
      <c r="AC138">
        <f t="shared" si="111"/>
        <v>135</v>
      </c>
      <c r="AD138">
        <f t="shared" si="112"/>
        <v>2038</v>
      </c>
      <c r="AE138">
        <f t="shared" si="113"/>
        <v>3</v>
      </c>
      <c r="AF138" s="5">
        <f t="shared" si="130"/>
        <v>120936.93406420673</v>
      </c>
      <c r="AG138" s="5">
        <f t="shared" si="114"/>
        <v>806.24622709471157</v>
      </c>
      <c r="AH138" s="5">
        <f t="shared" si="115"/>
        <v>27711.314585087039</v>
      </c>
      <c r="AI138" s="5">
        <f t="shared" si="131"/>
        <v>26905.068357992328</v>
      </c>
      <c r="AJ138" s="5">
        <f t="shared" si="132"/>
        <v>94031.86570621439</v>
      </c>
      <c r="AK138" s="5">
        <f t="shared" si="133"/>
        <v>1335059.3346929648</v>
      </c>
      <c r="AL138" s="5">
        <f t="shared" si="134"/>
        <v>3741027.4689867441</v>
      </c>
      <c r="AM138" s="13">
        <f t="shared" si="135"/>
        <v>12</v>
      </c>
    </row>
    <row r="139" spans="1:39" x14ac:dyDescent="0.35">
      <c r="A139">
        <f t="shared" si="100"/>
        <v>136</v>
      </c>
      <c r="B139">
        <f t="shared" si="101"/>
        <v>2038</v>
      </c>
      <c r="C139">
        <f t="shared" si="102"/>
        <v>4</v>
      </c>
      <c r="D139" s="5">
        <f t="shared" si="118"/>
        <v>181648.73282598768</v>
      </c>
      <c r="E139" s="5">
        <f>IFERROR(IF($A139="", "", _xlfn.XLOOKUP(A139,Offset!A:A,Offset!I:I, 0)), 0)</f>
        <v>15168.489195482096</v>
      </c>
      <c r="F139" s="5">
        <f t="shared" si="116"/>
        <v>166480.24363050557</v>
      </c>
      <c r="G139" s="5">
        <f t="shared" si="103"/>
        <v>1109.8682908700373</v>
      </c>
      <c r="H139" s="5">
        <f t="shared" si="104"/>
        <v>27061.314585087039</v>
      </c>
      <c r="I139" s="5">
        <f t="shared" si="117"/>
        <v>25951.446294217003</v>
      </c>
      <c r="J139" s="5">
        <f t="shared" si="119"/>
        <v>155697.28653177069</v>
      </c>
      <c r="K139" s="5">
        <f t="shared" si="105"/>
        <v>101.12326130321398</v>
      </c>
      <c r="L139" s="5">
        <f t="shared" si="120"/>
        <v>29134.287991041037</v>
      </c>
      <c r="M139" s="5">
        <f t="shared" si="121"/>
        <v>1336036.0701036106</v>
      </c>
      <c r="N139" s="5">
        <f t="shared" si="122"/>
        <v>3680338.7835718314</v>
      </c>
      <c r="O139" s="13">
        <f t="shared" si="123"/>
        <v>12</v>
      </c>
      <c r="Q139">
        <f t="shared" si="106"/>
        <v>136</v>
      </c>
      <c r="R139">
        <f t="shared" si="107"/>
        <v>2038</v>
      </c>
      <c r="S139">
        <f t="shared" si="108"/>
        <v>4</v>
      </c>
      <c r="T139" s="5">
        <f t="shared" si="124"/>
        <v>235627.98527854739</v>
      </c>
      <c r="U139" s="5">
        <f t="shared" si="109"/>
        <v>1570.8532351903161</v>
      </c>
      <c r="V139" s="5">
        <f t="shared" si="110"/>
        <v>27061.314585087039</v>
      </c>
      <c r="W139" s="5">
        <f t="shared" si="125"/>
        <v>25490.461349896723</v>
      </c>
      <c r="X139" s="5">
        <f t="shared" si="126"/>
        <v>210137.52392865065</v>
      </c>
      <c r="Y139" s="5">
        <f t="shared" si="127"/>
        <v>1390476.3075004879</v>
      </c>
      <c r="Z139" s="5">
        <f t="shared" si="128"/>
        <v>3680338.7835718314</v>
      </c>
      <c r="AA139" s="13">
        <f t="shared" si="129"/>
        <v>12</v>
      </c>
      <c r="AC139">
        <f t="shared" si="111"/>
        <v>136</v>
      </c>
      <c r="AD139">
        <f t="shared" si="112"/>
        <v>2038</v>
      </c>
      <c r="AE139">
        <f t="shared" si="113"/>
        <v>4</v>
      </c>
      <c r="AF139" s="5">
        <f t="shared" si="130"/>
        <v>94031.86570621439</v>
      </c>
      <c r="AG139" s="5">
        <f t="shared" si="114"/>
        <v>626.87910470809595</v>
      </c>
      <c r="AH139" s="5">
        <f t="shared" si="115"/>
        <v>27711.314585087039</v>
      </c>
      <c r="AI139" s="5">
        <f t="shared" si="131"/>
        <v>27084.435480378943</v>
      </c>
      <c r="AJ139" s="5">
        <f t="shared" si="132"/>
        <v>66947.430225835444</v>
      </c>
      <c r="AK139" s="5">
        <f t="shared" si="133"/>
        <v>1335686.2137976729</v>
      </c>
      <c r="AL139" s="5">
        <f t="shared" si="134"/>
        <v>3768738.783571831</v>
      </c>
      <c r="AM139" s="13">
        <f t="shared" si="135"/>
        <v>12</v>
      </c>
    </row>
    <row r="140" spans="1:39" x14ac:dyDescent="0.35">
      <c r="A140">
        <f t="shared" si="100"/>
        <v>137</v>
      </c>
      <c r="B140">
        <f t="shared" si="101"/>
        <v>2038</v>
      </c>
      <c r="C140">
        <f t="shared" si="102"/>
        <v>5</v>
      </c>
      <c r="D140" s="5">
        <f t="shared" si="118"/>
        <v>155697.28653177069</v>
      </c>
      <c r="E140" s="5">
        <f>IFERROR(IF($A140="", "", _xlfn.XLOOKUP(A140,Offset!A:A,Offset!I:I, 0)), 0)</f>
        <v>18960.611494352619</v>
      </c>
      <c r="F140" s="5">
        <f t="shared" si="116"/>
        <v>136736.67503741808</v>
      </c>
      <c r="G140" s="5">
        <f t="shared" si="103"/>
        <v>911.57783358278732</v>
      </c>
      <c r="H140" s="5">
        <f t="shared" si="104"/>
        <v>27061.314585087039</v>
      </c>
      <c r="I140" s="5">
        <f t="shared" si="117"/>
        <v>26149.73675150425</v>
      </c>
      <c r="J140" s="5">
        <f t="shared" si="119"/>
        <v>129547.54978026645</v>
      </c>
      <c r="K140" s="5">
        <f t="shared" si="105"/>
        <v>126.40407662901747</v>
      </c>
      <c r="L140" s="5">
        <f t="shared" si="120"/>
        <v>29260.692067670054</v>
      </c>
      <c r="M140" s="5">
        <f t="shared" si="121"/>
        <v>1336947.6479371935</v>
      </c>
      <c r="N140" s="5">
        <f t="shared" si="122"/>
        <v>3707400.0981569183</v>
      </c>
      <c r="O140" s="13">
        <f t="shared" si="123"/>
        <v>12</v>
      </c>
      <c r="Q140">
        <f t="shared" si="106"/>
        <v>137</v>
      </c>
      <c r="R140">
        <f t="shared" si="107"/>
        <v>2038</v>
      </c>
      <c r="S140">
        <f t="shared" si="108"/>
        <v>5</v>
      </c>
      <c r="T140" s="5">
        <f t="shared" si="124"/>
        <v>210137.52392865065</v>
      </c>
      <c r="U140" s="5">
        <f t="shared" si="109"/>
        <v>1400.9168261910045</v>
      </c>
      <c r="V140" s="5">
        <f t="shared" si="110"/>
        <v>27061.314585087039</v>
      </c>
      <c r="W140" s="5">
        <f t="shared" si="125"/>
        <v>25660.397758896033</v>
      </c>
      <c r="X140" s="5">
        <f t="shared" si="126"/>
        <v>184477.12616975463</v>
      </c>
      <c r="Y140" s="5">
        <f t="shared" si="127"/>
        <v>1391877.2243266788</v>
      </c>
      <c r="Z140" s="5">
        <f t="shared" si="128"/>
        <v>3707400.0981569183</v>
      </c>
      <c r="AA140" s="13">
        <f t="shared" si="129"/>
        <v>12</v>
      </c>
      <c r="AC140">
        <f t="shared" si="111"/>
        <v>137</v>
      </c>
      <c r="AD140">
        <f t="shared" si="112"/>
        <v>2038</v>
      </c>
      <c r="AE140">
        <f t="shared" si="113"/>
        <v>5</v>
      </c>
      <c r="AF140" s="5">
        <f t="shared" si="130"/>
        <v>66947.430225835444</v>
      </c>
      <c r="AG140" s="5">
        <f t="shared" si="114"/>
        <v>446.31620150556967</v>
      </c>
      <c r="AH140" s="5">
        <f t="shared" si="115"/>
        <v>27711.314585087039</v>
      </c>
      <c r="AI140" s="5">
        <f t="shared" si="131"/>
        <v>27264.998383581467</v>
      </c>
      <c r="AJ140" s="5">
        <f t="shared" si="132"/>
        <v>39682.43184225398</v>
      </c>
      <c r="AK140" s="5">
        <f t="shared" si="133"/>
        <v>1336132.5299991784</v>
      </c>
      <c r="AL140" s="5">
        <f t="shared" si="134"/>
        <v>3796450.0981569178</v>
      </c>
      <c r="AM140" s="13">
        <f t="shared" si="135"/>
        <v>12</v>
      </c>
    </row>
    <row r="141" spans="1:39" x14ac:dyDescent="0.35">
      <c r="A141">
        <f t="shared" si="100"/>
        <v>138</v>
      </c>
      <c r="B141">
        <f t="shared" si="101"/>
        <v>2038</v>
      </c>
      <c r="C141">
        <f t="shared" si="102"/>
        <v>6</v>
      </c>
      <c r="D141" s="5">
        <f t="shared" si="118"/>
        <v>129547.54978026645</v>
      </c>
      <c r="E141" s="5">
        <f>IFERROR(IF($A141="", "", _xlfn.XLOOKUP(A141,Offset!A:A,Offset!I:I, 0)), 0)</f>
        <v>22752.733793223142</v>
      </c>
      <c r="F141" s="5">
        <f t="shared" si="116"/>
        <v>106794.8159870433</v>
      </c>
      <c r="G141" s="5">
        <f t="shared" si="103"/>
        <v>711.96543991362205</v>
      </c>
      <c r="H141" s="5">
        <f t="shared" si="104"/>
        <v>27061.314585087039</v>
      </c>
      <c r="I141" s="5">
        <f t="shared" si="117"/>
        <v>26349.349145173415</v>
      </c>
      <c r="J141" s="5">
        <f t="shared" si="119"/>
        <v>103198.20063509303</v>
      </c>
      <c r="K141" s="5">
        <f t="shared" si="105"/>
        <v>151.68489195482096</v>
      </c>
      <c r="L141" s="5">
        <f t="shared" si="120"/>
        <v>29412.376959624875</v>
      </c>
      <c r="M141" s="5">
        <f t="shared" si="121"/>
        <v>1337659.6133771071</v>
      </c>
      <c r="N141" s="5">
        <f t="shared" si="122"/>
        <v>3734461.4127420052</v>
      </c>
      <c r="O141" s="13">
        <f t="shared" si="123"/>
        <v>12</v>
      </c>
      <c r="Q141">
        <f t="shared" si="106"/>
        <v>138</v>
      </c>
      <c r="R141">
        <f t="shared" si="107"/>
        <v>2038</v>
      </c>
      <c r="S141">
        <f t="shared" si="108"/>
        <v>6</v>
      </c>
      <c r="T141" s="5">
        <f t="shared" si="124"/>
        <v>184477.12616975463</v>
      </c>
      <c r="U141" s="5">
        <f t="shared" si="109"/>
        <v>1229.8475077983642</v>
      </c>
      <c r="V141" s="5">
        <f t="shared" si="110"/>
        <v>27061.314585087039</v>
      </c>
      <c r="W141" s="5">
        <f t="shared" si="125"/>
        <v>25831.467077288675</v>
      </c>
      <c r="X141" s="5">
        <f t="shared" si="126"/>
        <v>158645.65909246594</v>
      </c>
      <c r="Y141" s="5">
        <f t="shared" si="127"/>
        <v>1393107.0718344771</v>
      </c>
      <c r="Z141" s="5">
        <f t="shared" si="128"/>
        <v>3734461.4127420052</v>
      </c>
      <c r="AA141" s="13">
        <f t="shared" si="129"/>
        <v>12</v>
      </c>
      <c r="AC141">
        <f t="shared" si="111"/>
        <v>138</v>
      </c>
      <c r="AD141">
        <f t="shared" si="112"/>
        <v>2038</v>
      </c>
      <c r="AE141">
        <f t="shared" si="113"/>
        <v>6</v>
      </c>
      <c r="AF141" s="5">
        <f t="shared" si="130"/>
        <v>39682.43184225398</v>
      </c>
      <c r="AG141" s="5">
        <f t="shared" si="114"/>
        <v>264.54954561502655</v>
      </c>
      <c r="AH141" s="5">
        <f t="shared" si="115"/>
        <v>27711.314585087039</v>
      </c>
      <c r="AI141" s="5">
        <f t="shared" si="131"/>
        <v>27446.765039472011</v>
      </c>
      <c r="AJ141" s="5">
        <f t="shared" si="132"/>
        <v>12235.666802781969</v>
      </c>
      <c r="AK141" s="5">
        <f t="shared" si="133"/>
        <v>1336397.0795447933</v>
      </c>
      <c r="AL141" s="5">
        <f t="shared" si="134"/>
        <v>3824161.4127420047</v>
      </c>
      <c r="AM141" s="13">
        <f t="shared" si="135"/>
        <v>12</v>
      </c>
    </row>
    <row r="142" spans="1:39" x14ac:dyDescent="0.35">
      <c r="A142">
        <f t="shared" si="100"/>
        <v>139</v>
      </c>
      <c r="B142">
        <f t="shared" si="101"/>
        <v>2038</v>
      </c>
      <c r="C142">
        <f t="shared" si="102"/>
        <v>7</v>
      </c>
      <c r="D142" s="5">
        <f t="shared" si="118"/>
        <v>103198.20063509303</v>
      </c>
      <c r="E142" s="5">
        <f>IFERROR(IF($A142="", "", _xlfn.XLOOKUP(A142,Offset!A:A,Offset!I:I, 0)), 0)</f>
        <v>26544.856092093665</v>
      </c>
      <c r="F142" s="5">
        <f t="shared" si="116"/>
        <v>76653.344542999374</v>
      </c>
      <c r="G142" s="5">
        <f t="shared" si="103"/>
        <v>511.0222969533292</v>
      </c>
      <c r="H142" s="5">
        <f t="shared" si="104"/>
        <v>27061.314585087039</v>
      </c>
      <c r="I142" s="5">
        <f t="shared" si="117"/>
        <v>26550.292288133711</v>
      </c>
      <c r="J142" s="5">
        <f t="shared" si="119"/>
        <v>76647.908346959317</v>
      </c>
      <c r="K142" s="5">
        <f t="shared" si="105"/>
        <v>176.96570728062446</v>
      </c>
      <c r="L142" s="5">
        <f t="shared" si="120"/>
        <v>29589.342666905501</v>
      </c>
      <c r="M142" s="5">
        <f t="shared" si="121"/>
        <v>1338170.6356740603</v>
      </c>
      <c r="N142" s="5">
        <f t="shared" si="122"/>
        <v>3761522.7273270921</v>
      </c>
      <c r="O142" s="13">
        <f t="shared" si="123"/>
        <v>12</v>
      </c>
      <c r="Q142">
        <f t="shared" si="106"/>
        <v>139</v>
      </c>
      <c r="R142">
        <f t="shared" si="107"/>
        <v>2038</v>
      </c>
      <c r="S142">
        <f t="shared" si="108"/>
        <v>7</v>
      </c>
      <c r="T142" s="5">
        <f t="shared" si="124"/>
        <v>158645.65909246594</v>
      </c>
      <c r="U142" s="5">
        <f t="shared" si="109"/>
        <v>1057.6377272831064</v>
      </c>
      <c r="V142" s="5">
        <f t="shared" si="110"/>
        <v>27061.314585087039</v>
      </c>
      <c r="W142" s="5">
        <f t="shared" si="125"/>
        <v>26003.676857803934</v>
      </c>
      <c r="X142" s="5">
        <f t="shared" si="126"/>
        <v>132641.98223466199</v>
      </c>
      <c r="Y142" s="5">
        <f t="shared" si="127"/>
        <v>1394164.7095617603</v>
      </c>
      <c r="Z142" s="5">
        <f t="shared" si="128"/>
        <v>3761522.7273270921</v>
      </c>
      <c r="AA142" s="13">
        <f t="shared" si="129"/>
        <v>12</v>
      </c>
      <c r="AC142">
        <f t="shared" si="111"/>
        <v>139</v>
      </c>
      <c r="AD142">
        <f t="shared" si="112"/>
        <v>2038</v>
      </c>
      <c r="AE142">
        <f t="shared" si="113"/>
        <v>7</v>
      </c>
      <c r="AF142" s="5">
        <f t="shared" si="130"/>
        <v>12235.666802781969</v>
      </c>
      <c r="AG142" s="5">
        <f t="shared" si="114"/>
        <v>81.571112018546458</v>
      </c>
      <c r="AH142" s="5">
        <f t="shared" si="115"/>
        <v>12317.237914800515</v>
      </c>
      <c r="AI142" s="5">
        <f t="shared" si="131"/>
        <v>12235.666802781969</v>
      </c>
      <c r="AJ142" s="5">
        <f t="shared" si="132"/>
        <v>0</v>
      </c>
      <c r="AK142" s="5">
        <f t="shared" si="133"/>
        <v>1336478.6506568119</v>
      </c>
      <c r="AL142" s="5">
        <f t="shared" si="134"/>
        <v>3836478.6506568054</v>
      </c>
      <c r="AM142" s="13">
        <f t="shared" si="135"/>
        <v>12</v>
      </c>
    </row>
    <row r="143" spans="1:39" x14ac:dyDescent="0.35">
      <c r="A143">
        <f t="shared" si="100"/>
        <v>140</v>
      </c>
      <c r="B143">
        <f t="shared" si="101"/>
        <v>2038</v>
      </c>
      <c r="C143">
        <f t="shared" si="102"/>
        <v>8</v>
      </c>
      <c r="D143" s="5">
        <f t="shared" si="118"/>
        <v>76647.908346959317</v>
      </c>
      <c r="E143" s="5">
        <f>IFERROR(IF($A143="", "", _xlfn.XLOOKUP(A143,Offset!A:A,Offset!I:I, 0)), 0)</f>
        <v>30336.978390964188</v>
      </c>
      <c r="F143" s="5">
        <f t="shared" si="116"/>
        <v>46310.929955995132</v>
      </c>
      <c r="G143" s="5">
        <f t="shared" si="103"/>
        <v>308.73953303996757</v>
      </c>
      <c r="H143" s="5">
        <f t="shared" si="104"/>
        <v>27061.314585087039</v>
      </c>
      <c r="I143" s="5">
        <f t="shared" si="117"/>
        <v>26752.575052047072</v>
      </c>
      <c r="J143" s="5">
        <f t="shared" si="119"/>
        <v>49895.333294912241</v>
      </c>
      <c r="K143" s="5">
        <f t="shared" si="105"/>
        <v>202.24652260642793</v>
      </c>
      <c r="L143" s="5">
        <f t="shared" si="120"/>
        <v>29791.589189511928</v>
      </c>
      <c r="M143" s="5">
        <f t="shared" si="121"/>
        <v>1338479.3752071003</v>
      </c>
      <c r="N143" s="5">
        <f t="shared" si="122"/>
        <v>3788584.041912179</v>
      </c>
      <c r="O143" s="13">
        <f t="shared" si="123"/>
        <v>12</v>
      </c>
      <c r="Q143">
        <f t="shared" si="106"/>
        <v>140</v>
      </c>
      <c r="R143">
        <f t="shared" si="107"/>
        <v>2038</v>
      </c>
      <c r="S143">
        <f t="shared" si="108"/>
        <v>8</v>
      </c>
      <c r="T143" s="5">
        <f t="shared" si="124"/>
        <v>132641.98223466199</v>
      </c>
      <c r="U143" s="5">
        <f t="shared" si="109"/>
        <v>884.27988156441336</v>
      </c>
      <c r="V143" s="5">
        <f t="shared" si="110"/>
        <v>27061.314585087039</v>
      </c>
      <c r="W143" s="5">
        <f t="shared" si="125"/>
        <v>26177.034703522626</v>
      </c>
      <c r="X143" s="5">
        <f t="shared" si="126"/>
        <v>106464.94753113936</v>
      </c>
      <c r="Y143" s="5">
        <f t="shared" si="127"/>
        <v>1395048.9894433247</v>
      </c>
      <c r="Z143" s="5">
        <f t="shared" si="128"/>
        <v>3788584.041912179</v>
      </c>
      <c r="AA143" s="13">
        <f t="shared" si="129"/>
        <v>12</v>
      </c>
      <c r="AC143">
        <f t="shared" si="111"/>
        <v>140</v>
      </c>
      <c r="AD143">
        <f t="shared" si="112"/>
        <v>2038</v>
      </c>
      <c r="AE143">
        <f t="shared" si="113"/>
        <v>8</v>
      </c>
      <c r="AF143" s="5">
        <f t="shared" si="130"/>
        <v>0</v>
      </c>
      <c r="AG143" s="5">
        <f t="shared" si="114"/>
        <v>0</v>
      </c>
      <c r="AH143" s="5">
        <f t="shared" si="115"/>
        <v>0</v>
      </c>
      <c r="AI143" s="5">
        <f t="shared" si="131"/>
        <v>0</v>
      </c>
      <c r="AJ143" s="5">
        <f t="shared" si="132"/>
        <v>0</v>
      </c>
      <c r="AK143" s="5">
        <f t="shared" si="133"/>
        <v>1336478.6506568119</v>
      </c>
      <c r="AL143" s="5">
        <f t="shared" si="134"/>
        <v>3836478.6506568054</v>
      </c>
      <c r="AM143" s="13">
        <f t="shared" si="135"/>
        <v>12</v>
      </c>
    </row>
    <row r="144" spans="1:39" x14ac:dyDescent="0.35">
      <c r="A144">
        <f t="shared" si="100"/>
        <v>141</v>
      </c>
      <c r="B144">
        <f t="shared" si="101"/>
        <v>2038</v>
      </c>
      <c r="C144">
        <f t="shared" si="102"/>
        <v>9</v>
      </c>
      <c r="D144" s="5">
        <f t="shared" si="118"/>
        <v>49895.333294912241</v>
      </c>
      <c r="E144" s="5">
        <f>IFERROR(IF($A144="", "", _xlfn.XLOOKUP(A144,Offset!A:A,Offset!I:I, 0)), 0)</f>
        <v>34129.100689834711</v>
      </c>
      <c r="F144" s="5">
        <f t="shared" si="116"/>
        <v>15766.23260507753</v>
      </c>
      <c r="G144" s="5">
        <f t="shared" si="103"/>
        <v>105.10821736718354</v>
      </c>
      <c r="H144" s="5">
        <f t="shared" si="104"/>
        <v>27061.314585087039</v>
      </c>
      <c r="I144" s="5">
        <f t="shared" si="117"/>
        <v>26956.206367719857</v>
      </c>
      <c r="J144" s="5">
        <f t="shared" si="119"/>
        <v>22939.126927192385</v>
      </c>
      <c r="K144" s="5">
        <f t="shared" si="105"/>
        <v>227.52733793223143</v>
      </c>
      <c r="L144" s="5">
        <f t="shared" si="120"/>
        <v>30019.116527444159</v>
      </c>
      <c r="M144" s="5">
        <f t="shared" si="121"/>
        <v>1338584.4834244675</v>
      </c>
      <c r="N144" s="5">
        <f t="shared" si="122"/>
        <v>3815645.3564972659</v>
      </c>
      <c r="O144" s="13">
        <f t="shared" si="123"/>
        <v>12</v>
      </c>
      <c r="Q144">
        <f t="shared" si="106"/>
        <v>141</v>
      </c>
      <c r="R144">
        <f t="shared" si="107"/>
        <v>2038</v>
      </c>
      <c r="S144">
        <f t="shared" si="108"/>
        <v>9</v>
      </c>
      <c r="T144" s="5">
        <f t="shared" si="124"/>
        <v>106464.94753113936</v>
      </c>
      <c r="U144" s="5">
        <f t="shared" si="109"/>
        <v>709.76631687426243</v>
      </c>
      <c r="V144" s="5">
        <f t="shared" si="110"/>
        <v>27061.314585087039</v>
      </c>
      <c r="W144" s="5">
        <f t="shared" si="125"/>
        <v>26351.548268212777</v>
      </c>
      <c r="X144" s="5">
        <f t="shared" si="126"/>
        <v>80113.399262926585</v>
      </c>
      <c r="Y144" s="5">
        <f t="shared" si="127"/>
        <v>1395758.7557601989</v>
      </c>
      <c r="Z144" s="5">
        <f t="shared" si="128"/>
        <v>3815645.3564972659</v>
      </c>
      <c r="AA144" s="13">
        <f t="shared" si="129"/>
        <v>12</v>
      </c>
      <c r="AC144">
        <f t="shared" si="111"/>
        <v>141</v>
      </c>
      <c r="AD144">
        <f t="shared" si="112"/>
        <v>2038</v>
      </c>
      <c r="AE144">
        <f t="shared" si="113"/>
        <v>9</v>
      </c>
      <c r="AF144" s="5">
        <f t="shared" si="130"/>
        <v>0</v>
      </c>
      <c r="AG144" s="5">
        <f t="shared" si="114"/>
        <v>0</v>
      </c>
      <c r="AH144" s="5">
        <f t="shared" si="115"/>
        <v>0</v>
      </c>
      <c r="AI144" s="5">
        <f t="shared" si="131"/>
        <v>0</v>
      </c>
      <c r="AJ144" s="5">
        <f t="shared" si="132"/>
        <v>0</v>
      </c>
      <c r="AK144" s="5">
        <f t="shared" si="133"/>
        <v>1336478.6506568119</v>
      </c>
      <c r="AL144" s="5">
        <f t="shared" si="134"/>
        <v>3836478.6506568054</v>
      </c>
      <c r="AM144" s="13">
        <f t="shared" si="135"/>
        <v>12</v>
      </c>
    </row>
    <row r="145" spans="1:39" x14ac:dyDescent="0.35">
      <c r="A145">
        <f t="shared" si="100"/>
        <v>142</v>
      </c>
      <c r="B145">
        <f t="shared" si="101"/>
        <v>2038</v>
      </c>
      <c r="C145">
        <f t="shared" si="102"/>
        <v>10</v>
      </c>
      <c r="D145" s="5">
        <f t="shared" si="118"/>
        <v>22939.126927192385</v>
      </c>
      <c r="E145" s="5">
        <f>IFERROR(IF($A145="", "", _xlfn.XLOOKUP(A145,Offset!A:A,Offset!I:I, 0)), 0)</f>
        <v>37921.222988705238</v>
      </c>
      <c r="F145" s="5">
        <f t="shared" si="116"/>
        <v>0</v>
      </c>
      <c r="G145" s="5">
        <f t="shared" si="103"/>
        <v>0</v>
      </c>
      <c r="H145" s="5">
        <f t="shared" si="104"/>
        <v>22939.126927192385</v>
      </c>
      <c r="I145" s="5">
        <f t="shared" si="117"/>
        <v>22939.126927192385</v>
      </c>
      <c r="J145" s="5">
        <f t="shared" si="119"/>
        <v>0</v>
      </c>
      <c r="K145" s="5">
        <f t="shared" si="105"/>
        <v>252.80815325803493</v>
      </c>
      <c r="L145" s="5">
        <f t="shared" si="120"/>
        <v>30271.924680702195</v>
      </c>
      <c r="M145" s="5">
        <f t="shared" si="121"/>
        <v>1338584.4834244675</v>
      </c>
      <c r="N145" s="5">
        <f t="shared" si="122"/>
        <v>3838584.4834244582</v>
      </c>
      <c r="O145" s="13">
        <f t="shared" si="123"/>
        <v>12</v>
      </c>
      <c r="Q145">
        <f t="shared" si="106"/>
        <v>142</v>
      </c>
      <c r="R145">
        <f t="shared" si="107"/>
        <v>2038</v>
      </c>
      <c r="S145">
        <f t="shared" si="108"/>
        <v>10</v>
      </c>
      <c r="T145" s="5">
        <f t="shared" si="124"/>
        <v>80113.399262926585</v>
      </c>
      <c r="U145" s="5">
        <f t="shared" si="109"/>
        <v>534.08932841951059</v>
      </c>
      <c r="V145" s="5">
        <f t="shared" si="110"/>
        <v>27061.314585087039</v>
      </c>
      <c r="W145" s="5">
        <f t="shared" si="125"/>
        <v>26527.225256667527</v>
      </c>
      <c r="X145" s="5">
        <f t="shared" si="126"/>
        <v>53586.174006259054</v>
      </c>
      <c r="Y145" s="5">
        <f t="shared" si="127"/>
        <v>1396292.8450886183</v>
      </c>
      <c r="Z145" s="5">
        <f t="shared" si="128"/>
        <v>3842706.6710823528</v>
      </c>
      <c r="AA145" s="13">
        <f t="shared" si="129"/>
        <v>12</v>
      </c>
      <c r="AC145">
        <f t="shared" si="111"/>
        <v>142</v>
      </c>
      <c r="AD145">
        <f t="shared" si="112"/>
        <v>2038</v>
      </c>
      <c r="AE145">
        <f t="shared" si="113"/>
        <v>10</v>
      </c>
      <c r="AF145" s="5">
        <f t="shared" si="130"/>
        <v>0</v>
      </c>
      <c r="AG145" s="5">
        <f t="shared" si="114"/>
        <v>0</v>
      </c>
      <c r="AH145" s="5">
        <f t="shared" si="115"/>
        <v>0</v>
      </c>
      <c r="AI145" s="5">
        <f t="shared" si="131"/>
        <v>0</v>
      </c>
      <c r="AJ145" s="5">
        <f t="shared" si="132"/>
        <v>0</v>
      </c>
      <c r="AK145" s="5">
        <f t="shared" si="133"/>
        <v>1336478.6506568119</v>
      </c>
      <c r="AL145" s="5">
        <f t="shared" si="134"/>
        <v>3836478.6506568054</v>
      </c>
      <c r="AM145" s="13">
        <f t="shared" si="135"/>
        <v>12</v>
      </c>
    </row>
    <row r="146" spans="1:39" x14ac:dyDescent="0.35">
      <c r="A146">
        <f t="shared" si="100"/>
        <v>143</v>
      </c>
      <c r="B146">
        <f t="shared" si="101"/>
        <v>2038</v>
      </c>
      <c r="C146">
        <f t="shared" si="102"/>
        <v>11</v>
      </c>
      <c r="D146" s="5">
        <f t="shared" si="118"/>
        <v>0</v>
      </c>
      <c r="E146" s="5">
        <f>IFERROR(IF($A146="", "", _xlfn.XLOOKUP(A146,Offset!A:A,Offset!I:I, 0)), 0)</f>
        <v>41713.345287575765</v>
      </c>
      <c r="F146" s="5">
        <f t="shared" si="116"/>
        <v>0</v>
      </c>
      <c r="G146" s="5">
        <f t="shared" si="103"/>
        <v>0</v>
      </c>
      <c r="H146" s="5">
        <f t="shared" si="104"/>
        <v>0</v>
      </c>
      <c r="I146" s="5">
        <f t="shared" si="117"/>
        <v>0</v>
      </c>
      <c r="J146" s="5">
        <f t="shared" si="119"/>
        <v>0</v>
      </c>
      <c r="K146" s="5">
        <f t="shared" si="105"/>
        <v>0</v>
      </c>
      <c r="L146" s="5">
        <f t="shared" si="120"/>
        <v>30271.924680702195</v>
      </c>
      <c r="M146" s="5">
        <f t="shared" si="121"/>
        <v>1338584.4834244675</v>
      </c>
      <c r="N146" s="5">
        <f t="shared" si="122"/>
        <v>3838584.4834244582</v>
      </c>
      <c r="O146" s="13">
        <f t="shared" si="123"/>
        <v>12</v>
      </c>
      <c r="Q146">
        <f t="shared" si="106"/>
        <v>143</v>
      </c>
      <c r="R146">
        <f t="shared" si="107"/>
        <v>2038</v>
      </c>
      <c r="S146">
        <f t="shared" si="108"/>
        <v>11</v>
      </c>
      <c r="T146" s="5">
        <f t="shared" si="124"/>
        <v>53586.174006259054</v>
      </c>
      <c r="U146" s="5">
        <f t="shared" si="109"/>
        <v>357.24116004172703</v>
      </c>
      <c r="V146" s="5">
        <f t="shared" si="110"/>
        <v>27061.314585087039</v>
      </c>
      <c r="W146" s="5">
        <f t="shared" si="125"/>
        <v>26704.073425045313</v>
      </c>
      <c r="X146" s="5">
        <f t="shared" si="126"/>
        <v>26882.100581213741</v>
      </c>
      <c r="Y146" s="5">
        <f t="shared" si="127"/>
        <v>1396650.08624866</v>
      </c>
      <c r="Z146" s="5">
        <f t="shared" si="128"/>
        <v>3869767.9856674396</v>
      </c>
      <c r="AA146" s="13">
        <f t="shared" si="129"/>
        <v>12</v>
      </c>
      <c r="AC146">
        <f t="shared" si="111"/>
        <v>143</v>
      </c>
      <c r="AD146">
        <f t="shared" si="112"/>
        <v>2038</v>
      </c>
      <c r="AE146">
        <f t="shared" si="113"/>
        <v>11</v>
      </c>
      <c r="AF146" s="5">
        <f t="shared" si="130"/>
        <v>0</v>
      </c>
      <c r="AG146" s="5">
        <f t="shared" si="114"/>
        <v>0</v>
      </c>
      <c r="AH146" s="5">
        <f t="shared" si="115"/>
        <v>0</v>
      </c>
      <c r="AI146" s="5">
        <f t="shared" si="131"/>
        <v>0</v>
      </c>
      <c r="AJ146" s="5">
        <f t="shared" si="132"/>
        <v>0</v>
      </c>
      <c r="AK146" s="5">
        <f t="shared" si="133"/>
        <v>1336478.6506568119</v>
      </c>
      <c r="AL146" s="5">
        <f t="shared" si="134"/>
        <v>3836478.6506568054</v>
      </c>
      <c r="AM146" s="13">
        <f t="shared" si="135"/>
        <v>12</v>
      </c>
    </row>
    <row r="147" spans="1:39" x14ac:dyDescent="0.35">
      <c r="A147">
        <f t="shared" si="100"/>
        <v>144</v>
      </c>
      <c r="B147">
        <f t="shared" si="101"/>
        <v>2038</v>
      </c>
      <c r="C147">
        <f t="shared" si="102"/>
        <v>12</v>
      </c>
      <c r="D147" s="5">
        <f t="shared" si="118"/>
        <v>0</v>
      </c>
      <c r="E147" s="5">
        <f>IFERROR(IF($A147="", "", _xlfn.XLOOKUP(A147,Offset!A:A,Offset!I:I, 0)), 0)</f>
        <v>45505.467586446292</v>
      </c>
      <c r="F147" s="5">
        <f t="shared" si="116"/>
        <v>0</v>
      </c>
      <c r="G147" s="5">
        <f t="shared" si="103"/>
        <v>0</v>
      </c>
      <c r="H147" s="5">
        <f t="shared" si="104"/>
        <v>0</v>
      </c>
      <c r="I147" s="5">
        <f t="shared" si="117"/>
        <v>0</v>
      </c>
      <c r="J147" s="5">
        <f t="shared" si="119"/>
        <v>0</v>
      </c>
      <c r="K147" s="5">
        <f t="shared" si="105"/>
        <v>0</v>
      </c>
      <c r="L147" s="5">
        <f t="shared" si="120"/>
        <v>30271.924680702195</v>
      </c>
      <c r="M147" s="5">
        <f t="shared" si="121"/>
        <v>1338584.4834244675</v>
      </c>
      <c r="N147" s="5">
        <f t="shared" si="122"/>
        <v>3838584.4834244582</v>
      </c>
      <c r="O147" s="13">
        <f t="shared" si="123"/>
        <v>12</v>
      </c>
      <c r="Q147">
        <f t="shared" si="106"/>
        <v>144</v>
      </c>
      <c r="R147">
        <f t="shared" si="107"/>
        <v>2038</v>
      </c>
      <c r="S147">
        <f t="shared" si="108"/>
        <v>12</v>
      </c>
      <c r="T147" s="5">
        <f t="shared" si="124"/>
        <v>26882.100581213741</v>
      </c>
      <c r="U147" s="5">
        <f t="shared" si="109"/>
        <v>179.21400387475828</v>
      </c>
      <c r="V147" s="5">
        <f t="shared" si="110"/>
        <v>27061.314585087039</v>
      </c>
      <c r="W147" s="5">
        <f t="shared" si="125"/>
        <v>26882.100581212282</v>
      </c>
      <c r="X147" s="5">
        <f t="shared" si="126"/>
        <v>1.4588295016437769E-9</v>
      </c>
      <c r="Y147" s="5">
        <f t="shared" si="127"/>
        <v>1396829.3002525347</v>
      </c>
      <c r="Z147" s="5">
        <f t="shared" si="128"/>
        <v>3896829.3002525265</v>
      </c>
      <c r="AA147" s="13">
        <f t="shared" si="129"/>
        <v>12</v>
      </c>
      <c r="AC147">
        <f t="shared" si="111"/>
        <v>144</v>
      </c>
      <c r="AD147">
        <f t="shared" si="112"/>
        <v>2038</v>
      </c>
      <c r="AE147">
        <f t="shared" si="113"/>
        <v>12</v>
      </c>
      <c r="AF147" s="5">
        <f t="shared" si="130"/>
        <v>0</v>
      </c>
      <c r="AG147" s="5">
        <f t="shared" si="114"/>
        <v>0</v>
      </c>
      <c r="AH147" s="5">
        <f t="shared" si="115"/>
        <v>0</v>
      </c>
      <c r="AI147" s="5">
        <f t="shared" si="131"/>
        <v>0</v>
      </c>
      <c r="AJ147" s="5">
        <f t="shared" si="132"/>
        <v>0</v>
      </c>
      <c r="AK147" s="5">
        <f t="shared" si="133"/>
        <v>1336478.6506568119</v>
      </c>
      <c r="AL147" s="5">
        <f t="shared" si="134"/>
        <v>3836478.6506568054</v>
      </c>
      <c r="AM147" s="13">
        <f t="shared" si="135"/>
        <v>12</v>
      </c>
    </row>
    <row r="148" spans="1:39" x14ac:dyDescent="0.35">
      <c r="A148">
        <f t="shared" si="100"/>
        <v>145</v>
      </c>
      <c r="B148">
        <f t="shared" si="101"/>
        <v>2039</v>
      </c>
      <c r="C148">
        <f t="shared" si="102"/>
        <v>1</v>
      </c>
      <c r="D148" s="5">
        <f t="shared" si="118"/>
        <v>0</v>
      </c>
      <c r="E148" s="5">
        <f>IFERROR(IF($A148="", "", _xlfn.XLOOKUP(A148,Offset!A:A,Offset!I:I, 0)), 0)</f>
        <v>1271.6808852232716</v>
      </c>
      <c r="F148" s="5">
        <f t="shared" si="116"/>
        <v>0</v>
      </c>
      <c r="G148" s="5">
        <f t="shared" si="103"/>
        <v>0</v>
      </c>
      <c r="H148" s="5">
        <f t="shared" si="104"/>
        <v>0</v>
      </c>
      <c r="I148" s="5">
        <f t="shared" si="117"/>
        <v>0</v>
      </c>
      <c r="J148" s="5">
        <f t="shared" si="119"/>
        <v>0</v>
      </c>
      <c r="K148" s="5">
        <f t="shared" si="105"/>
        <v>0</v>
      </c>
      <c r="L148" s="5">
        <f t="shared" si="120"/>
        <v>30271.924680702195</v>
      </c>
      <c r="M148" s="5">
        <f t="shared" si="121"/>
        <v>1338584.4834244675</v>
      </c>
      <c r="N148" s="5">
        <f t="shared" si="122"/>
        <v>3838584.4834244582</v>
      </c>
      <c r="O148" s="13">
        <f t="shared" si="123"/>
        <v>13</v>
      </c>
      <c r="Q148">
        <f t="shared" si="106"/>
        <v>145</v>
      </c>
      <c r="R148">
        <f t="shared" si="107"/>
        <v>2039</v>
      </c>
      <c r="S148">
        <f t="shared" si="108"/>
        <v>1</v>
      </c>
      <c r="T148" s="5">
        <f t="shared" si="124"/>
        <v>1.4588295016437769E-9</v>
      </c>
      <c r="U148" s="5">
        <f t="shared" si="109"/>
        <v>9.7255300109585126E-12</v>
      </c>
      <c r="V148" s="5">
        <f t="shared" si="110"/>
        <v>1.4685550316547355E-9</v>
      </c>
      <c r="W148" s="5">
        <f t="shared" si="125"/>
        <v>1.4588295016437769E-9</v>
      </c>
      <c r="X148" s="5">
        <f t="shared" si="126"/>
        <v>0</v>
      </c>
      <c r="Y148" s="5">
        <f t="shared" si="127"/>
        <v>1396829.3002525347</v>
      </c>
      <c r="Z148" s="5">
        <f t="shared" si="128"/>
        <v>3896829.3002525279</v>
      </c>
      <c r="AA148" s="13">
        <f t="shared" si="129"/>
        <v>13</v>
      </c>
      <c r="AC148">
        <f t="shared" si="111"/>
        <v>145</v>
      </c>
      <c r="AD148">
        <f t="shared" si="112"/>
        <v>2039</v>
      </c>
      <c r="AE148">
        <f t="shared" si="113"/>
        <v>1</v>
      </c>
      <c r="AF148" s="5">
        <f t="shared" si="130"/>
        <v>0</v>
      </c>
      <c r="AG148" s="5">
        <f t="shared" si="114"/>
        <v>0</v>
      </c>
      <c r="AH148" s="5">
        <f t="shared" si="115"/>
        <v>0</v>
      </c>
      <c r="AI148" s="5">
        <f t="shared" si="131"/>
        <v>0</v>
      </c>
      <c r="AJ148" s="5">
        <f t="shared" si="132"/>
        <v>0</v>
      </c>
      <c r="AK148" s="5">
        <f t="shared" si="133"/>
        <v>1336478.6506568119</v>
      </c>
      <c r="AL148" s="5">
        <f t="shared" si="134"/>
        <v>3836478.6506568054</v>
      </c>
      <c r="AM148" s="13">
        <f t="shared" si="135"/>
        <v>13</v>
      </c>
    </row>
    <row r="149" spans="1:39" x14ac:dyDescent="0.35">
      <c r="A149">
        <f t="shared" si="100"/>
        <v>146</v>
      </c>
      <c r="B149">
        <f t="shared" si="101"/>
        <v>2039</v>
      </c>
      <c r="C149">
        <f t="shared" si="102"/>
        <v>2</v>
      </c>
      <c r="D149" s="5">
        <f t="shared" si="118"/>
        <v>0</v>
      </c>
      <c r="E149" s="5">
        <f>IFERROR(IF($A149="", "", _xlfn.XLOOKUP(A149,Offset!A:A,Offset!I:I, 0)), 0)</f>
        <v>2543.3617704465432</v>
      </c>
      <c r="F149" s="5">
        <f t="shared" si="116"/>
        <v>0</v>
      </c>
      <c r="G149" s="5">
        <f t="shared" si="103"/>
        <v>0</v>
      </c>
      <c r="H149" s="5">
        <f t="shared" si="104"/>
        <v>0</v>
      </c>
      <c r="I149" s="5">
        <f t="shared" si="117"/>
        <v>0</v>
      </c>
      <c r="J149" s="5">
        <f t="shared" si="119"/>
        <v>0</v>
      </c>
      <c r="K149" s="5">
        <f t="shared" si="105"/>
        <v>0</v>
      </c>
      <c r="L149" s="5">
        <f t="shared" si="120"/>
        <v>30271.924680702195</v>
      </c>
      <c r="M149" s="5">
        <f t="shared" si="121"/>
        <v>1338584.4834244675</v>
      </c>
      <c r="N149" s="5">
        <f t="shared" si="122"/>
        <v>3838584.4834244582</v>
      </c>
      <c r="O149" s="13">
        <f t="shared" si="123"/>
        <v>13</v>
      </c>
      <c r="Q149">
        <f t="shared" si="106"/>
        <v>146</v>
      </c>
      <c r="R149">
        <f t="shared" si="107"/>
        <v>2039</v>
      </c>
      <c r="S149">
        <f t="shared" si="108"/>
        <v>2</v>
      </c>
      <c r="T149" s="5">
        <f t="shared" si="124"/>
        <v>0</v>
      </c>
      <c r="U149" s="5">
        <f t="shared" si="109"/>
        <v>0</v>
      </c>
      <c r="V149" s="5">
        <f t="shared" si="110"/>
        <v>0</v>
      </c>
      <c r="W149" s="5">
        <f t="shared" si="125"/>
        <v>0</v>
      </c>
      <c r="X149" s="5">
        <f t="shared" si="126"/>
        <v>0</v>
      </c>
      <c r="Y149" s="5">
        <f t="shared" si="127"/>
        <v>1396829.3002525347</v>
      </c>
      <c r="Z149" s="5">
        <f t="shared" si="128"/>
        <v>3896829.3002525279</v>
      </c>
      <c r="AA149" s="13">
        <f t="shared" si="129"/>
        <v>13</v>
      </c>
      <c r="AC149">
        <f t="shared" si="111"/>
        <v>146</v>
      </c>
      <c r="AD149">
        <f t="shared" si="112"/>
        <v>2039</v>
      </c>
      <c r="AE149">
        <f t="shared" si="113"/>
        <v>2</v>
      </c>
      <c r="AF149" s="5">
        <f t="shared" si="130"/>
        <v>0</v>
      </c>
      <c r="AG149" s="5">
        <f t="shared" si="114"/>
        <v>0</v>
      </c>
      <c r="AH149" s="5">
        <f t="shared" si="115"/>
        <v>0</v>
      </c>
      <c r="AI149" s="5">
        <f t="shared" si="131"/>
        <v>0</v>
      </c>
      <c r="AJ149" s="5">
        <f t="shared" si="132"/>
        <v>0</v>
      </c>
      <c r="AK149" s="5">
        <f t="shared" si="133"/>
        <v>1336478.6506568119</v>
      </c>
      <c r="AL149" s="5">
        <f t="shared" si="134"/>
        <v>3836478.6506568054</v>
      </c>
      <c r="AM149" s="13">
        <f t="shared" si="135"/>
        <v>13</v>
      </c>
    </row>
    <row r="150" spans="1:39" x14ac:dyDescent="0.35">
      <c r="A150">
        <f t="shared" si="100"/>
        <v>147</v>
      </c>
      <c r="B150">
        <f t="shared" si="101"/>
        <v>2039</v>
      </c>
      <c r="C150">
        <f t="shared" si="102"/>
        <v>3</v>
      </c>
      <c r="D150" s="5">
        <f t="shared" si="118"/>
        <v>0</v>
      </c>
      <c r="E150" s="5">
        <f>IFERROR(IF($A150="", "", _xlfn.XLOOKUP(A150,Offset!A:A,Offset!I:I, 0)), 0)</f>
        <v>3815.0426556698148</v>
      </c>
      <c r="F150" s="5">
        <f t="shared" si="116"/>
        <v>0</v>
      </c>
      <c r="G150" s="5">
        <f t="shared" si="103"/>
        <v>0</v>
      </c>
      <c r="H150" s="5">
        <f t="shared" si="104"/>
        <v>0</v>
      </c>
      <c r="I150" s="5">
        <f t="shared" si="117"/>
        <v>0</v>
      </c>
      <c r="J150" s="5">
        <f t="shared" si="119"/>
        <v>0</v>
      </c>
      <c r="K150" s="5">
        <f t="shared" si="105"/>
        <v>0</v>
      </c>
      <c r="L150" s="5">
        <f t="shared" si="120"/>
        <v>30271.924680702195</v>
      </c>
      <c r="M150" s="5">
        <f t="shared" si="121"/>
        <v>1338584.4834244675</v>
      </c>
      <c r="N150" s="5">
        <f t="shared" si="122"/>
        <v>3838584.4834244582</v>
      </c>
      <c r="O150" s="13">
        <f t="shared" si="123"/>
        <v>13</v>
      </c>
      <c r="Q150">
        <f t="shared" si="106"/>
        <v>147</v>
      </c>
      <c r="R150">
        <f t="shared" si="107"/>
        <v>2039</v>
      </c>
      <c r="S150">
        <f t="shared" si="108"/>
        <v>3</v>
      </c>
      <c r="T150" s="5">
        <f t="shared" si="124"/>
        <v>0</v>
      </c>
      <c r="U150" s="5">
        <f t="shared" si="109"/>
        <v>0</v>
      </c>
      <c r="V150" s="5">
        <f t="shared" si="110"/>
        <v>0</v>
      </c>
      <c r="W150" s="5">
        <f t="shared" si="125"/>
        <v>0</v>
      </c>
      <c r="X150" s="5">
        <f t="shared" si="126"/>
        <v>0</v>
      </c>
      <c r="Y150" s="5">
        <f t="shared" si="127"/>
        <v>1396829.3002525347</v>
      </c>
      <c r="Z150" s="5">
        <f t="shared" si="128"/>
        <v>3896829.3002525279</v>
      </c>
      <c r="AA150" s="13">
        <f t="shared" si="129"/>
        <v>13</v>
      </c>
      <c r="AC150">
        <f t="shared" si="111"/>
        <v>147</v>
      </c>
      <c r="AD150">
        <f t="shared" si="112"/>
        <v>2039</v>
      </c>
      <c r="AE150">
        <f t="shared" si="113"/>
        <v>3</v>
      </c>
      <c r="AF150" s="5">
        <f t="shared" si="130"/>
        <v>0</v>
      </c>
      <c r="AG150" s="5">
        <f t="shared" si="114"/>
        <v>0</v>
      </c>
      <c r="AH150" s="5">
        <f t="shared" si="115"/>
        <v>0</v>
      </c>
      <c r="AI150" s="5">
        <f t="shared" si="131"/>
        <v>0</v>
      </c>
      <c r="AJ150" s="5">
        <f t="shared" si="132"/>
        <v>0</v>
      </c>
      <c r="AK150" s="5">
        <f t="shared" si="133"/>
        <v>1336478.6506568119</v>
      </c>
      <c r="AL150" s="5">
        <f t="shared" si="134"/>
        <v>3836478.6506568054</v>
      </c>
      <c r="AM150" s="13">
        <f t="shared" si="135"/>
        <v>13</v>
      </c>
    </row>
    <row r="151" spans="1:39" x14ac:dyDescent="0.35">
      <c r="A151">
        <f t="shared" si="100"/>
        <v>148</v>
      </c>
      <c r="B151">
        <f t="shared" si="101"/>
        <v>2039</v>
      </c>
      <c r="C151">
        <f t="shared" si="102"/>
        <v>4</v>
      </c>
      <c r="D151" s="5">
        <f t="shared" si="118"/>
        <v>0</v>
      </c>
      <c r="E151" s="5">
        <f>IFERROR(IF($A151="", "", _xlfn.XLOOKUP(A151,Offset!A:A,Offset!I:I, 0)), 0)</f>
        <v>5086.7235408930865</v>
      </c>
      <c r="F151" s="5">
        <f t="shared" si="116"/>
        <v>0</v>
      </c>
      <c r="G151" s="5">
        <f t="shared" si="103"/>
        <v>0</v>
      </c>
      <c r="H151" s="5">
        <f t="shared" si="104"/>
        <v>0</v>
      </c>
      <c r="I151" s="5">
        <f t="shared" si="117"/>
        <v>0</v>
      </c>
      <c r="J151" s="5">
        <f t="shared" si="119"/>
        <v>0</v>
      </c>
      <c r="K151" s="5">
        <f t="shared" si="105"/>
        <v>0</v>
      </c>
      <c r="L151" s="5">
        <f t="shared" si="120"/>
        <v>30271.924680702195</v>
      </c>
      <c r="M151" s="5">
        <f t="shared" si="121"/>
        <v>1338584.4834244675</v>
      </c>
      <c r="N151" s="5">
        <f t="shared" si="122"/>
        <v>3838584.4834244582</v>
      </c>
      <c r="O151" s="13">
        <f t="shared" si="123"/>
        <v>13</v>
      </c>
      <c r="Q151">
        <f t="shared" si="106"/>
        <v>148</v>
      </c>
      <c r="R151">
        <f t="shared" si="107"/>
        <v>2039</v>
      </c>
      <c r="S151">
        <f t="shared" si="108"/>
        <v>4</v>
      </c>
      <c r="T151" s="5">
        <f t="shared" si="124"/>
        <v>0</v>
      </c>
      <c r="U151" s="5">
        <f t="shared" si="109"/>
        <v>0</v>
      </c>
      <c r="V151" s="5">
        <f t="shared" si="110"/>
        <v>0</v>
      </c>
      <c r="W151" s="5">
        <f t="shared" si="125"/>
        <v>0</v>
      </c>
      <c r="X151" s="5">
        <f t="shared" si="126"/>
        <v>0</v>
      </c>
      <c r="Y151" s="5">
        <f t="shared" si="127"/>
        <v>1396829.3002525347</v>
      </c>
      <c r="Z151" s="5">
        <f t="shared" si="128"/>
        <v>3896829.3002525279</v>
      </c>
      <c r="AA151" s="13">
        <f t="shared" si="129"/>
        <v>13</v>
      </c>
      <c r="AC151">
        <f t="shared" si="111"/>
        <v>148</v>
      </c>
      <c r="AD151">
        <f t="shared" si="112"/>
        <v>2039</v>
      </c>
      <c r="AE151">
        <f t="shared" si="113"/>
        <v>4</v>
      </c>
      <c r="AF151" s="5">
        <f t="shared" si="130"/>
        <v>0</v>
      </c>
      <c r="AG151" s="5">
        <f t="shared" si="114"/>
        <v>0</v>
      </c>
      <c r="AH151" s="5">
        <f t="shared" si="115"/>
        <v>0</v>
      </c>
      <c r="AI151" s="5">
        <f t="shared" si="131"/>
        <v>0</v>
      </c>
      <c r="AJ151" s="5">
        <f t="shared" si="132"/>
        <v>0</v>
      </c>
      <c r="AK151" s="5">
        <f t="shared" si="133"/>
        <v>1336478.6506568119</v>
      </c>
      <c r="AL151" s="5">
        <f t="shared" si="134"/>
        <v>3836478.6506568054</v>
      </c>
      <c r="AM151" s="13">
        <f t="shared" si="135"/>
        <v>13</v>
      </c>
    </row>
    <row r="152" spans="1:39" x14ac:dyDescent="0.35">
      <c r="A152">
        <f t="shared" si="100"/>
        <v>149</v>
      </c>
      <c r="B152">
        <f t="shared" si="101"/>
        <v>2039</v>
      </c>
      <c r="C152">
        <f t="shared" si="102"/>
        <v>5</v>
      </c>
      <c r="D152" s="5">
        <f t="shared" si="118"/>
        <v>0</v>
      </c>
      <c r="E152" s="5">
        <f>IFERROR(IF($A152="", "", _xlfn.XLOOKUP(A152,Offset!A:A,Offset!I:I, 0)), 0)</f>
        <v>6358.4044261163581</v>
      </c>
      <c r="F152" s="5">
        <f t="shared" si="116"/>
        <v>0</v>
      </c>
      <c r="G152" s="5">
        <f t="shared" si="103"/>
        <v>0</v>
      </c>
      <c r="H152" s="5">
        <f t="shared" si="104"/>
        <v>0</v>
      </c>
      <c r="I152" s="5">
        <f t="shared" si="117"/>
        <v>0</v>
      </c>
      <c r="J152" s="5">
        <f t="shared" si="119"/>
        <v>0</v>
      </c>
      <c r="K152" s="5">
        <f t="shared" si="105"/>
        <v>0</v>
      </c>
      <c r="L152" s="5">
        <f t="shared" si="120"/>
        <v>30271.924680702195</v>
      </c>
      <c r="M152" s="5">
        <f t="shared" si="121"/>
        <v>1338584.4834244675</v>
      </c>
      <c r="N152" s="5">
        <f t="shared" si="122"/>
        <v>3838584.4834244582</v>
      </c>
      <c r="O152" s="13">
        <f t="shared" si="123"/>
        <v>13</v>
      </c>
      <c r="Q152">
        <f t="shared" si="106"/>
        <v>149</v>
      </c>
      <c r="R152">
        <f t="shared" si="107"/>
        <v>2039</v>
      </c>
      <c r="S152">
        <f t="shared" si="108"/>
        <v>5</v>
      </c>
      <c r="T152" s="5">
        <f t="shared" si="124"/>
        <v>0</v>
      </c>
      <c r="U152" s="5">
        <f t="shared" si="109"/>
        <v>0</v>
      </c>
      <c r="V152" s="5">
        <f t="shared" si="110"/>
        <v>0</v>
      </c>
      <c r="W152" s="5">
        <f t="shared" si="125"/>
        <v>0</v>
      </c>
      <c r="X152" s="5">
        <f t="shared" si="126"/>
        <v>0</v>
      </c>
      <c r="Y152" s="5">
        <f t="shared" si="127"/>
        <v>1396829.3002525347</v>
      </c>
      <c r="Z152" s="5">
        <f t="shared" si="128"/>
        <v>3896829.3002525279</v>
      </c>
      <c r="AA152" s="13">
        <f t="shared" si="129"/>
        <v>13</v>
      </c>
      <c r="AC152">
        <f t="shared" si="111"/>
        <v>149</v>
      </c>
      <c r="AD152">
        <f t="shared" si="112"/>
        <v>2039</v>
      </c>
      <c r="AE152">
        <f t="shared" si="113"/>
        <v>5</v>
      </c>
      <c r="AF152" s="5">
        <f t="shared" si="130"/>
        <v>0</v>
      </c>
      <c r="AG152" s="5">
        <f t="shared" si="114"/>
        <v>0</v>
      </c>
      <c r="AH152" s="5">
        <f t="shared" si="115"/>
        <v>0</v>
      </c>
      <c r="AI152" s="5">
        <f t="shared" si="131"/>
        <v>0</v>
      </c>
      <c r="AJ152" s="5">
        <f t="shared" si="132"/>
        <v>0</v>
      </c>
      <c r="AK152" s="5">
        <f t="shared" si="133"/>
        <v>1336478.6506568119</v>
      </c>
      <c r="AL152" s="5">
        <f t="shared" si="134"/>
        <v>3836478.6506568054</v>
      </c>
      <c r="AM152" s="13">
        <f t="shared" si="135"/>
        <v>13</v>
      </c>
    </row>
    <row r="153" spans="1:39" x14ac:dyDescent="0.35">
      <c r="A153">
        <f t="shared" si="100"/>
        <v>150</v>
      </c>
      <c r="B153">
        <f t="shared" si="101"/>
        <v>2039</v>
      </c>
      <c r="C153">
        <f t="shared" si="102"/>
        <v>6</v>
      </c>
      <c r="D153" s="5">
        <f t="shared" si="118"/>
        <v>0</v>
      </c>
      <c r="E153" s="5">
        <f>IFERROR(IF($A153="", "", _xlfn.XLOOKUP(A153,Offset!A:A,Offset!I:I, 0)), 0)</f>
        <v>7630.0853113396297</v>
      </c>
      <c r="F153" s="5">
        <f t="shared" si="116"/>
        <v>0</v>
      </c>
      <c r="G153" s="5">
        <f t="shared" si="103"/>
        <v>0</v>
      </c>
      <c r="H153" s="5">
        <f t="shared" si="104"/>
        <v>0</v>
      </c>
      <c r="I153" s="5">
        <f t="shared" si="117"/>
        <v>0</v>
      </c>
      <c r="J153" s="5">
        <f t="shared" si="119"/>
        <v>0</v>
      </c>
      <c r="K153" s="5">
        <f t="shared" si="105"/>
        <v>0</v>
      </c>
      <c r="L153" s="5">
        <f t="shared" si="120"/>
        <v>30271.924680702195</v>
      </c>
      <c r="M153" s="5">
        <f t="shared" si="121"/>
        <v>1338584.4834244675</v>
      </c>
      <c r="N153" s="5">
        <f t="shared" si="122"/>
        <v>3838584.4834244582</v>
      </c>
      <c r="O153" s="13">
        <f t="shared" si="123"/>
        <v>13</v>
      </c>
      <c r="Q153">
        <f t="shared" si="106"/>
        <v>150</v>
      </c>
      <c r="R153">
        <f t="shared" si="107"/>
        <v>2039</v>
      </c>
      <c r="S153">
        <f t="shared" si="108"/>
        <v>6</v>
      </c>
      <c r="T153" s="5">
        <f t="shared" si="124"/>
        <v>0</v>
      </c>
      <c r="U153" s="5">
        <f t="shared" si="109"/>
        <v>0</v>
      </c>
      <c r="V153" s="5">
        <f t="shared" si="110"/>
        <v>0</v>
      </c>
      <c r="W153" s="5">
        <f t="shared" si="125"/>
        <v>0</v>
      </c>
      <c r="X153" s="5">
        <f t="shared" si="126"/>
        <v>0</v>
      </c>
      <c r="Y153" s="5">
        <f t="shared" si="127"/>
        <v>1396829.3002525347</v>
      </c>
      <c r="Z153" s="5">
        <f t="shared" si="128"/>
        <v>3896829.3002525279</v>
      </c>
      <c r="AA153" s="13">
        <f t="shared" si="129"/>
        <v>13</v>
      </c>
      <c r="AC153">
        <f t="shared" si="111"/>
        <v>150</v>
      </c>
      <c r="AD153">
        <f t="shared" si="112"/>
        <v>2039</v>
      </c>
      <c r="AE153">
        <f t="shared" si="113"/>
        <v>6</v>
      </c>
      <c r="AF153" s="5">
        <f t="shared" si="130"/>
        <v>0</v>
      </c>
      <c r="AG153" s="5">
        <f t="shared" si="114"/>
        <v>0</v>
      </c>
      <c r="AH153" s="5">
        <f t="shared" si="115"/>
        <v>0</v>
      </c>
      <c r="AI153" s="5">
        <f t="shared" si="131"/>
        <v>0</v>
      </c>
      <c r="AJ153" s="5">
        <f t="shared" si="132"/>
        <v>0</v>
      </c>
      <c r="AK153" s="5">
        <f t="shared" si="133"/>
        <v>1336478.6506568119</v>
      </c>
      <c r="AL153" s="5">
        <f t="shared" si="134"/>
        <v>3836478.6506568054</v>
      </c>
      <c r="AM153" s="13">
        <f t="shared" si="135"/>
        <v>13</v>
      </c>
    </row>
    <row r="154" spans="1:39" x14ac:dyDescent="0.35">
      <c r="A154">
        <f t="shared" si="100"/>
        <v>151</v>
      </c>
      <c r="B154">
        <f t="shared" si="101"/>
        <v>2039</v>
      </c>
      <c r="C154">
        <f t="shared" si="102"/>
        <v>7</v>
      </c>
      <c r="D154" s="5">
        <f t="shared" si="118"/>
        <v>0</v>
      </c>
      <c r="E154" s="5">
        <f>IFERROR(IF($A154="", "", _xlfn.XLOOKUP(A154,Offset!A:A,Offset!I:I, 0)), 0)</f>
        <v>8901.7661965629013</v>
      </c>
      <c r="F154" s="5">
        <f t="shared" si="116"/>
        <v>0</v>
      </c>
      <c r="G154" s="5">
        <f t="shared" si="103"/>
        <v>0</v>
      </c>
      <c r="H154" s="5">
        <f t="shared" si="104"/>
        <v>0</v>
      </c>
      <c r="I154" s="5">
        <f t="shared" si="117"/>
        <v>0</v>
      </c>
      <c r="J154" s="5">
        <f t="shared" si="119"/>
        <v>0</v>
      </c>
      <c r="K154" s="5">
        <f t="shared" si="105"/>
        <v>0</v>
      </c>
      <c r="L154" s="5">
        <f t="shared" si="120"/>
        <v>30271.924680702195</v>
      </c>
      <c r="M154" s="5">
        <f t="shared" si="121"/>
        <v>1338584.4834244675</v>
      </c>
      <c r="N154" s="5">
        <f t="shared" si="122"/>
        <v>3838584.4834244582</v>
      </c>
      <c r="O154" s="13">
        <f t="shared" si="123"/>
        <v>13</v>
      </c>
      <c r="Q154">
        <f t="shared" si="106"/>
        <v>151</v>
      </c>
      <c r="R154">
        <f t="shared" si="107"/>
        <v>2039</v>
      </c>
      <c r="S154">
        <f t="shared" si="108"/>
        <v>7</v>
      </c>
      <c r="T154" s="5">
        <f t="shared" si="124"/>
        <v>0</v>
      </c>
      <c r="U154" s="5">
        <f t="shared" si="109"/>
        <v>0</v>
      </c>
      <c r="V154" s="5">
        <f t="shared" si="110"/>
        <v>0</v>
      </c>
      <c r="W154" s="5">
        <f t="shared" si="125"/>
        <v>0</v>
      </c>
      <c r="X154" s="5">
        <f t="shared" si="126"/>
        <v>0</v>
      </c>
      <c r="Y154" s="5">
        <f t="shared" si="127"/>
        <v>1396829.3002525347</v>
      </c>
      <c r="Z154" s="5">
        <f t="shared" si="128"/>
        <v>3896829.3002525279</v>
      </c>
      <c r="AA154" s="13">
        <f t="shared" si="129"/>
        <v>13</v>
      </c>
      <c r="AC154">
        <f t="shared" si="111"/>
        <v>151</v>
      </c>
      <c r="AD154">
        <f t="shared" si="112"/>
        <v>2039</v>
      </c>
      <c r="AE154">
        <f t="shared" si="113"/>
        <v>7</v>
      </c>
      <c r="AF154" s="5">
        <f t="shared" si="130"/>
        <v>0</v>
      </c>
      <c r="AG154" s="5">
        <f t="shared" si="114"/>
        <v>0</v>
      </c>
      <c r="AH154" s="5">
        <f t="shared" si="115"/>
        <v>0</v>
      </c>
      <c r="AI154" s="5">
        <f t="shared" si="131"/>
        <v>0</v>
      </c>
      <c r="AJ154" s="5">
        <f t="shared" si="132"/>
        <v>0</v>
      </c>
      <c r="AK154" s="5">
        <f t="shared" si="133"/>
        <v>1336478.6506568119</v>
      </c>
      <c r="AL154" s="5">
        <f t="shared" si="134"/>
        <v>3836478.6506568054</v>
      </c>
      <c r="AM154" s="13">
        <f t="shared" si="135"/>
        <v>13</v>
      </c>
    </row>
    <row r="155" spans="1:39" x14ac:dyDescent="0.35">
      <c r="A155">
        <f t="shared" si="100"/>
        <v>152</v>
      </c>
      <c r="B155">
        <f t="shared" si="101"/>
        <v>2039</v>
      </c>
      <c r="C155">
        <f t="shared" si="102"/>
        <v>8</v>
      </c>
      <c r="D155" s="5">
        <f t="shared" si="118"/>
        <v>0</v>
      </c>
      <c r="E155" s="5">
        <f>IFERROR(IF($A155="", "", _xlfn.XLOOKUP(A155,Offset!A:A,Offset!I:I, 0)), 0)</f>
        <v>10173.447081786173</v>
      </c>
      <c r="F155" s="5">
        <f t="shared" si="116"/>
        <v>0</v>
      </c>
      <c r="G155" s="5">
        <f t="shared" si="103"/>
        <v>0</v>
      </c>
      <c r="H155" s="5">
        <f t="shared" si="104"/>
        <v>0</v>
      </c>
      <c r="I155" s="5">
        <f t="shared" si="117"/>
        <v>0</v>
      </c>
      <c r="J155" s="5">
        <f t="shared" si="119"/>
        <v>0</v>
      </c>
      <c r="K155" s="5">
        <f t="shared" si="105"/>
        <v>0</v>
      </c>
      <c r="L155" s="5">
        <f t="shared" si="120"/>
        <v>30271.924680702195</v>
      </c>
      <c r="M155" s="5">
        <f t="shared" si="121"/>
        <v>1338584.4834244675</v>
      </c>
      <c r="N155" s="5">
        <f t="shared" si="122"/>
        <v>3838584.4834244582</v>
      </c>
      <c r="O155" s="13">
        <f t="shared" si="123"/>
        <v>13</v>
      </c>
      <c r="Q155">
        <f t="shared" si="106"/>
        <v>152</v>
      </c>
      <c r="R155">
        <f t="shared" si="107"/>
        <v>2039</v>
      </c>
      <c r="S155">
        <f t="shared" si="108"/>
        <v>8</v>
      </c>
      <c r="T155" s="5">
        <f t="shared" si="124"/>
        <v>0</v>
      </c>
      <c r="U155" s="5">
        <f t="shared" si="109"/>
        <v>0</v>
      </c>
      <c r="V155" s="5">
        <f t="shared" si="110"/>
        <v>0</v>
      </c>
      <c r="W155" s="5">
        <f t="shared" si="125"/>
        <v>0</v>
      </c>
      <c r="X155" s="5">
        <f t="shared" si="126"/>
        <v>0</v>
      </c>
      <c r="Y155" s="5">
        <f t="shared" si="127"/>
        <v>1396829.3002525347</v>
      </c>
      <c r="Z155" s="5">
        <f t="shared" si="128"/>
        <v>3896829.3002525279</v>
      </c>
      <c r="AA155" s="13">
        <f t="shared" si="129"/>
        <v>13</v>
      </c>
      <c r="AC155">
        <f t="shared" si="111"/>
        <v>152</v>
      </c>
      <c r="AD155">
        <f t="shared" si="112"/>
        <v>2039</v>
      </c>
      <c r="AE155">
        <f t="shared" si="113"/>
        <v>8</v>
      </c>
      <c r="AF155" s="5">
        <f t="shared" si="130"/>
        <v>0</v>
      </c>
      <c r="AG155" s="5">
        <f t="shared" si="114"/>
        <v>0</v>
      </c>
      <c r="AH155" s="5">
        <f t="shared" si="115"/>
        <v>0</v>
      </c>
      <c r="AI155" s="5">
        <f t="shared" si="131"/>
        <v>0</v>
      </c>
      <c r="AJ155" s="5">
        <f t="shared" si="132"/>
        <v>0</v>
      </c>
      <c r="AK155" s="5">
        <f t="shared" si="133"/>
        <v>1336478.6506568119</v>
      </c>
      <c r="AL155" s="5">
        <f t="shared" si="134"/>
        <v>3836478.6506568054</v>
      </c>
      <c r="AM155" s="13">
        <f t="shared" si="135"/>
        <v>13</v>
      </c>
    </row>
    <row r="156" spans="1:39" x14ac:dyDescent="0.35">
      <c r="A156">
        <f t="shared" si="100"/>
        <v>153</v>
      </c>
      <c r="B156">
        <f t="shared" si="101"/>
        <v>2039</v>
      </c>
      <c r="C156">
        <f t="shared" si="102"/>
        <v>9</v>
      </c>
      <c r="D156" s="5">
        <f t="shared" si="118"/>
        <v>0</v>
      </c>
      <c r="E156" s="5">
        <f>IFERROR(IF($A156="", "", _xlfn.XLOOKUP(A156,Offset!A:A,Offset!I:I, 0)), 0)</f>
        <v>11445.127967009445</v>
      </c>
      <c r="F156" s="5">
        <f t="shared" si="116"/>
        <v>0</v>
      </c>
      <c r="G156" s="5">
        <f t="shared" si="103"/>
        <v>0</v>
      </c>
      <c r="H156" s="5">
        <f t="shared" si="104"/>
        <v>0</v>
      </c>
      <c r="I156" s="5">
        <f t="shared" si="117"/>
        <v>0</v>
      </c>
      <c r="J156" s="5">
        <f t="shared" si="119"/>
        <v>0</v>
      </c>
      <c r="K156" s="5">
        <f t="shared" si="105"/>
        <v>0</v>
      </c>
      <c r="L156" s="5">
        <f t="shared" si="120"/>
        <v>30271.924680702195</v>
      </c>
      <c r="M156" s="5">
        <f t="shared" si="121"/>
        <v>1338584.4834244675</v>
      </c>
      <c r="N156" s="5">
        <f t="shared" si="122"/>
        <v>3838584.4834244582</v>
      </c>
      <c r="O156" s="13">
        <f t="shared" si="123"/>
        <v>13</v>
      </c>
      <c r="Q156">
        <f t="shared" si="106"/>
        <v>153</v>
      </c>
      <c r="R156">
        <f t="shared" si="107"/>
        <v>2039</v>
      </c>
      <c r="S156">
        <f t="shared" si="108"/>
        <v>9</v>
      </c>
      <c r="T156" s="5">
        <f t="shared" si="124"/>
        <v>0</v>
      </c>
      <c r="U156" s="5">
        <f t="shared" si="109"/>
        <v>0</v>
      </c>
      <c r="V156" s="5">
        <f t="shared" si="110"/>
        <v>0</v>
      </c>
      <c r="W156" s="5">
        <f t="shared" si="125"/>
        <v>0</v>
      </c>
      <c r="X156" s="5">
        <f t="shared" si="126"/>
        <v>0</v>
      </c>
      <c r="Y156" s="5">
        <f t="shared" si="127"/>
        <v>1396829.3002525347</v>
      </c>
      <c r="Z156" s="5">
        <f t="shared" si="128"/>
        <v>3896829.3002525279</v>
      </c>
      <c r="AA156" s="13">
        <f t="shared" si="129"/>
        <v>13</v>
      </c>
      <c r="AC156">
        <f t="shared" si="111"/>
        <v>153</v>
      </c>
      <c r="AD156">
        <f t="shared" si="112"/>
        <v>2039</v>
      </c>
      <c r="AE156">
        <f t="shared" si="113"/>
        <v>9</v>
      </c>
      <c r="AF156" s="5">
        <f t="shared" si="130"/>
        <v>0</v>
      </c>
      <c r="AG156" s="5">
        <f t="shared" si="114"/>
        <v>0</v>
      </c>
      <c r="AH156" s="5">
        <f t="shared" si="115"/>
        <v>0</v>
      </c>
      <c r="AI156" s="5">
        <f t="shared" si="131"/>
        <v>0</v>
      </c>
      <c r="AJ156" s="5">
        <f t="shared" si="132"/>
        <v>0</v>
      </c>
      <c r="AK156" s="5">
        <f t="shared" si="133"/>
        <v>1336478.6506568119</v>
      </c>
      <c r="AL156" s="5">
        <f t="shared" si="134"/>
        <v>3836478.6506568054</v>
      </c>
      <c r="AM156" s="13">
        <f t="shared" si="135"/>
        <v>13</v>
      </c>
    </row>
    <row r="157" spans="1:39" x14ac:dyDescent="0.35">
      <c r="A157">
        <f t="shared" si="100"/>
        <v>154</v>
      </c>
      <c r="B157">
        <f t="shared" si="101"/>
        <v>2039</v>
      </c>
      <c r="C157">
        <f t="shared" si="102"/>
        <v>10</v>
      </c>
      <c r="D157" s="5">
        <f t="shared" si="118"/>
        <v>0</v>
      </c>
      <c r="E157" s="5">
        <f>IFERROR(IF($A157="", "", _xlfn.XLOOKUP(A157,Offset!A:A,Offset!I:I, 0)), 0)</f>
        <v>12716.808852232716</v>
      </c>
      <c r="F157" s="5">
        <f t="shared" si="116"/>
        <v>0</v>
      </c>
      <c r="G157" s="5">
        <f t="shared" si="103"/>
        <v>0</v>
      </c>
      <c r="H157" s="5">
        <f t="shared" si="104"/>
        <v>0</v>
      </c>
      <c r="I157" s="5">
        <f t="shared" si="117"/>
        <v>0</v>
      </c>
      <c r="J157" s="5">
        <f t="shared" si="119"/>
        <v>0</v>
      </c>
      <c r="K157" s="5">
        <f t="shared" si="105"/>
        <v>0</v>
      </c>
      <c r="L157" s="5">
        <f t="shared" si="120"/>
        <v>30271.924680702195</v>
      </c>
      <c r="M157" s="5">
        <f t="shared" si="121"/>
        <v>1338584.4834244675</v>
      </c>
      <c r="N157" s="5">
        <f t="shared" si="122"/>
        <v>3838584.4834244582</v>
      </c>
      <c r="O157" s="13">
        <f t="shared" si="123"/>
        <v>13</v>
      </c>
      <c r="Q157">
        <f t="shared" si="106"/>
        <v>154</v>
      </c>
      <c r="R157">
        <f t="shared" si="107"/>
        <v>2039</v>
      </c>
      <c r="S157">
        <f t="shared" si="108"/>
        <v>10</v>
      </c>
      <c r="T157" s="5">
        <f t="shared" si="124"/>
        <v>0</v>
      </c>
      <c r="U157" s="5">
        <f t="shared" si="109"/>
        <v>0</v>
      </c>
      <c r="V157" s="5">
        <f t="shared" si="110"/>
        <v>0</v>
      </c>
      <c r="W157" s="5">
        <f t="shared" si="125"/>
        <v>0</v>
      </c>
      <c r="X157" s="5">
        <f t="shared" si="126"/>
        <v>0</v>
      </c>
      <c r="Y157" s="5">
        <f t="shared" si="127"/>
        <v>1396829.3002525347</v>
      </c>
      <c r="Z157" s="5">
        <f t="shared" si="128"/>
        <v>3896829.3002525279</v>
      </c>
      <c r="AA157" s="13">
        <f t="shared" si="129"/>
        <v>13</v>
      </c>
      <c r="AC157">
        <f t="shared" si="111"/>
        <v>154</v>
      </c>
      <c r="AD157">
        <f t="shared" si="112"/>
        <v>2039</v>
      </c>
      <c r="AE157">
        <f t="shared" si="113"/>
        <v>10</v>
      </c>
      <c r="AF157" s="5">
        <f t="shared" si="130"/>
        <v>0</v>
      </c>
      <c r="AG157" s="5">
        <f t="shared" si="114"/>
        <v>0</v>
      </c>
      <c r="AH157" s="5">
        <f t="shared" si="115"/>
        <v>0</v>
      </c>
      <c r="AI157" s="5">
        <f t="shared" si="131"/>
        <v>0</v>
      </c>
      <c r="AJ157" s="5">
        <f t="shared" si="132"/>
        <v>0</v>
      </c>
      <c r="AK157" s="5">
        <f t="shared" si="133"/>
        <v>1336478.6506568119</v>
      </c>
      <c r="AL157" s="5">
        <f t="shared" si="134"/>
        <v>3836478.6506568054</v>
      </c>
      <c r="AM157" s="13">
        <f t="shared" si="135"/>
        <v>13</v>
      </c>
    </row>
    <row r="158" spans="1:39" x14ac:dyDescent="0.35">
      <c r="A158">
        <f t="shared" si="100"/>
        <v>155</v>
      </c>
      <c r="B158">
        <f t="shared" si="101"/>
        <v>2039</v>
      </c>
      <c r="C158">
        <f t="shared" si="102"/>
        <v>11</v>
      </c>
      <c r="D158" s="5">
        <f t="shared" si="118"/>
        <v>0</v>
      </c>
      <c r="E158" s="5">
        <f>IFERROR(IF($A158="", "", _xlfn.XLOOKUP(A158,Offset!A:A,Offset!I:I, 0)), 0)</f>
        <v>13988.489737455988</v>
      </c>
      <c r="F158" s="5">
        <f t="shared" si="116"/>
        <v>0</v>
      </c>
      <c r="G158" s="5">
        <f t="shared" si="103"/>
        <v>0</v>
      </c>
      <c r="H158" s="5">
        <f t="shared" si="104"/>
        <v>0</v>
      </c>
      <c r="I158" s="5">
        <f t="shared" si="117"/>
        <v>0</v>
      </c>
      <c r="J158" s="5">
        <f t="shared" si="119"/>
        <v>0</v>
      </c>
      <c r="K158" s="5">
        <f t="shared" si="105"/>
        <v>0</v>
      </c>
      <c r="L158" s="5">
        <f t="shared" si="120"/>
        <v>30271.924680702195</v>
      </c>
      <c r="M158" s="5">
        <f t="shared" si="121"/>
        <v>1338584.4834244675</v>
      </c>
      <c r="N158" s="5">
        <f t="shared" si="122"/>
        <v>3838584.4834244582</v>
      </c>
      <c r="O158" s="13">
        <f t="shared" si="123"/>
        <v>13</v>
      </c>
      <c r="Q158">
        <f t="shared" si="106"/>
        <v>155</v>
      </c>
      <c r="R158">
        <f t="shared" si="107"/>
        <v>2039</v>
      </c>
      <c r="S158">
        <f t="shared" si="108"/>
        <v>11</v>
      </c>
      <c r="T158" s="5">
        <f t="shared" si="124"/>
        <v>0</v>
      </c>
      <c r="U158" s="5">
        <f t="shared" si="109"/>
        <v>0</v>
      </c>
      <c r="V158" s="5">
        <f t="shared" si="110"/>
        <v>0</v>
      </c>
      <c r="W158" s="5">
        <f t="shared" si="125"/>
        <v>0</v>
      </c>
      <c r="X158" s="5">
        <f t="shared" si="126"/>
        <v>0</v>
      </c>
      <c r="Y158" s="5">
        <f t="shared" si="127"/>
        <v>1396829.3002525347</v>
      </c>
      <c r="Z158" s="5">
        <f t="shared" si="128"/>
        <v>3896829.3002525279</v>
      </c>
      <c r="AA158" s="13">
        <f t="shared" si="129"/>
        <v>13</v>
      </c>
      <c r="AC158">
        <f t="shared" si="111"/>
        <v>155</v>
      </c>
      <c r="AD158">
        <f t="shared" si="112"/>
        <v>2039</v>
      </c>
      <c r="AE158">
        <f t="shared" si="113"/>
        <v>11</v>
      </c>
      <c r="AF158" s="5">
        <f t="shared" si="130"/>
        <v>0</v>
      </c>
      <c r="AG158" s="5">
        <f t="shared" si="114"/>
        <v>0</v>
      </c>
      <c r="AH158" s="5">
        <f t="shared" si="115"/>
        <v>0</v>
      </c>
      <c r="AI158" s="5">
        <f t="shared" si="131"/>
        <v>0</v>
      </c>
      <c r="AJ158" s="5">
        <f t="shared" si="132"/>
        <v>0</v>
      </c>
      <c r="AK158" s="5">
        <f t="shared" si="133"/>
        <v>1336478.6506568119</v>
      </c>
      <c r="AL158" s="5">
        <f t="shared" si="134"/>
        <v>3836478.6506568054</v>
      </c>
      <c r="AM158" s="13">
        <f t="shared" si="135"/>
        <v>13</v>
      </c>
    </row>
    <row r="159" spans="1:39" x14ac:dyDescent="0.35">
      <c r="A159">
        <f t="shared" si="100"/>
        <v>156</v>
      </c>
      <c r="B159">
        <f t="shared" si="101"/>
        <v>2039</v>
      </c>
      <c r="C159">
        <f t="shared" si="102"/>
        <v>12</v>
      </c>
      <c r="D159" s="5">
        <f t="shared" si="118"/>
        <v>0</v>
      </c>
      <c r="E159" s="5">
        <f>IFERROR(IF($A159="", "", _xlfn.XLOOKUP(A159,Offset!A:A,Offset!I:I, 0)), 0)</f>
        <v>15260.170622679259</v>
      </c>
      <c r="F159" s="5">
        <f t="shared" si="116"/>
        <v>0</v>
      </c>
      <c r="G159" s="5">
        <f t="shared" si="103"/>
        <v>0</v>
      </c>
      <c r="H159" s="5">
        <f t="shared" si="104"/>
        <v>0</v>
      </c>
      <c r="I159" s="5">
        <f t="shared" si="117"/>
        <v>0</v>
      </c>
      <c r="J159" s="5">
        <f t="shared" si="119"/>
        <v>0</v>
      </c>
      <c r="K159" s="5">
        <f t="shared" si="105"/>
        <v>0</v>
      </c>
      <c r="L159" s="5">
        <f t="shared" si="120"/>
        <v>30271.924680702195</v>
      </c>
      <c r="M159" s="5">
        <f t="shared" si="121"/>
        <v>1338584.4834244675</v>
      </c>
      <c r="N159" s="5">
        <f t="shared" si="122"/>
        <v>3838584.4834244582</v>
      </c>
      <c r="O159" s="13">
        <f t="shared" si="123"/>
        <v>13</v>
      </c>
      <c r="Q159">
        <f t="shared" si="106"/>
        <v>156</v>
      </c>
      <c r="R159">
        <f t="shared" si="107"/>
        <v>2039</v>
      </c>
      <c r="S159">
        <f t="shared" si="108"/>
        <v>12</v>
      </c>
      <c r="T159" s="5">
        <f t="shared" si="124"/>
        <v>0</v>
      </c>
      <c r="U159" s="5">
        <f t="shared" si="109"/>
        <v>0</v>
      </c>
      <c r="V159" s="5">
        <f t="shared" si="110"/>
        <v>0</v>
      </c>
      <c r="W159" s="5">
        <f t="shared" si="125"/>
        <v>0</v>
      </c>
      <c r="X159" s="5">
        <f t="shared" si="126"/>
        <v>0</v>
      </c>
      <c r="Y159" s="5">
        <f t="shared" si="127"/>
        <v>1396829.3002525347</v>
      </c>
      <c r="Z159" s="5">
        <f t="shared" si="128"/>
        <v>3896829.3002525279</v>
      </c>
      <c r="AA159" s="13">
        <f t="shared" si="129"/>
        <v>13</v>
      </c>
      <c r="AC159">
        <f t="shared" si="111"/>
        <v>156</v>
      </c>
      <c r="AD159">
        <f t="shared" si="112"/>
        <v>2039</v>
      </c>
      <c r="AE159">
        <f t="shared" si="113"/>
        <v>12</v>
      </c>
      <c r="AF159" s="5">
        <f t="shared" si="130"/>
        <v>0</v>
      </c>
      <c r="AG159" s="5">
        <f t="shared" si="114"/>
        <v>0</v>
      </c>
      <c r="AH159" s="5">
        <f t="shared" si="115"/>
        <v>0</v>
      </c>
      <c r="AI159" s="5">
        <f t="shared" si="131"/>
        <v>0</v>
      </c>
      <c r="AJ159" s="5">
        <f t="shared" si="132"/>
        <v>0</v>
      </c>
      <c r="AK159" s="5">
        <f t="shared" si="133"/>
        <v>1336478.6506568119</v>
      </c>
      <c r="AL159" s="5">
        <f t="shared" si="134"/>
        <v>3836478.6506568054</v>
      </c>
      <c r="AM159" s="13">
        <f t="shared" si="135"/>
        <v>13</v>
      </c>
    </row>
    <row r="160" spans="1:39" x14ac:dyDescent="0.35">
      <c r="A160">
        <f t="shared" si="100"/>
        <v>157</v>
      </c>
      <c r="B160">
        <f t="shared" si="101"/>
        <v>2040</v>
      </c>
      <c r="C160">
        <f t="shared" ref="C160:C167" si="136">IF($A160="", "", MOD(A160-1, PPY_Loan)+1)</f>
        <v>1</v>
      </c>
      <c r="D160" s="5">
        <f t="shared" ref="D160:D167" si="137">IFERROR(IF($A160="", "",IF(J159&lt;=0, 0,J159)), 0)</f>
        <v>0</v>
      </c>
      <c r="E160" s="5">
        <f>IFERROR(IF($A160="", "", _xlfn.XLOOKUP(A160,Offset!A:A,Offset!I:I, 0)), 0)</f>
        <v>1158.0041573538538</v>
      </c>
      <c r="F160" s="5">
        <f t="shared" ref="F160:F167" si="138">IFERROR(IF($A160="", "", MAX(0, D160 - E160)), 0)</f>
        <v>0</v>
      </c>
      <c r="G160" s="5">
        <f t="shared" ref="G160:G167" si="139">IFERROR(IF($A160="", "", F160*(LoanRate/PPY_Loan)), 0)</f>
        <v>0</v>
      </c>
      <c r="H160" s="5">
        <f t="shared" ref="H160:H167" si="140">IFERROR(IF($A160="", "", IF(D160&lt;=0, 0, MIN(StdPayment, D160+G160))), 0)</f>
        <v>0</v>
      </c>
      <c r="I160" s="5">
        <f t="shared" ref="I160:I167" si="141">IFERROR(IF($A160="", "", IF(D160&lt;=0, 0,H160-G160)), 0)</f>
        <v>0</v>
      </c>
      <c r="J160" s="5">
        <f t="shared" ref="J160:J167" si="142">IFERROR(IF($A160="", "", IF(D160&lt;=0, 0, MAX(0, D160-I160))), 0)</f>
        <v>0</v>
      </c>
      <c r="K160" s="5">
        <f t="shared" ref="K160:K167" si="143">IFERROR(IF($A160="", "", IF(D160&lt;=0, 0, E160*(LoanRate/PPY_Loan))), 0)</f>
        <v>0</v>
      </c>
      <c r="L160" s="5">
        <f t="shared" ref="L160:L167" si="144">IFERROR(IF($A160="", "", L159+K160), 0)</f>
        <v>30271.924680702195</v>
      </c>
      <c r="M160" s="5">
        <f t="shared" ref="M160:M167" si="145">IF($A160="","",M159+G160)</f>
        <v>1338584.4834244675</v>
      </c>
      <c r="N160" s="5">
        <f t="shared" ref="N160:N167" si="146">IF($A160="","",N159+H160)</f>
        <v>3838584.4834244582</v>
      </c>
      <c r="O160" s="13">
        <f t="shared" ref="O160:O167" si="147">IF($A160="","",IF(B160&lt;&gt;B159,O159+1,O159))</f>
        <v>14</v>
      </c>
      <c r="Q160">
        <f t="shared" si="106"/>
        <v>157</v>
      </c>
      <c r="R160">
        <f t="shared" si="107"/>
        <v>2040</v>
      </c>
      <c r="S160">
        <f t="shared" ref="S160:S183" si="148">IF($Q160="", "", MOD(Q160-1, PPY_Loan)+1)</f>
        <v>1</v>
      </c>
      <c r="T160" s="5">
        <f t="shared" ref="T160:T183" si="149">IFERROR(IF($Q160="", "",IF(X159&lt;=0, 0, X159)), 0)</f>
        <v>0</v>
      </c>
      <c r="U160" s="5">
        <f t="shared" ref="U160:U183" si="150">IFERROR(IF($Q160="", "", T160*(LoanRate/PPY_Loan)), 0)</f>
        <v>0</v>
      </c>
      <c r="V160" s="5">
        <f t="shared" si="110"/>
        <v>0</v>
      </c>
      <c r="W160" s="5">
        <f t="shared" ref="W160:W183" si="151">IFERROR(IF($Q160="", "", IF(T160&lt;=0, 0, V160-U160)), 0)</f>
        <v>0</v>
      </c>
      <c r="X160" s="5">
        <f t="shared" ref="X160:X183" si="152">IFERROR(IF($Q160="", "", IF(T160&lt;=0, 0, MAX(0, T160-W160))), 0)</f>
        <v>0</v>
      </c>
      <c r="Y160" s="5">
        <f t="shared" ref="Y160:Y183" si="153">IF($Q160="","",Y159+U160)</f>
        <v>1396829.3002525347</v>
      </c>
      <c r="Z160" s="5">
        <f t="shared" ref="Z160:Z183" si="154">IF($Q160="","",Z159+V160)</f>
        <v>3896829.3002525279</v>
      </c>
      <c r="AA160" s="13">
        <f t="shared" ref="AA160:AA183" si="155">IF($Q160="","",IF(R160&lt;&gt;R159,AA159+1,AA159))</f>
        <v>14</v>
      </c>
      <c r="AC160">
        <f t="shared" si="111"/>
        <v>157</v>
      </c>
      <c r="AD160">
        <f t="shared" si="112"/>
        <v>2040</v>
      </c>
      <c r="AE160">
        <f t="shared" ref="AE160:AE183" si="156">IF($AC160="", "", MOD(AC160-1, PPY_Loan)+1)</f>
        <v>1</v>
      </c>
      <c r="AF160" s="5">
        <f t="shared" ref="AF160:AF183" si="157">IFERROR(IF($AC160="", "",IF(AJ159&lt;=0, 0, AJ159)), 0)</f>
        <v>0</v>
      </c>
      <c r="AG160" s="5">
        <f t="shared" ref="AG160:AG183" si="158">IFERROR(IF($AC160="", "", AF160*(LoanRate/PPY_Loan)), 0)</f>
        <v>0</v>
      </c>
      <c r="AH160" s="5">
        <f t="shared" si="115"/>
        <v>0</v>
      </c>
      <c r="AI160" s="5">
        <f t="shared" ref="AI160:AI183" si="159">IFERROR(IF($AC160="", "", IF(AF160&lt;=0, 0, AH160-AG160)), 0)</f>
        <v>0</v>
      </c>
      <c r="AJ160" s="5">
        <f t="shared" ref="AJ160:AJ183" si="160">IFERROR(IF($AC160="", "", IF(AF160&lt;=0, 0, MAX(0, AF160-AI160))), 0)</f>
        <v>0</v>
      </c>
      <c r="AK160" s="5">
        <f t="shared" ref="AK160:AK183" si="161">IF($AC160="","",AK159+AG160)</f>
        <v>1336478.6506568119</v>
      </c>
      <c r="AL160" s="5">
        <f t="shared" ref="AL160:AL183" si="162">IF($AC160="","",AL159+AH160)</f>
        <v>3836478.6506568054</v>
      </c>
      <c r="AM160" s="13">
        <f t="shared" ref="AM160:AM183" si="163">IF($AC160="","",IF(AD160&lt;&gt;AD159,AM159+1,AM159))</f>
        <v>14</v>
      </c>
    </row>
    <row r="161" spans="1:39" x14ac:dyDescent="0.35">
      <c r="A161">
        <f t="shared" si="100"/>
        <v>158</v>
      </c>
      <c r="B161">
        <f t="shared" si="101"/>
        <v>2040</v>
      </c>
      <c r="C161">
        <f t="shared" si="136"/>
        <v>2</v>
      </c>
      <c r="D161" s="5">
        <f t="shared" si="137"/>
        <v>0</v>
      </c>
      <c r="E161" s="5">
        <f>IFERROR(IF($A161="", "", _xlfn.XLOOKUP(A161,Offset!A:A,Offset!I:I, 0)), 0)</f>
        <v>2316.0083147077075</v>
      </c>
      <c r="F161" s="5">
        <f t="shared" si="138"/>
        <v>0</v>
      </c>
      <c r="G161" s="5">
        <f t="shared" si="139"/>
        <v>0</v>
      </c>
      <c r="H161" s="5">
        <f t="shared" si="140"/>
        <v>0</v>
      </c>
      <c r="I161" s="5">
        <f t="shared" si="141"/>
        <v>0</v>
      </c>
      <c r="J161" s="5">
        <f t="shared" si="142"/>
        <v>0</v>
      </c>
      <c r="K161" s="5">
        <f t="shared" si="143"/>
        <v>0</v>
      </c>
      <c r="L161" s="5">
        <f t="shared" si="144"/>
        <v>30271.924680702195</v>
      </c>
      <c r="M161" s="5">
        <f t="shared" si="145"/>
        <v>1338584.4834244675</v>
      </c>
      <c r="N161" s="5">
        <f t="shared" si="146"/>
        <v>3838584.4834244582</v>
      </c>
      <c r="O161" s="13">
        <f t="shared" si="147"/>
        <v>14</v>
      </c>
      <c r="Q161">
        <f t="shared" si="106"/>
        <v>158</v>
      </c>
      <c r="R161">
        <f t="shared" si="107"/>
        <v>2040</v>
      </c>
      <c r="S161">
        <f t="shared" si="148"/>
        <v>2</v>
      </c>
      <c r="T161" s="5">
        <f t="shared" si="149"/>
        <v>0</v>
      </c>
      <c r="U161" s="5">
        <f t="shared" si="150"/>
        <v>0</v>
      </c>
      <c r="V161" s="5">
        <f t="shared" si="110"/>
        <v>0</v>
      </c>
      <c r="W161" s="5">
        <f t="shared" si="151"/>
        <v>0</v>
      </c>
      <c r="X161" s="5">
        <f t="shared" si="152"/>
        <v>0</v>
      </c>
      <c r="Y161" s="5">
        <f t="shared" si="153"/>
        <v>1396829.3002525347</v>
      </c>
      <c r="Z161" s="5">
        <f t="shared" si="154"/>
        <v>3896829.3002525279</v>
      </c>
      <c r="AA161" s="13">
        <f t="shared" si="155"/>
        <v>14</v>
      </c>
      <c r="AC161">
        <f t="shared" si="111"/>
        <v>158</v>
      </c>
      <c r="AD161">
        <f t="shared" si="112"/>
        <v>2040</v>
      </c>
      <c r="AE161">
        <f t="shared" si="156"/>
        <v>2</v>
      </c>
      <c r="AF161" s="5">
        <f t="shared" si="157"/>
        <v>0</v>
      </c>
      <c r="AG161" s="5">
        <f t="shared" si="158"/>
        <v>0</v>
      </c>
      <c r="AH161" s="5">
        <f t="shared" si="115"/>
        <v>0</v>
      </c>
      <c r="AI161" s="5">
        <f t="shared" si="159"/>
        <v>0</v>
      </c>
      <c r="AJ161" s="5">
        <f t="shared" si="160"/>
        <v>0</v>
      </c>
      <c r="AK161" s="5">
        <f t="shared" si="161"/>
        <v>1336478.6506568119</v>
      </c>
      <c r="AL161" s="5">
        <f t="shared" si="162"/>
        <v>3836478.6506568054</v>
      </c>
      <c r="AM161" s="13">
        <f t="shared" si="163"/>
        <v>14</v>
      </c>
    </row>
    <row r="162" spans="1:39" x14ac:dyDescent="0.35">
      <c r="A162">
        <f t="shared" si="100"/>
        <v>159</v>
      </c>
      <c r="B162">
        <f t="shared" si="101"/>
        <v>2040</v>
      </c>
      <c r="C162">
        <f t="shared" si="136"/>
        <v>3</v>
      </c>
      <c r="D162" s="5">
        <f t="shared" si="137"/>
        <v>0</v>
      </c>
      <c r="E162" s="5">
        <f>IFERROR(IF($A162="", "", _xlfn.XLOOKUP(A162,Offset!A:A,Offset!I:I, 0)), 0)</f>
        <v>3474.0124720615613</v>
      </c>
      <c r="F162" s="5">
        <f t="shared" si="138"/>
        <v>0</v>
      </c>
      <c r="G162" s="5">
        <f t="shared" si="139"/>
        <v>0</v>
      </c>
      <c r="H162" s="5">
        <f t="shared" si="140"/>
        <v>0</v>
      </c>
      <c r="I162" s="5">
        <f t="shared" si="141"/>
        <v>0</v>
      </c>
      <c r="J162" s="5">
        <f t="shared" si="142"/>
        <v>0</v>
      </c>
      <c r="K162" s="5">
        <f t="shared" si="143"/>
        <v>0</v>
      </c>
      <c r="L162" s="5">
        <f t="shared" si="144"/>
        <v>30271.924680702195</v>
      </c>
      <c r="M162" s="5">
        <f t="shared" si="145"/>
        <v>1338584.4834244675</v>
      </c>
      <c r="N162" s="5">
        <f t="shared" si="146"/>
        <v>3838584.4834244582</v>
      </c>
      <c r="O162" s="13">
        <f t="shared" si="147"/>
        <v>14</v>
      </c>
      <c r="Q162">
        <f t="shared" si="106"/>
        <v>159</v>
      </c>
      <c r="R162">
        <f t="shared" si="107"/>
        <v>2040</v>
      </c>
      <c r="S162">
        <f t="shared" si="148"/>
        <v>3</v>
      </c>
      <c r="T162" s="5">
        <f t="shared" si="149"/>
        <v>0</v>
      </c>
      <c r="U162" s="5">
        <f t="shared" si="150"/>
        <v>0</v>
      </c>
      <c r="V162" s="5">
        <f t="shared" si="110"/>
        <v>0</v>
      </c>
      <c r="W162" s="5">
        <f t="shared" si="151"/>
        <v>0</v>
      </c>
      <c r="X162" s="5">
        <f t="shared" si="152"/>
        <v>0</v>
      </c>
      <c r="Y162" s="5">
        <f t="shared" si="153"/>
        <v>1396829.3002525347</v>
      </c>
      <c r="Z162" s="5">
        <f t="shared" si="154"/>
        <v>3896829.3002525279</v>
      </c>
      <c r="AA162" s="13">
        <f t="shared" si="155"/>
        <v>14</v>
      </c>
      <c r="AC162">
        <f t="shared" si="111"/>
        <v>159</v>
      </c>
      <c r="AD162">
        <f t="shared" si="112"/>
        <v>2040</v>
      </c>
      <c r="AE162">
        <f t="shared" si="156"/>
        <v>3</v>
      </c>
      <c r="AF162" s="5">
        <f t="shared" si="157"/>
        <v>0</v>
      </c>
      <c r="AG162" s="5">
        <f t="shared" si="158"/>
        <v>0</v>
      </c>
      <c r="AH162" s="5">
        <f t="shared" si="115"/>
        <v>0</v>
      </c>
      <c r="AI162" s="5">
        <f t="shared" si="159"/>
        <v>0</v>
      </c>
      <c r="AJ162" s="5">
        <f t="shared" si="160"/>
        <v>0</v>
      </c>
      <c r="AK162" s="5">
        <f t="shared" si="161"/>
        <v>1336478.6506568119</v>
      </c>
      <c r="AL162" s="5">
        <f t="shared" si="162"/>
        <v>3836478.6506568054</v>
      </c>
      <c r="AM162" s="13">
        <f t="shared" si="163"/>
        <v>14</v>
      </c>
    </row>
    <row r="163" spans="1:39" x14ac:dyDescent="0.35">
      <c r="A163">
        <f t="shared" si="100"/>
        <v>160</v>
      </c>
      <c r="B163">
        <f t="shared" si="101"/>
        <v>2040</v>
      </c>
      <c r="C163">
        <f t="shared" si="136"/>
        <v>4</v>
      </c>
      <c r="D163" s="5">
        <f t="shared" si="137"/>
        <v>0</v>
      </c>
      <c r="E163" s="5">
        <f>IFERROR(IF($A163="", "", _xlfn.XLOOKUP(A163,Offset!A:A,Offset!I:I, 0)), 0)</f>
        <v>4632.0166294154151</v>
      </c>
      <c r="F163" s="5">
        <f t="shared" si="138"/>
        <v>0</v>
      </c>
      <c r="G163" s="5">
        <f t="shared" si="139"/>
        <v>0</v>
      </c>
      <c r="H163" s="5">
        <f t="shared" si="140"/>
        <v>0</v>
      </c>
      <c r="I163" s="5">
        <f t="shared" si="141"/>
        <v>0</v>
      </c>
      <c r="J163" s="5">
        <f t="shared" si="142"/>
        <v>0</v>
      </c>
      <c r="K163" s="5">
        <f t="shared" si="143"/>
        <v>0</v>
      </c>
      <c r="L163" s="5">
        <f t="shared" si="144"/>
        <v>30271.924680702195</v>
      </c>
      <c r="M163" s="5">
        <f t="shared" si="145"/>
        <v>1338584.4834244675</v>
      </c>
      <c r="N163" s="5">
        <f t="shared" si="146"/>
        <v>3838584.4834244582</v>
      </c>
      <c r="O163" s="13">
        <f t="shared" si="147"/>
        <v>14</v>
      </c>
      <c r="Q163">
        <f t="shared" si="106"/>
        <v>160</v>
      </c>
      <c r="R163">
        <f t="shared" si="107"/>
        <v>2040</v>
      </c>
      <c r="S163">
        <f t="shared" si="148"/>
        <v>4</v>
      </c>
      <c r="T163" s="5">
        <f t="shared" si="149"/>
        <v>0</v>
      </c>
      <c r="U163" s="5">
        <f t="shared" si="150"/>
        <v>0</v>
      </c>
      <c r="V163" s="5">
        <f t="shared" si="110"/>
        <v>0</v>
      </c>
      <c r="W163" s="5">
        <f t="shared" si="151"/>
        <v>0</v>
      </c>
      <c r="X163" s="5">
        <f t="shared" si="152"/>
        <v>0</v>
      </c>
      <c r="Y163" s="5">
        <f t="shared" si="153"/>
        <v>1396829.3002525347</v>
      </c>
      <c r="Z163" s="5">
        <f t="shared" si="154"/>
        <v>3896829.3002525279</v>
      </c>
      <c r="AA163" s="13">
        <f t="shared" si="155"/>
        <v>14</v>
      </c>
      <c r="AC163">
        <f t="shared" si="111"/>
        <v>160</v>
      </c>
      <c r="AD163">
        <f t="shared" si="112"/>
        <v>2040</v>
      </c>
      <c r="AE163">
        <f t="shared" si="156"/>
        <v>4</v>
      </c>
      <c r="AF163" s="5">
        <f t="shared" si="157"/>
        <v>0</v>
      </c>
      <c r="AG163" s="5">
        <f t="shared" si="158"/>
        <v>0</v>
      </c>
      <c r="AH163" s="5">
        <f t="shared" si="115"/>
        <v>0</v>
      </c>
      <c r="AI163" s="5">
        <f t="shared" si="159"/>
        <v>0</v>
      </c>
      <c r="AJ163" s="5">
        <f t="shared" si="160"/>
        <v>0</v>
      </c>
      <c r="AK163" s="5">
        <f t="shared" si="161"/>
        <v>1336478.6506568119</v>
      </c>
      <c r="AL163" s="5">
        <f t="shared" si="162"/>
        <v>3836478.6506568054</v>
      </c>
      <c r="AM163" s="13">
        <f t="shared" si="163"/>
        <v>14</v>
      </c>
    </row>
    <row r="164" spans="1:39" x14ac:dyDescent="0.35">
      <c r="A164">
        <f t="shared" si="100"/>
        <v>161</v>
      </c>
      <c r="B164">
        <f t="shared" si="101"/>
        <v>2040</v>
      </c>
      <c r="C164">
        <f t="shared" si="136"/>
        <v>5</v>
      </c>
      <c r="D164" s="5">
        <f t="shared" si="137"/>
        <v>0</v>
      </c>
      <c r="E164" s="5">
        <f>IFERROR(IF($A164="", "", _xlfn.XLOOKUP(A164,Offset!A:A,Offset!I:I, 0)), 0)</f>
        <v>5790.0207867692689</v>
      </c>
      <c r="F164" s="5">
        <f t="shared" si="138"/>
        <v>0</v>
      </c>
      <c r="G164" s="5">
        <f t="shared" si="139"/>
        <v>0</v>
      </c>
      <c r="H164" s="5">
        <f t="shared" si="140"/>
        <v>0</v>
      </c>
      <c r="I164" s="5">
        <f t="shared" si="141"/>
        <v>0</v>
      </c>
      <c r="J164" s="5">
        <f t="shared" si="142"/>
        <v>0</v>
      </c>
      <c r="K164" s="5">
        <f t="shared" si="143"/>
        <v>0</v>
      </c>
      <c r="L164" s="5">
        <f t="shared" si="144"/>
        <v>30271.924680702195</v>
      </c>
      <c r="M164" s="5">
        <f t="shared" si="145"/>
        <v>1338584.4834244675</v>
      </c>
      <c r="N164" s="5">
        <f t="shared" si="146"/>
        <v>3838584.4834244582</v>
      </c>
      <c r="O164" s="13">
        <f t="shared" si="147"/>
        <v>14</v>
      </c>
      <c r="Q164">
        <f t="shared" si="106"/>
        <v>161</v>
      </c>
      <c r="R164">
        <f t="shared" si="107"/>
        <v>2040</v>
      </c>
      <c r="S164">
        <f t="shared" si="148"/>
        <v>5</v>
      </c>
      <c r="T164" s="5">
        <f t="shared" si="149"/>
        <v>0</v>
      </c>
      <c r="U164" s="5">
        <f t="shared" si="150"/>
        <v>0</v>
      </c>
      <c r="V164" s="5">
        <f t="shared" si="110"/>
        <v>0</v>
      </c>
      <c r="W164" s="5">
        <f t="shared" si="151"/>
        <v>0</v>
      </c>
      <c r="X164" s="5">
        <f t="shared" si="152"/>
        <v>0</v>
      </c>
      <c r="Y164" s="5">
        <f t="shared" si="153"/>
        <v>1396829.3002525347</v>
      </c>
      <c r="Z164" s="5">
        <f t="shared" si="154"/>
        <v>3896829.3002525279</v>
      </c>
      <c r="AA164" s="13">
        <f t="shared" si="155"/>
        <v>14</v>
      </c>
      <c r="AC164">
        <f t="shared" si="111"/>
        <v>161</v>
      </c>
      <c r="AD164">
        <f t="shared" si="112"/>
        <v>2040</v>
      </c>
      <c r="AE164">
        <f t="shared" si="156"/>
        <v>5</v>
      </c>
      <c r="AF164" s="5">
        <f t="shared" si="157"/>
        <v>0</v>
      </c>
      <c r="AG164" s="5">
        <f t="shared" si="158"/>
        <v>0</v>
      </c>
      <c r="AH164" s="5">
        <f t="shared" si="115"/>
        <v>0</v>
      </c>
      <c r="AI164" s="5">
        <f t="shared" si="159"/>
        <v>0</v>
      </c>
      <c r="AJ164" s="5">
        <f t="shared" si="160"/>
        <v>0</v>
      </c>
      <c r="AK164" s="5">
        <f t="shared" si="161"/>
        <v>1336478.6506568119</v>
      </c>
      <c r="AL164" s="5">
        <f t="shared" si="162"/>
        <v>3836478.6506568054</v>
      </c>
      <c r="AM164" s="13">
        <f t="shared" si="163"/>
        <v>14</v>
      </c>
    </row>
    <row r="165" spans="1:39" x14ac:dyDescent="0.35">
      <c r="A165">
        <f t="shared" si="100"/>
        <v>162</v>
      </c>
      <c r="B165">
        <f t="shared" si="101"/>
        <v>2040</v>
      </c>
      <c r="C165">
        <f t="shared" si="136"/>
        <v>6</v>
      </c>
      <c r="D165" s="5">
        <f t="shared" si="137"/>
        <v>0</v>
      </c>
      <c r="E165" s="5">
        <f>IFERROR(IF($A165="", "", _xlfn.XLOOKUP(A165,Offset!A:A,Offset!I:I, 0)), 0)</f>
        <v>6948.0249441231226</v>
      </c>
      <c r="F165" s="5">
        <f t="shared" si="138"/>
        <v>0</v>
      </c>
      <c r="G165" s="5">
        <f t="shared" si="139"/>
        <v>0</v>
      </c>
      <c r="H165" s="5">
        <f t="shared" si="140"/>
        <v>0</v>
      </c>
      <c r="I165" s="5">
        <f t="shared" si="141"/>
        <v>0</v>
      </c>
      <c r="J165" s="5">
        <f t="shared" si="142"/>
        <v>0</v>
      </c>
      <c r="K165" s="5">
        <f t="shared" si="143"/>
        <v>0</v>
      </c>
      <c r="L165" s="5">
        <f t="shared" si="144"/>
        <v>30271.924680702195</v>
      </c>
      <c r="M165" s="5">
        <f t="shared" si="145"/>
        <v>1338584.4834244675</v>
      </c>
      <c r="N165" s="5">
        <f t="shared" si="146"/>
        <v>3838584.4834244582</v>
      </c>
      <c r="O165" s="13">
        <f t="shared" si="147"/>
        <v>14</v>
      </c>
      <c r="Q165">
        <f t="shared" si="106"/>
        <v>162</v>
      </c>
      <c r="R165">
        <f t="shared" si="107"/>
        <v>2040</v>
      </c>
      <c r="S165">
        <f t="shared" si="148"/>
        <v>6</v>
      </c>
      <c r="T165" s="5">
        <f t="shared" si="149"/>
        <v>0</v>
      </c>
      <c r="U165" s="5">
        <f t="shared" si="150"/>
        <v>0</v>
      </c>
      <c r="V165" s="5">
        <f t="shared" si="110"/>
        <v>0</v>
      </c>
      <c r="W165" s="5">
        <f t="shared" si="151"/>
        <v>0</v>
      </c>
      <c r="X165" s="5">
        <f t="shared" si="152"/>
        <v>0</v>
      </c>
      <c r="Y165" s="5">
        <f t="shared" si="153"/>
        <v>1396829.3002525347</v>
      </c>
      <c r="Z165" s="5">
        <f t="shared" si="154"/>
        <v>3896829.3002525279</v>
      </c>
      <c r="AA165" s="13">
        <f t="shared" si="155"/>
        <v>14</v>
      </c>
      <c r="AC165">
        <f t="shared" si="111"/>
        <v>162</v>
      </c>
      <c r="AD165">
        <f t="shared" si="112"/>
        <v>2040</v>
      </c>
      <c r="AE165">
        <f t="shared" si="156"/>
        <v>6</v>
      </c>
      <c r="AF165" s="5">
        <f t="shared" si="157"/>
        <v>0</v>
      </c>
      <c r="AG165" s="5">
        <f t="shared" si="158"/>
        <v>0</v>
      </c>
      <c r="AH165" s="5">
        <f t="shared" si="115"/>
        <v>0</v>
      </c>
      <c r="AI165" s="5">
        <f t="shared" si="159"/>
        <v>0</v>
      </c>
      <c r="AJ165" s="5">
        <f t="shared" si="160"/>
        <v>0</v>
      </c>
      <c r="AK165" s="5">
        <f t="shared" si="161"/>
        <v>1336478.6506568119</v>
      </c>
      <c r="AL165" s="5">
        <f t="shared" si="162"/>
        <v>3836478.6506568054</v>
      </c>
      <c r="AM165" s="13">
        <f t="shared" si="163"/>
        <v>14</v>
      </c>
    </row>
    <row r="166" spans="1:39" x14ac:dyDescent="0.35">
      <c r="A166">
        <f t="shared" si="100"/>
        <v>163</v>
      </c>
      <c r="B166">
        <f t="shared" si="101"/>
        <v>2040</v>
      </c>
      <c r="C166">
        <f t="shared" si="136"/>
        <v>7</v>
      </c>
      <c r="D166" s="5">
        <f t="shared" si="137"/>
        <v>0</v>
      </c>
      <c r="E166" s="5">
        <f>IFERROR(IF($A166="", "", _xlfn.XLOOKUP(A166,Offset!A:A,Offset!I:I, 0)), 0)</f>
        <v>8106.0291014769764</v>
      </c>
      <c r="F166" s="5">
        <f t="shared" si="138"/>
        <v>0</v>
      </c>
      <c r="G166" s="5">
        <f t="shared" si="139"/>
        <v>0</v>
      </c>
      <c r="H166" s="5">
        <f t="shared" si="140"/>
        <v>0</v>
      </c>
      <c r="I166" s="5">
        <f t="shared" si="141"/>
        <v>0</v>
      </c>
      <c r="J166" s="5">
        <f t="shared" si="142"/>
        <v>0</v>
      </c>
      <c r="K166" s="5">
        <f t="shared" si="143"/>
        <v>0</v>
      </c>
      <c r="L166" s="5">
        <f t="shared" si="144"/>
        <v>30271.924680702195</v>
      </c>
      <c r="M166" s="5">
        <f t="shared" si="145"/>
        <v>1338584.4834244675</v>
      </c>
      <c r="N166" s="5">
        <f t="shared" si="146"/>
        <v>3838584.4834244582</v>
      </c>
      <c r="O166" s="13">
        <f t="shared" si="147"/>
        <v>14</v>
      </c>
      <c r="Q166">
        <f t="shared" si="106"/>
        <v>163</v>
      </c>
      <c r="R166">
        <f t="shared" si="107"/>
        <v>2040</v>
      </c>
      <c r="S166">
        <f t="shared" si="148"/>
        <v>7</v>
      </c>
      <c r="T166" s="5">
        <f t="shared" si="149"/>
        <v>0</v>
      </c>
      <c r="U166" s="5">
        <f t="shared" si="150"/>
        <v>0</v>
      </c>
      <c r="V166" s="5">
        <f t="shared" si="110"/>
        <v>0</v>
      </c>
      <c r="W166" s="5">
        <f t="shared" si="151"/>
        <v>0</v>
      </c>
      <c r="X166" s="5">
        <f t="shared" si="152"/>
        <v>0</v>
      </c>
      <c r="Y166" s="5">
        <f t="shared" si="153"/>
        <v>1396829.3002525347</v>
      </c>
      <c r="Z166" s="5">
        <f t="shared" si="154"/>
        <v>3896829.3002525279</v>
      </c>
      <c r="AA166" s="13">
        <f t="shared" si="155"/>
        <v>14</v>
      </c>
      <c r="AC166">
        <f t="shared" si="111"/>
        <v>163</v>
      </c>
      <c r="AD166">
        <f t="shared" si="112"/>
        <v>2040</v>
      </c>
      <c r="AE166">
        <f t="shared" si="156"/>
        <v>7</v>
      </c>
      <c r="AF166" s="5">
        <f t="shared" si="157"/>
        <v>0</v>
      </c>
      <c r="AG166" s="5">
        <f t="shared" si="158"/>
        <v>0</v>
      </c>
      <c r="AH166" s="5">
        <f t="shared" si="115"/>
        <v>0</v>
      </c>
      <c r="AI166" s="5">
        <f t="shared" si="159"/>
        <v>0</v>
      </c>
      <c r="AJ166" s="5">
        <f t="shared" si="160"/>
        <v>0</v>
      </c>
      <c r="AK166" s="5">
        <f t="shared" si="161"/>
        <v>1336478.6506568119</v>
      </c>
      <c r="AL166" s="5">
        <f t="shared" si="162"/>
        <v>3836478.6506568054</v>
      </c>
      <c r="AM166" s="13">
        <f t="shared" si="163"/>
        <v>14</v>
      </c>
    </row>
    <row r="167" spans="1:39" x14ac:dyDescent="0.35">
      <c r="A167">
        <f t="shared" si="100"/>
        <v>164</v>
      </c>
      <c r="B167">
        <f t="shared" si="101"/>
        <v>2040</v>
      </c>
      <c r="C167">
        <f t="shared" si="136"/>
        <v>8</v>
      </c>
      <c r="D167" s="5">
        <f t="shared" si="137"/>
        <v>0</v>
      </c>
      <c r="E167" s="5">
        <f>IFERROR(IF($A167="", "", _xlfn.XLOOKUP(A167,Offset!A:A,Offset!I:I, 0)), 0)</f>
        <v>9264.0332588308302</v>
      </c>
      <c r="F167" s="5">
        <f t="shared" si="138"/>
        <v>0</v>
      </c>
      <c r="G167" s="5">
        <f t="shared" si="139"/>
        <v>0</v>
      </c>
      <c r="H167" s="5">
        <f t="shared" si="140"/>
        <v>0</v>
      </c>
      <c r="I167" s="5">
        <f t="shared" si="141"/>
        <v>0</v>
      </c>
      <c r="J167" s="5">
        <f t="shared" si="142"/>
        <v>0</v>
      </c>
      <c r="K167" s="5">
        <f t="shared" si="143"/>
        <v>0</v>
      </c>
      <c r="L167" s="5">
        <f t="shared" si="144"/>
        <v>30271.924680702195</v>
      </c>
      <c r="M167" s="5">
        <f t="shared" si="145"/>
        <v>1338584.4834244675</v>
      </c>
      <c r="N167" s="5">
        <f t="shared" si="146"/>
        <v>3838584.4834244582</v>
      </c>
      <c r="O167" s="13">
        <f t="shared" si="147"/>
        <v>14</v>
      </c>
      <c r="Q167">
        <f t="shared" si="106"/>
        <v>164</v>
      </c>
      <c r="R167">
        <f t="shared" si="107"/>
        <v>2040</v>
      </c>
      <c r="S167">
        <f t="shared" si="148"/>
        <v>8</v>
      </c>
      <c r="T167" s="5">
        <f t="shared" si="149"/>
        <v>0</v>
      </c>
      <c r="U167" s="5">
        <f t="shared" si="150"/>
        <v>0</v>
      </c>
      <c r="V167" s="5">
        <f t="shared" si="110"/>
        <v>0</v>
      </c>
      <c r="W167" s="5">
        <f t="shared" si="151"/>
        <v>0</v>
      </c>
      <c r="X167" s="5">
        <f t="shared" si="152"/>
        <v>0</v>
      </c>
      <c r="Y167" s="5">
        <f t="shared" si="153"/>
        <v>1396829.3002525347</v>
      </c>
      <c r="Z167" s="5">
        <f t="shared" si="154"/>
        <v>3896829.3002525279</v>
      </c>
      <c r="AA167" s="13">
        <f t="shared" si="155"/>
        <v>14</v>
      </c>
      <c r="AC167">
        <f t="shared" si="111"/>
        <v>164</v>
      </c>
      <c r="AD167">
        <f t="shared" si="112"/>
        <v>2040</v>
      </c>
      <c r="AE167">
        <f t="shared" si="156"/>
        <v>8</v>
      </c>
      <c r="AF167" s="5">
        <f t="shared" si="157"/>
        <v>0</v>
      </c>
      <c r="AG167" s="5">
        <f t="shared" si="158"/>
        <v>0</v>
      </c>
      <c r="AH167" s="5">
        <f t="shared" si="115"/>
        <v>0</v>
      </c>
      <c r="AI167" s="5">
        <f t="shared" si="159"/>
        <v>0</v>
      </c>
      <c r="AJ167" s="5">
        <f t="shared" si="160"/>
        <v>0</v>
      </c>
      <c r="AK167" s="5">
        <f t="shared" si="161"/>
        <v>1336478.6506568119</v>
      </c>
      <c r="AL167" s="5">
        <f t="shared" si="162"/>
        <v>3836478.6506568054</v>
      </c>
      <c r="AM167" s="13">
        <f t="shared" si="163"/>
        <v>14</v>
      </c>
    </row>
    <row r="168" spans="1:39" x14ac:dyDescent="0.35">
      <c r="A168">
        <f t="shared" si="100"/>
        <v>165</v>
      </c>
      <c r="B168">
        <f t="shared" si="101"/>
        <v>2040</v>
      </c>
      <c r="C168">
        <f t="shared" ref="C168:C183" si="164">IF($A168="", "", MOD(A168-1, PPY_Loan)+1)</f>
        <v>9</v>
      </c>
      <c r="D168" s="5">
        <f t="shared" ref="D168:D183" si="165">IFERROR(IF($A168="", "",IF(J167&lt;=0, 0,J167)), 0)</f>
        <v>0</v>
      </c>
      <c r="E168" s="5">
        <f>IFERROR(IF($A168="", "", _xlfn.XLOOKUP(A168,Offset!A:A,Offset!I:I, 0)), 0)</f>
        <v>10422.037416184685</v>
      </c>
      <c r="F168" s="5">
        <f t="shared" ref="F168:F183" si="166">IFERROR(IF($A168="", "", MAX(0, D168 - E168)), 0)</f>
        <v>0</v>
      </c>
      <c r="G168" s="5">
        <f t="shared" ref="G168:G183" si="167">IFERROR(IF($A168="", "", F168*(LoanRate/PPY_Loan)), 0)</f>
        <v>0</v>
      </c>
      <c r="H168" s="5">
        <f t="shared" ref="H168:H183" si="168">IFERROR(IF($A168="", "", IF(D168&lt;=0, 0, MIN(StdPayment, D168+G168))), 0)</f>
        <v>0</v>
      </c>
      <c r="I168" s="5">
        <f t="shared" ref="I168:I183" si="169">IFERROR(IF($A168="", "", IF(D168&lt;=0, 0,H168-G168)), 0)</f>
        <v>0</v>
      </c>
      <c r="J168" s="5">
        <f t="shared" ref="J168:J183" si="170">IFERROR(IF($A168="", "", IF(D168&lt;=0, 0, MAX(0, D168-I168))), 0)</f>
        <v>0</v>
      </c>
      <c r="K168" s="5">
        <f t="shared" ref="K168:K183" si="171">IFERROR(IF($A168="", "", IF(D168&lt;=0, 0, E168*(LoanRate/PPY_Loan))), 0)</f>
        <v>0</v>
      </c>
      <c r="L168" s="5">
        <f t="shared" ref="L168:L183" si="172">IFERROR(IF($A168="", "", L167+K168), 0)</f>
        <v>30271.924680702195</v>
      </c>
      <c r="M168" s="5">
        <f t="shared" ref="M168:M183" si="173">IF($A168="","",M167+G168)</f>
        <v>1338584.4834244675</v>
      </c>
      <c r="N168" s="5">
        <f t="shared" ref="N168:N183" si="174">IF($A168="","",N167+H168)</f>
        <v>3838584.4834244582</v>
      </c>
      <c r="O168" s="13">
        <f t="shared" ref="O168:O183" si="175">IF($A168="","",IF(B168&lt;&gt;B167,O167+1,O167))</f>
        <v>14</v>
      </c>
      <c r="Q168">
        <f t="shared" si="106"/>
        <v>165</v>
      </c>
      <c r="R168">
        <f t="shared" si="107"/>
        <v>2040</v>
      </c>
      <c r="S168">
        <f t="shared" si="148"/>
        <v>9</v>
      </c>
      <c r="T168" s="5">
        <f t="shared" si="149"/>
        <v>0</v>
      </c>
      <c r="U168" s="5">
        <f t="shared" si="150"/>
        <v>0</v>
      </c>
      <c r="V168" s="5">
        <f t="shared" si="110"/>
        <v>0</v>
      </c>
      <c r="W168" s="5">
        <f t="shared" si="151"/>
        <v>0</v>
      </c>
      <c r="X168" s="5">
        <f t="shared" si="152"/>
        <v>0</v>
      </c>
      <c r="Y168" s="5">
        <f t="shared" si="153"/>
        <v>1396829.3002525347</v>
      </c>
      <c r="Z168" s="5">
        <f t="shared" si="154"/>
        <v>3896829.3002525279</v>
      </c>
      <c r="AA168" s="13">
        <f t="shared" si="155"/>
        <v>14</v>
      </c>
      <c r="AC168">
        <f t="shared" si="111"/>
        <v>165</v>
      </c>
      <c r="AD168">
        <f t="shared" si="112"/>
        <v>2040</v>
      </c>
      <c r="AE168">
        <f t="shared" si="156"/>
        <v>9</v>
      </c>
      <c r="AF168" s="5">
        <f t="shared" si="157"/>
        <v>0</v>
      </c>
      <c r="AG168" s="5">
        <f t="shared" si="158"/>
        <v>0</v>
      </c>
      <c r="AH168" s="5">
        <f t="shared" si="115"/>
        <v>0</v>
      </c>
      <c r="AI168" s="5">
        <f t="shared" si="159"/>
        <v>0</v>
      </c>
      <c r="AJ168" s="5">
        <f t="shared" si="160"/>
        <v>0</v>
      </c>
      <c r="AK168" s="5">
        <f t="shared" si="161"/>
        <v>1336478.6506568119</v>
      </c>
      <c r="AL168" s="5">
        <f t="shared" si="162"/>
        <v>3836478.6506568054</v>
      </c>
      <c r="AM168" s="13">
        <f t="shared" si="163"/>
        <v>14</v>
      </c>
    </row>
    <row r="169" spans="1:39" x14ac:dyDescent="0.35">
      <c r="A169">
        <f t="shared" si="100"/>
        <v>166</v>
      </c>
      <c r="B169">
        <f t="shared" si="101"/>
        <v>2040</v>
      </c>
      <c r="C169">
        <f t="shared" si="164"/>
        <v>10</v>
      </c>
      <c r="D169" s="5">
        <f t="shared" si="165"/>
        <v>0</v>
      </c>
      <c r="E169" s="5">
        <f>IFERROR(IF($A169="", "", _xlfn.XLOOKUP(A169,Offset!A:A,Offset!I:I, 0)), 0)</f>
        <v>11580.04157353854</v>
      </c>
      <c r="F169" s="5">
        <f t="shared" si="166"/>
        <v>0</v>
      </c>
      <c r="G169" s="5">
        <f t="shared" si="167"/>
        <v>0</v>
      </c>
      <c r="H169" s="5">
        <f t="shared" si="168"/>
        <v>0</v>
      </c>
      <c r="I169" s="5">
        <f t="shared" si="169"/>
        <v>0</v>
      </c>
      <c r="J169" s="5">
        <f t="shared" si="170"/>
        <v>0</v>
      </c>
      <c r="K169" s="5">
        <f t="shared" si="171"/>
        <v>0</v>
      </c>
      <c r="L169" s="5">
        <f t="shared" si="172"/>
        <v>30271.924680702195</v>
      </c>
      <c r="M169" s="5">
        <f t="shared" si="173"/>
        <v>1338584.4834244675</v>
      </c>
      <c r="N169" s="5">
        <f t="shared" si="174"/>
        <v>3838584.4834244582</v>
      </c>
      <c r="O169" s="13">
        <f t="shared" si="175"/>
        <v>14</v>
      </c>
      <c r="Q169">
        <f t="shared" si="106"/>
        <v>166</v>
      </c>
      <c r="R169">
        <f t="shared" si="107"/>
        <v>2040</v>
      </c>
      <c r="S169">
        <f t="shared" si="148"/>
        <v>10</v>
      </c>
      <c r="T169" s="5">
        <f t="shared" si="149"/>
        <v>0</v>
      </c>
      <c r="U169" s="5">
        <f t="shared" si="150"/>
        <v>0</v>
      </c>
      <c r="V169" s="5">
        <f t="shared" si="110"/>
        <v>0</v>
      </c>
      <c r="W169" s="5">
        <f t="shared" si="151"/>
        <v>0</v>
      </c>
      <c r="X169" s="5">
        <f t="shared" si="152"/>
        <v>0</v>
      </c>
      <c r="Y169" s="5">
        <f t="shared" si="153"/>
        <v>1396829.3002525347</v>
      </c>
      <c r="Z169" s="5">
        <f t="shared" si="154"/>
        <v>3896829.3002525279</v>
      </c>
      <c r="AA169" s="13">
        <f t="shared" si="155"/>
        <v>14</v>
      </c>
      <c r="AC169">
        <f t="shared" si="111"/>
        <v>166</v>
      </c>
      <c r="AD169">
        <f t="shared" si="112"/>
        <v>2040</v>
      </c>
      <c r="AE169">
        <f t="shared" si="156"/>
        <v>10</v>
      </c>
      <c r="AF169" s="5">
        <f t="shared" si="157"/>
        <v>0</v>
      </c>
      <c r="AG169" s="5">
        <f t="shared" si="158"/>
        <v>0</v>
      </c>
      <c r="AH169" s="5">
        <f t="shared" si="115"/>
        <v>0</v>
      </c>
      <c r="AI169" s="5">
        <f t="shared" si="159"/>
        <v>0</v>
      </c>
      <c r="AJ169" s="5">
        <f t="shared" si="160"/>
        <v>0</v>
      </c>
      <c r="AK169" s="5">
        <f t="shared" si="161"/>
        <v>1336478.6506568119</v>
      </c>
      <c r="AL169" s="5">
        <f t="shared" si="162"/>
        <v>3836478.6506568054</v>
      </c>
      <c r="AM169" s="13">
        <f t="shared" si="163"/>
        <v>14</v>
      </c>
    </row>
    <row r="170" spans="1:39" x14ac:dyDescent="0.35">
      <c r="A170">
        <f t="shared" si="100"/>
        <v>167</v>
      </c>
      <c r="B170">
        <f t="shared" si="101"/>
        <v>2040</v>
      </c>
      <c r="C170">
        <f t="shared" si="164"/>
        <v>11</v>
      </c>
      <c r="D170" s="5">
        <f t="shared" si="165"/>
        <v>0</v>
      </c>
      <c r="E170" s="5">
        <f>IFERROR(IF($A170="", "", _xlfn.XLOOKUP(A170,Offset!A:A,Offset!I:I, 0)), 0)</f>
        <v>12738.045730892394</v>
      </c>
      <c r="F170" s="5">
        <f t="shared" si="166"/>
        <v>0</v>
      </c>
      <c r="G170" s="5">
        <f t="shared" si="167"/>
        <v>0</v>
      </c>
      <c r="H170" s="5">
        <f t="shared" si="168"/>
        <v>0</v>
      </c>
      <c r="I170" s="5">
        <f t="shared" si="169"/>
        <v>0</v>
      </c>
      <c r="J170" s="5">
        <f t="shared" si="170"/>
        <v>0</v>
      </c>
      <c r="K170" s="5">
        <f t="shared" si="171"/>
        <v>0</v>
      </c>
      <c r="L170" s="5">
        <f t="shared" si="172"/>
        <v>30271.924680702195</v>
      </c>
      <c r="M170" s="5">
        <f t="shared" si="173"/>
        <v>1338584.4834244675</v>
      </c>
      <c r="N170" s="5">
        <f t="shared" si="174"/>
        <v>3838584.4834244582</v>
      </c>
      <c r="O170" s="13">
        <f t="shared" si="175"/>
        <v>14</v>
      </c>
      <c r="Q170">
        <f t="shared" si="106"/>
        <v>167</v>
      </c>
      <c r="R170">
        <f t="shared" si="107"/>
        <v>2040</v>
      </c>
      <c r="S170">
        <f t="shared" si="148"/>
        <v>11</v>
      </c>
      <c r="T170" s="5">
        <f t="shared" si="149"/>
        <v>0</v>
      </c>
      <c r="U170" s="5">
        <f t="shared" si="150"/>
        <v>0</v>
      </c>
      <c r="V170" s="5">
        <f t="shared" si="110"/>
        <v>0</v>
      </c>
      <c r="W170" s="5">
        <f t="shared" si="151"/>
        <v>0</v>
      </c>
      <c r="X170" s="5">
        <f t="shared" si="152"/>
        <v>0</v>
      </c>
      <c r="Y170" s="5">
        <f t="shared" si="153"/>
        <v>1396829.3002525347</v>
      </c>
      <c r="Z170" s="5">
        <f t="shared" si="154"/>
        <v>3896829.3002525279</v>
      </c>
      <c r="AA170" s="13">
        <f t="shared" si="155"/>
        <v>14</v>
      </c>
      <c r="AC170">
        <f t="shared" si="111"/>
        <v>167</v>
      </c>
      <c r="AD170">
        <f t="shared" si="112"/>
        <v>2040</v>
      </c>
      <c r="AE170">
        <f t="shared" si="156"/>
        <v>11</v>
      </c>
      <c r="AF170" s="5">
        <f t="shared" si="157"/>
        <v>0</v>
      </c>
      <c r="AG170" s="5">
        <f t="shared" si="158"/>
        <v>0</v>
      </c>
      <c r="AH170" s="5">
        <f t="shared" si="115"/>
        <v>0</v>
      </c>
      <c r="AI170" s="5">
        <f t="shared" si="159"/>
        <v>0</v>
      </c>
      <c r="AJ170" s="5">
        <f t="shared" si="160"/>
        <v>0</v>
      </c>
      <c r="AK170" s="5">
        <f t="shared" si="161"/>
        <v>1336478.6506568119</v>
      </c>
      <c r="AL170" s="5">
        <f t="shared" si="162"/>
        <v>3836478.6506568054</v>
      </c>
      <c r="AM170" s="13">
        <f t="shared" si="163"/>
        <v>14</v>
      </c>
    </row>
    <row r="171" spans="1:39" x14ac:dyDescent="0.35">
      <c r="A171">
        <f t="shared" si="100"/>
        <v>168</v>
      </c>
      <c r="B171">
        <f t="shared" si="101"/>
        <v>2040</v>
      </c>
      <c r="C171">
        <f t="shared" si="164"/>
        <v>12</v>
      </c>
      <c r="D171" s="5">
        <f t="shared" si="165"/>
        <v>0</v>
      </c>
      <c r="E171" s="5">
        <f>IFERROR(IF($A171="", "", _xlfn.XLOOKUP(A171,Offset!A:A,Offset!I:I, 0)), 0)</f>
        <v>13896.049888246249</v>
      </c>
      <c r="F171" s="5">
        <f t="shared" si="166"/>
        <v>0</v>
      </c>
      <c r="G171" s="5">
        <f t="shared" si="167"/>
        <v>0</v>
      </c>
      <c r="H171" s="5">
        <f t="shared" si="168"/>
        <v>0</v>
      </c>
      <c r="I171" s="5">
        <f t="shared" si="169"/>
        <v>0</v>
      </c>
      <c r="J171" s="5">
        <f t="shared" si="170"/>
        <v>0</v>
      </c>
      <c r="K171" s="5">
        <f t="shared" si="171"/>
        <v>0</v>
      </c>
      <c r="L171" s="5">
        <f t="shared" si="172"/>
        <v>30271.924680702195</v>
      </c>
      <c r="M171" s="5">
        <f t="shared" si="173"/>
        <v>1338584.4834244675</v>
      </c>
      <c r="N171" s="5">
        <f t="shared" si="174"/>
        <v>3838584.4834244582</v>
      </c>
      <c r="O171" s="13">
        <f t="shared" si="175"/>
        <v>14</v>
      </c>
      <c r="Q171">
        <f t="shared" si="106"/>
        <v>168</v>
      </c>
      <c r="R171">
        <f t="shared" si="107"/>
        <v>2040</v>
      </c>
      <c r="S171">
        <f t="shared" si="148"/>
        <v>12</v>
      </c>
      <c r="T171" s="5">
        <f t="shared" si="149"/>
        <v>0</v>
      </c>
      <c r="U171" s="5">
        <f t="shared" si="150"/>
        <v>0</v>
      </c>
      <c r="V171" s="5">
        <f t="shared" si="110"/>
        <v>0</v>
      </c>
      <c r="W171" s="5">
        <f t="shared" si="151"/>
        <v>0</v>
      </c>
      <c r="X171" s="5">
        <f t="shared" si="152"/>
        <v>0</v>
      </c>
      <c r="Y171" s="5">
        <f t="shared" si="153"/>
        <v>1396829.3002525347</v>
      </c>
      <c r="Z171" s="5">
        <f t="shared" si="154"/>
        <v>3896829.3002525279</v>
      </c>
      <c r="AA171" s="13">
        <f t="shared" si="155"/>
        <v>14</v>
      </c>
      <c r="AC171">
        <f t="shared" si="111"/>
        <v>168</v>
      </c>
      <c r="AD171">
        <f t="shared" si="112"/>
        <v>2040</v>
      </c>
      <c r="AE171">
        <f t="shared" si="156"/>
        <v>12</v>
      </c>
      <c r="AF171" s="5">
        <f t="shared" si="157"/>
        <v>0</v>
      </c>
      <c r="AG171" s="5">
        <f t="shared" si="158"/>
        <v>0</v>
      </c>
      <c r="AH171" s="5">
        <f t="shared" si="115"/>
        <v>0</v>
      </c>
      <c r="AI171" s="5">
        <f t="shared" si="159"/>
        <v>0</v>
      </c>
      <c r="AJ171" s="5">
        <f t="shared" si="160"/>
        <v>0</v>
      </c>
      <c r="AK171" s="5">
        <f t="shared" si="161"/>
        <v>1336478.6506568119</v>
      </c>
      <c r="AL171" s="5">
        <f t="shared" si="162"/>
        <v>3836478.6506568054</v>
      </c>
      <c r="AM171" s="13">
        <f t="shared" si="163"/>
        <v>14</v>
      </c>
    </row>
    <row r="172" spans="1:39" x14ac:dyDescent="0.35">
      <c r="A172">
        <f t="shared" si="100"/>
        <v>169</v>
      </c>
      <c r="B172">
        <f t="shared" si="101"/>
        <v>2041</v>
      </c>
      <c r="C172">
        <f t="shared" si="164"/>
        <v>1</v>
      </c>
      <c r="D172" s="5">
        <f t="shared" si="165"/>
        <v>0</v>
      </c>
      <c r="E172" s="5">
        <f>IFERROR(IF($A172="", "", _xlfn.XLOOKUP(A172,Offset!A:A,Offset!I:I, 0)), 0)</f>
        <v>1347.7355112877012</v>
      </c>
      <c r="F172" s="5">
        <f t="shared" si="166"/>
        <v>0</v>
      </c>
      <c r="G172" s="5">
        <f t="shared" si="167"/>
        <v>0</v>
      </c>
      <c r="H172" s="5">
        <f t="shared" si="168"/>
        <v>0</v>
      </c>
      <c r="I172" s="5">
        <f t="shared" si="169"/>
        <v>0</v>
      </c>
      <c r="J172" s="5">
        <f t="shared" si="170"/>
        <v>0</v>
      </c>
      <c r="K172" s="5">
        <f t="shared" si="171"/>
        <v>0</v>
      </c>
      <c r="L172" s="5">
        <f t="shared" si="172"/>
        <v>30271.924680702195</v>
      </c>
      <c r="M172" s="5">
        <f t="shared" si="173"/>
        <v>1338584.4834244675</v>
      </c>
      <c r="N172" s="5">
        <f t="shared" si="174"/>
        <v>3838584.4834244582</v>
      </c>
      <c r="O172" s="13">
        <f t="shared" si="175"/>
        <v>15</v>
      </c>
      <c r="Q172">
        <f t="shared" si="106"/>
        <v>169</v>
      </c>
      <c r="R172">
        <f t="shared" si="107"/>
        <v>2041</v>
      </c>
      <c r="S172">
        <f t="shared" si="148"/>
        <v>1</v>
      </c>
      <c r="T172" s="5">
        <f t="shared" si="149"/>
        <v>0</v>
      </c>
      <c r="U172" s="5">
        <f t="shared" si="150"/>
        <v>0</v>
      </c>
      <c r="V172" s="5">
        <f t="shared" si="110"/>
        <v>0</v>
      </c>
      <c r="W172" s="5">
        <f t="shared" si="151"/>
        <v>0</v>
      </c>
      <c r="X172" s="5">
        <f t="shared" si="152"/>
        <v>0</v>
      </c>
      <c r="Y172" s="5">
        <f t="shared" si="153"/>
        <v>1396829.3002525347</v>
      </c>
      <c r="Z172" s="5">
        <f t="shared" si="154"/>
        <v>3896829.3002525279</v>
      </c>
      <c r="AA172" s="13">
        <f t="shared" si="155"/>
        <v>15</v>
      </c>
      <c r="AC172">
        <f t="shared" si="111"/>
        <v>169</v>
      </c>
      <c r="AD172">
        <f t="shared" si="112"/>
        <v>2041</v>
      </c>
      <c r="AE172">
        <f t="shared" si="156"/>
        <v>1</v>
      </c>
      <c r="AF172" s="5">
        <f t="shared" si="157"/>
        <v>0</v>
      </c>
      <c r="AG172" s="5">
        <f t="shared" si="158"/>
        <v>0</v>
      </c>
      <c r="AH172" s="5">
        <f t="shared" si="115"/>
        <v>0</v>
      </c>
      <c r="AI172" s="5">
        <f t="shared" si="159"/>
        <v>0</v>
      </c>
      <c r="AJ172" s="5">
        <f t="shared" si="160"/>
        <v>0</v>
      </c>
      <c r="AK172" s="5">
        <f t="shared" si="161"/>
        <v>1336478.6506568119</v>
      </c>
      <c r="AL172" s="5">
        <f t="shared" si="162"/>
        <v>3836478.6506568054</v>
      </c>
      <c r="AM172" s="13">
        <f t="shared" si="163"/>
        <v>15</v>
      </c>
    </row>
    <row r="173" spans="1:39" x14ac:dyDescent="0.35">
      <c r="A173">
        <f t="shared" si="100"/>
        <v>170</v>
      </c>
      <c r="B173">
        <f t="shared" si="101"/>
        <v>2041</v>
      </c>
      <c r="C173">
        <f t="shared" si="164"/>
        <v>2</v>
      </c>
      <c r="D173" s="5">
        <f t="shared" si="165"/>
        <v>0</v>
      </c>
      <c r="E173" s="5">
        <f>IFERROR(IF($A173="", "", _xlfn.XLOOKUP(A173,Offset!A:A,Offset!I:I, 0)), 0)</f>
        <v>2695.4710225754025</v>
      </c>
      <c r="F173" s="5">
        <f t="shared" si="166"/>
        <v>0</v>
      </c>
      <c r="G173" s="5">
        <f t="shared" si="167"/>
        <v>0</v>
      </c>
      <c r="H173" s="5">
        <f t="shared" si="168"/>
        <v>0</v>
      </c>
      <c r="I173" s="5">
        <f t="shared" si="169"/>
        <v>0</v>
      </c>
      <c r="J173" s="5">
        <f t="shared" si="170"/>
        <v>0</v>
      </c>
      <c r="K173" s="5">
        <f t="shared" si="171"/>
        <v>0</v>
      </c>
      <c r="L173" s="5">
        <f t="shared" si="172"/>
        <v>30271.924680702195</v>
      </c>
      <c r="M173" s="5">
        <f t="shared" si="173"/>
        <v>1338584.4834244675</v>
      </c>
      <c r="N173" s="5">
        <f t="shared" si="174"/>
        <v>3838584.4834244582</v>
      </c>
      <c r="O173" s="13">
        <f t="shared" si="175"/>
        <v>15</v>
      </c>
      <c r="Q173">
        <f t="shared" si="106"/>
        <v>170</v>
      </c>
      <c r="R173">
        <f t="shared" si="107"/>
        <v>2041</v>
      </c>
      <c r="S173">
        <f t="shared" si="148"/>
        <v>2</v>
      </c>
      <c r="T173" s="5">
        <f t="shared" si="149"/>
        <v>0</v>
      </c>
      <c r="U173" s="5">
        <f t="shared" si="150"/>
        <v>0</v>
      </c>
      <c r="V173" s="5">
        <f t="shared" si="110"/>
        <v>0</v>
      </c>
      <c r="W173" s="5">
        <f t="shared" si="151"/>
        <v>0</v>
      </c>
      <c r="X173" s="5">
        <f t="shared" si="152"/>
        <v>0</v>
      </c>
      <c r="Y173" s="5">
        <f t="shared" si="153"/>
        <v>1396829.3002525347</v>
      </c>
      <c r="Z173" s="5">
        <f t="shared" si="154"/>
        <v>3896829.3002525279</v>
      </c>
      <c r="AA173" s="13">
        <f t="shared" si="155"/>
        <v>15</v>
      </c>
      <c r="AC173">
        <f t="shared" si="111"/>
        <v>170</v>
      </c>
      <c r="AD173">
        <f t="shared" si="112"/>
        <v>2041</v>
      </c>
      <c r="AE173">
        <f t="shared" si="156"/>
        <v>2</v>
      </c>
      <c r="AF173" s="5">
        <f t="shared" si="157"/>
        <v>0</v>
      </c>
      <c r="AG173" s="5">
        <f t="shared" si="158"/>
        <v>0</v>
      </c>
      <c r="AH173" s="5">
        <f t="shared" si="115"/>
        <v>0</v>
      </c>
      <c r="AI173" s="5">
        <f t="shared" si="159"/>
        <v>0</v>
      </c>
      <c r="AJ173" s="5">
        <f t="shared" si="160"/>
        <v>0</v>
      </c>
      <c r="AK173" s="5">
        <f t="shared" si="161"/>
        <v>1336478.6506568119</v>
      </c>
      <c r="AL173" s="5">
        <f t="shared" si="162"/>
        <v>3836478.6506568054</v>
      </c>
      <c r="AM173" s="13">
        <f t="shared" si="163"/>
        <v>15</v>
      </c>
    </row>
    <row r="174" spans="1:39" x14ac:dyDescent="0.35">
      <c r="A174">
        <f t="shared" si="100"/>
        <v>171</v>
      </c>
      <c r="B174">
        <f t="shared" si="101"/>
        <v>2041</v>
      </c>
      <c r="C174">
        <f t="shared" si="164"/>
        <v>3</v>
      </c>
      <c r="D174" s="5">
        <f t="shared" si="165"/>
        <v>0</v>
      </c>
      <c r="E174" s="5">
        <f>IFERROR(IF($A174="", "", _xlfn.XLOOKUP(A174,Offset!A:A,Offset!I:I, 0)), 0)</f>
        <v>4043.2065338631037</v>
      </c>
      <c r="F174" s="5">
        <f t="shared" si="166"/>
        <v>0</v>
      </c>
      <c r="G174" s="5">
        <f t="shared" si="167"/>
        <v>0</v>
      </c>
      <c r="H174" s="5">
        <f t="shared" si="168"/>
        <v>0</v>
      </c>
      <c r="I174" s="5">
        <f t="shared" si="169"/>
        <v>0</v>
      </c>
      <c r="J174" s="5">
        <f t="shared" si="170"/>
        <v>0</v>
      </c>
      <c r="K174" s="5">
        <f t="shared" si="171"/>
        <v>0</v>
      </c>
      <c r="L174" s="5">
        <f t="shared" si="172"/>
        <v>30271.924680702195</v>
      </c>
      <c r="M174" s="5">
        <f t="shared" si="173"/>
        <v>1338584.4834244675</v>
      </c>
      <c r="N174" s="5">
        <f t="shared" si="174"/>
        <v>3838584.4834244582</v>
      </c>
      <c r="O174" s="13">
        <f t="shared" si="175"/>
        <v>15</v>
      </c>
      <c r="Q174">
        <f t="shared" si="106"/>
        <v>171</v>
      </c>
      <c r="R174">
        <f t="shared" si="107"/>
        <v>2041</v>
      </c>
      <c r="S174">
        <f t="shared" si="148"/>
        <v>3</v>
      </c>
      <c r="T174" s="5">
        <f t="shared" si="149"/>
        <v>0</v>
      </c>
      <c r="U174" s="5">
        <f t="shared" si="150"/>
        <v>0</v>
      </c>
      <c r="V174" s="5">
        <f t="shared" si="110"/>
        <v>0</v>
      </c>
      <c r="W174" s="5">
        <f t="shared" si="151"/>
        <v>0</v>
      </c>
      <c r="X174" s="5">
        <f t="shared" si="152"/>
        <v>0</v>
      </c>
      <c r="Y174" s="5">
        <f t="shared" si="153"/>
        <v>1396829.3002525347</v>
      </c>
      <c r="Z174" s="5">
        <f t="shared" si="154"/>
        <v>3896829.3002525279</v>
      </c>
      <c r="AA174" s="13">
        <f t="shared" si="155"/>
        <v>15</v>
      </c>
      <c r="AC174">
        <f t="shared" si="111"/>
        <v>171</v>
      </c>
      <c r="AD174">
        <f t="shared" si="112"/>
        <v>2041</v>
      </c>
      <c r="AE174">
        <f t="shared" si="156"/>
        <v>3</v>
      </c>
      <c r="AF174" s="5">
        <f t="shared" si="157"/>
        <v>0</v>
      </c>
      <c r="AG174" s="5">
        <f t="shared" si="158"/>
        <v>0</v>
      </c>
      <c r="AH174" s="5">
        <f t="shared" si="115"/>
        <v>0</v>
      </c>
      <c r="AI174" s="5">
        <f t="shared" si="159"/>
        <v>0</v>
      </c>
      <c r="AJ174" s="5">
        <f t="shared" si="160"/>
        <v>0</v>
      </c>
      <c r="AK174" s="5">
        <f t="shared" si="161"/>
        <v>1336478.6506568119</v>
      </c>
      <c r="AL174" s="5">
        <f t="shared" si="162"/>
        <v>3836478.6506568054</v>
      </c>
      <c r="AM174" s="13">
        <f t="shared" si="163"/>
        <v>15</v>
      </c>
    </row>
    <row r="175" spans="1:39" x14ac:dyDescent="0.35">
      <c r="A175">
        <f t="shared" si="100"/>
        <v>172</v>
      </c>
      <c r="B175">
        <f t="shared" si="101"/>
        <v>2041</v>
      </c>
      <c r="C175">
        <f t="shared" si="164"/>
        <v>4</v>
      </c>
      <c r="D175" s="5">
        <f t="shared" si="165"/>
        <v>0</v>
      </c>
      <c r="E175" s="5">
        <f>IFERROR(IF($A175="", "", _xlfn.XLOOKUP(A175,Offset!A:A,Offset!I:I, 0)), 0)</f>
        <v>5390.9420451508049</v>
      </c>
      <c r="F175" s="5">
        <f t="shared" si="166"/>
        <v>0</v>
      </c>
      <c r="G175" s="5">
        <f t="shared" si="167"/>
        <v>0</v>
      </c>
      <c r="H175" s="5">
        <f t="shared" si="168"/>
        <v>0</v>
      </c>
      <c r="I175" s="5">
        <f t="shared" si="169"/>
        <v>0</v>
      </c>
      <c r="J175" s="5">
        <f t="shared" si="170"/>
        <v>0</v>
      </c>
      <c r="K175" s="5">
        <f t="shared" si="171"/>
        <v>0</v>
      </c>
      <c r="L175" s="5">
        <f t="shared" si="172"/>
        <v>30271.924680702195</v>
      </c>
      <c r="M175" s="5">
        <f t="shared" si="173"/>
        <v>1338584.4834244675</v>
      </c>
      <c r="N175" s="5">
        <f t="shared" si="174"/>
        <v>3838584.4834244582</v>
      </c>
      <c r="O175" s="13">
        <f t="shared" si="175"/>
        <v>15</v>
      </c>
      <c r="Q175">
        <f t="shared" si="106"/>
        <v>172</v>
      </c>
      <c r="R175">
        <f t="shared" si="107"/>
        <v>2041</v>
      </c>
      <c r="S175">
        <f t="shared" si="148"/>
        <v>4</v>
      </c>
      <c r="T175" s="5">
        <f t="shared" si="149"/>
        <v>0</v>
      </c>
      <c r="U175" s="5">
        <f t="shared" si="150"/>
        <v>0</v>
      </c>
      <c r="V175" s="5">
        <f t="shared" si="110"/>
        <v>0</v>
      </c>
      <c r="W175" s="5">
        <f t="shared" si="151"/>
        <v>0</v>
      </c>
      <c r="X175" s="5">
        <f t="shared" si="152"/>
        <v>0</v>
      </c>
      <c r="Y175" s="5">
        <f t="shared" si="153"/>
        <v>1396829.3002525347</v>
      </c>
      <c r="Z175" s="5">
        <f t="shared" si="154"/>
        <v>3896829.3002525279</v>
      </c>
      <c r="AA175" s="13">
        <f t="shared" si="155"/>
        <v>15</v>
      </c>
      <c r="AC175">
        <f t="shared" si="111"/>
        <v>172</v>
      </c>
      <c r="AD175">
        <f t="shared" si="112"/>
        <v>2041</v>
      </c>
      <c r="AE175">
        <f t="shared" si="156"/>
        <v>4</v>
      </c>
      <c r="AF175" s="5">
        <f t="shared" si="157"/>
        <v>0</v>
      </c>
      <c r="AG175" s="5">
        <f t="shared" si="158"/>
        <v>0</v>
      </c>
      <c r="AH175" s="5">
        <f t="shared" si="115"/>
        <v>0</v>
      </c>
      <c r="AI175" s="5">
        <f t="shared" si="159"/>
        <v>0</v>
      </c>
      <c r="AJ175" s="5">
        <f t="shared" si="160"/>
        <v>0</v>
      </c>
      <c r="AK175" s="5">
        <f t="shared" si="161"/>
        <v>1336478.6506568119</v>
      </c>
      <c r="AL175" s="5">
        <f t="shared" si="162"/>
        <v>3836478.6506568054</v>
      </c>
      <c r="AM175" s="13">
        <f t="shared" si="163"/>
        <v>15</v>
      </c>
    </row>
    <row r="176" spans="1:39" x14ac:dyDescent="0.35">
      <c r="A176">
        <f t="shared" si="100"/>
        <v>173</v>
      </c>
      <c r="B176">
        <f t="shared" si="101"/>
        <v>2041</v>
      </c>
      <c r="C176">
        <f t="shared" si="164"/>
        <v>5</v>
      </c>
      <c r="D176" s="5">
        <f t="shared" si="165"/>
        <v>0</v>
      </c>
      <c r="E176" s="5">
        <f>IFERROR(IF($A176="", "", _xlfn.XLOOKUP(A176,Offset!A:A,Offset!I:I, 0)), 0)</f>
        <v>6738.6775564385061</v>
      </c>
      <c r="F176" s="5">
        <f t="shared" si="166"/>
        <v>0</v>
      </c>
      <c r="G176" s="5">
        <f t="shared" si="167"/>
        <v>0</v>
      </c>
      <c r="H176" s="5">
        <f t="shared" si="168"/>
        <v>0</v>
      </c>
      <c r="I176" s="5">
        <f t="shared" si="169"/>
        <v>0</v>
      </c>
      <c r="J176" s="5">
        <f t="shared" si="170"/>
        <v>0</v>
      </c>
      <c r="K176" s="5">
        <f t="shared" si="171"/>
        <v>0</v>
      </c>
      <c r="L176" s="5">
        <f t="shared" si="172"/>
        <v>30271.924680702195</v>
      </c>
      <c r="M176" s="5">
        <f t="shared" si="173"/>
        <v>1338584.4834244675</v>
      </c>
      <c r="N176" s="5">
        <f t="shared" si="174"/>
        <v>3838584.4834244582</v>
      </c>
      <c r="O176" s="13">
        <f t="shared" si="175"/>
        <v>15</v>
      </c>
      <c r="Q176">
        <f t="shared" si="106"/>
        <v>173</v>
      </c>
      <c r="R176">
        <f t="shared" si="107"/>
        <v>2041</v>
      </c>
      <c r="S176">
        <f t="shared" si="148"/>
        <v>5</v>
      </c>
      <c r="T176" s="5">
        <f t="shared" si="149"/>
        <v>0</v>
      </c>
      <c r="U176" s="5">
        <f t="shared" si="150"/>
        <v>0</v>
      </c>
      <c r="V176" s="5">
        <f t="shared" si="110"/>
        <v>0</v>
      </c>
      <c r="W176" s="5">
        <f t="shared" si="151"/>
        <v>0</v>
      </c>
      <c r="X176" s="5">
        <f t="shared" si="152"/>
        <v>0</v>
      </c>
      <c r="Y176" s="5">
        <f t="shared" si="153"/>
        <v>1396829.3002525347</v>
      </c>
      <c r="Z176" s="5">
        <f t="shared" si="154"/>
        <v>3896829.3002525279</v>
      </c>
      <c r="AA176" s="13">
        <f t="shared" si="155"/>
        <v>15</v>
      </c>
      <c r="AC176">
        <f t="shared" si="111"/>
        <v>173</v>
      </c>
      <c r="AD176">
        <f t="shared" si="112"/>
        <v>2041</v>
      </c>
      <c r="AE176">
        <f t="shared" si="156"/>
        <v>5</v>
      </c>
      <c r="AF176" s="5">
        <f t="shared" si="157"/>
        <v>0</v>
      </c>
      <c r="AG176" s="5">
        <f t="shared" si="158"/>
        <v>0</v>
      </c>
      <c r="AH176" s="5">
        <f t="shared" si="115"/>
        <v>0</v>
      </c>
      <c r="AI176" s="5">
        <f t="shared" si="159"/>
        <v>0</v>
      </c>
      <c r="AJ176" s="5">
        <f t="shared" si="160"/>
        <v>0</v>
      </c>
      <c r="AK176" s="5">
        <f t="shared" si="161"/>
        <v>1336478.6506568119</v>
      </c>
      <c r="AL176" s="5">
        <f t="shared" si="162"/>
        <v>3836478.6506568054</v>
      </c>
      <c r="AM176" s="13">
        <f t="shared" si="163"/>
        <v>15</v>
      </c>
    </row>
    <row r="177" spans="1:39" x14ac:dyDescent="0.35">
      <c r="A177">
        <f t="shared" si="100"/>
        <v>174</v>
      </c>
      <c r="B177">
        <f t="shared" si="101"/>
        <v>2041</v>
      </c>
      <c r="C177">
        <f t="shared" si="164"/>
        <v>6</v>
      </c>
      <c r="D177" s="5">
        <f t="shared" si="165"/>
        <v>0</v>
      </c>
      <c r="E177" s="5">
        <f>IFERROR(IF($A177="", "", _xlfn.XLOOKUP(A177,Offset!A:A,Offset!I:I, 0)), 0)</f>
        <v>8086.4130677262074</v>
      </c>
      <c r="F177" s="5">
        <f t="shared" si="166"/>
        <v>0</v>
      </c>
      <c r="G177" s="5">
        <f t="shared" si="167"/>
        <v>0</v>
      </c>
      <c r="H177" s="5">
        <f t="shared" si="168"/>
        <v>0</v>
      </c>
      <c r="I177" s="5">
        <f t="shared" si="169"/>
        <v>0</v>
      </c>
      <c r="J177" s="5">
        <f t="shared" si="170"/>
        <v>0</v>
      </c>
      <c r="K177" s="5">
        <f t="shared" si="171"/>
        <v>0</v>
      </c>
      <c r="L177" s="5">
        <f t="shared" si="172"/>
        <v>30271.924680702195</v>
      </c>
      <c r="M177" s="5">
        <f t="shared" si="173"/>
        <v>1338584.4834244675</v>
      </c>
      <c r="N177" s="5">
        <f t="shared" si="174"/>
        <v>3838584.4834244582</v>
      </c>
      <c r="O177" s="13">
        <f t="shared" si="175"/>
        <v>15</v>
      </c>
      <c r="Q177">
        <f t="shared" si="106"/>
        <v>174</v>
      </c>
      <c r="R177">
        <f t="shared" si="107"/>
        <v>2041</v>
      </c>
      <c r="S177">
        <f t="shared" si="148"/>
        <v>6</v>
      </c>
      <c r="T177" s="5">
        <f t="shared" si="149"/>
        <v>0</v>
      </c>
      <c r="U177" s="5">
        <f t="shared" si="150"/>
        <v>0</v>
      </c>
      <c r="V177" s="5">
        <f t="shared" si="110"/>
        <v>0</v>
      </c>
      <c r="W177" s="5">
        <f t="shared" si="151"/>
        <v>0</v>
      </c>
      <c r="X177" s="5">
        <f t="shared" si="152"/>
        <v>0</v>
      </c>
      <c r="Y177" s="5">
        <f t="shared" si="153"/>
        <v>1396829.3002525347</v>
      </c>
      <c r="Z177" s="5">
        <f t="shared" si="154"/>
        <v>3896829.3002525279</v>
      </c>
      <c r="AA177" s="13">
        <f t="shared" si="155"/>
        <v>15</v>
      </c>
      <c r="AC177">
        <f t="shared" si="111"/>
        <v>174</v>
      </c>
      <c r="AD177">
        <f t="shared" si="112"/>
        <v>2041</v>
      </c>
      <c r="AE177">
        <f t="shared" si="156"/>
        <v>6</v>
      </c>
      <c r="AF177" s="5">
        <f t="shared" si="157"/>
        <v>0</v>
      </c>
      <c r="AG177" s="5">
        <f t="shared" si="158"/>
        <v>0</v>
      </c>
      <c r="AH177" s="5">
        <f t="shared" si="115"/>
        <v>0</v>
      </c>
      <c r="AI177" s="5">
        <f t="shared" si="159"/>
        <v>0</v>
      </c>
      <c r="AJ177" s="5">
        <f t="shared" si="160"/>
        <v>0</v>
      </c>
      <c r="AK177" s="5">
        <f t="shared" si="161"/>
        <v>1336478.6506568119</v>
      </c>
      <c r="AL177" s="5">
        <f t="shared" si="162"/>
        <v>3836478.6506568054</v>
      </c>
      <c r="AM177" s="13">
        <f t="shared" si="163"/>
        <v>15</v>
      </c>
    </row>
    <row r="178" spans="1:39" x14ac:dyDescent="0.35">
      <c r="A178">
        <f t="shared" si="100"/>
        <v>175</v>
      </c>
      <c r="B178">
        <f t="shared" si="101"/>
        <v>2041</v>
      </c>
      <c r="C178">
        <f t="shared" si="164"/>
        <v>7</v>
      </c>
      <c r="D178" s="5">
        <f t="shared" si="165"/>
        <v>0</v>
      </c>
      <c r="E178" s="5">
        <f>IFERROR(IF($A178="", "", _xlfn.XLOOKUP(A178,Offset!A:A,Offset!I:I, 0)), 0)</f>
        <v>9434.1485790139086</v>
      </c>
      <c r="F178" s="5">
        <f t="shared" si="166"/>
        <v>0</v>
      </c>
      <c r="G178" s="5">
        <f t="shared" si="167"/>
        <v>0</v>
      </c>
      <c r="H178" s="5">
        <f t="shared" si="168"/>
        <v>0</v>
      </c>
      <c r="I178" s="5">
        <f t="shared" si="169"/>
        <v>0</v>
      </c>
      <c r="J178" s="5">
        <f t="shared" si="170"/>
        <v>0</v>
      </c>
      <c r="K178" s="5">
        <f t="shared" si="171"/>
        <v>0</v>
      </c>
      <c r="L178" s="5">
        <f t="shared" si="172"/>
        <v>30271.924680702195</v>
      </c>
      <c r="M178" s="5">
        <f t="shared" si="173"/>
        <v>1338584.4834244675</v>
      </c>
      <c r="N178" s="5">
        <f t="shared" si="174"/>
        <v>3838584.4834244582</v>
      </c>
      <c r="O178" s="13">
        <f t="shared" si="175"/>
        <v>15</v>
      </c>
      <c r="Q178">
        <f t="shared" si="106"/>
        <v>175</v>
      </c>
      <c r="R178">
        <f t="shared" si="107"/>
        <v>2041</v>
      </c>
      <c r="S178">
        <f t="shared" si="148"/>
        <v>7</v>
      </c>
      <c r="T178" s="5">
        <f t="shared" si="149"/>
        <v>0</v>
      </c>
      <c r="U178" s="5">
        <f t="shared" si="150"/>
        <v>0</v>
      </c>
      <c r="V178" s="5">
        <f t="shared" si="110"/>
        <v>0</v>
      </c>
      <c r="W178" s="5">
        <f t="shared" si="151"/>
        <v>0</v>
      </c>
      <c r="X178" s="5">
        <f t="shared" si="152"/>
        <v>0</v>
      </c>
      <c r="Y178" s="5">
        <f t="shared" si="153"/>
        <v>1396829.3002525347</v>
      </c>
      <c r="Z178" s="5">
        <f t="shared" si="154"/>
        <v>3896829.3002525279</v>
      </c>
      <c r="AA178" s="13">
        <f t="shared" si="155"/>
        <v>15</v>
      </c>
      <c r="AC178">
        <f t="shared" si="111"/>
        <v>175</v>
      </c>
      <c r="AD178">
        <f t="shared" si="112"/>
        <v>2041</v>
      </c>
      <c r="AE178">
        <f t="shared" si="156"/>
        <v>7</v>
      </c>
      <c r="AF178" s="5">
        <f t="shared" si="157"/>
        <v>0</v>
      </c>
      <c r="AG178" s="5">
        <f t="shared" si="158"/>
        <v>0</v>
      </c>
      <c r="AH178" s="5">
        <f t="shared" si="115"/>
        <v>0</v>
      </c>
      <c r="AI178" s="5">
        <f t="shared" si="159"/>
        <v>0</v>
      </c>
      <c r="AJ178" s="5">
        <f t="shared" si="160"/>
        <v>0</v>
      </c>
      <c r="AK178" s="5">
        <f t="shared" si="161"/>
        <v>1336478.6506568119</v>
      </c>
      <c r="AL178" s="5">
        <f t="shared" si="162"/>
        <v>3836478.6506568054</v>
      </c>
      <c r="AM178" s="13">
        <f t="shared" si="163"/>
        <v>15</v>
      </c>
    </row>
    <row r="179" spans="1:39" x14ac:dyDescent="0.35">
      <c r="A179">
        <f t="shared" si="100"/>
        <v>176</v>
      </c>
      <c r="B179">
        <f t="shared" si="101"/>
        <v>2041</v>
      </c>
      <c r="C179">
        <f t="shared" si="164"/>
        <v>8</v>
      </c>
      <c r="D179" s="5">
        <f t="shared" si="165"/>
        <v>0</v>
      </c>
      <c r="E179" s="5">
        <f>IFERROR(IF($A179="", "", _xlfn.XLOOKUP(A179,Offset!A:A,Offset!I:I, 0)), 0)</f>
        <v>10781.88409030161</v>
      </c>
      <c r="F179" s="5">
        <f t="shared" si="166"/>
        <v>0</v>
      </c>
      <c r="G179" s="5">
        <f t="shared" si="167"/>
        <v>0</v>
      </c>
      <c r="H179" s="5">
        <f t="shared" si="168"/>
        <v>0</v>
      </c>
      <c r="I179" s="5">
        <f t="shared" si="169"/>
        <v>0</v>
      </c>
      <c r="J179" s="5">
        <f t="shared" si="170"/>
        <v>0</v>
      </c>
      <c r="K179" s="5">
        <f t="shared" si="171"/>
        <v>0</v>
      </c>
      <c r="L179" s="5">
        <f t="shared" si="172"/>
        <v>30271.924680702195</v>
      </c>
      <c r="M179" s="5">
        <f t="shared" si="173"/>
        <v>1338584.4834244675</v>
      </c>
      <c r="N179" s="5">
        <f t="shared" si="174"/>
        <v>3838584.4834244582</v>
      </c>
      <c r="O179" s="13">
        <f t="shared" si="175"/>
        <v>15</v>
      </c>
      <c r="Q179">
        <f t="shared" si="106"/>
        <v>176</v>
      </c>
      <c r="R179">
        <f t="shared" si="107"/>
        <v>2041</v>
      </c>
      <c r="S179">
        <f t="shared" si="148"/>
        <v>8</v>
      </c>
      <c r="T179" s="5">
        <f t="shared" si="149"/>
        <v>0</v>
      </c>
      <c r="U179" s="5">
        <f t="shared" si="150"/>
        <v>0</v>
      </c>
      <c r="V179" s="5">
        <f t="shared" si="110"/>
        <v>0</v>
      </c>
      <c r="W179" s="5">
        <f t="shared" si="151"/>
        <v>0</v>
      </c>
      <c r="X179" s="5">
        <f t="shared" si="152"/>
        <v>0</v>
      </c>
      <c r="Y179" s="5">
        <f t="shared" si="153"/>
        <v>1396829.3002525347</v>
      </c>
      <c r="Z179" s="5">
        <f t="shared" si="154"/>
        <v>3896829.3002525279</v>
      </c>
      <c r="AA179" s="13">
        <f t="shared" si="155"/>
        <v>15</v>
      </c>
      <c r="AC179">
        <f t="shared" si="111"/>
        <v>176</v>
      </c>
      <c r="AD179">
        <f t="shared" si="112"/>
        <v>2041</v>
      </c>
      <c r="AE179">
        <f t="shared" si="156"/>
        <v>8</v>
      </c>
      <c r="AF179" s="5">
        <f t="shared" si="157"/>
        <v>0</v>
      </c>
      <c r="AG179" s="5">
        <f t="shared" si="158"/>
        <v>0</v>
      </c>
      <c r="AH179" s="5">
        <f t="shared" si="115"/>
        <v>0</v>
      </c>
      <c r="AI179" s="5">
        <f t="shared" si="159"/>
        <v>0</v>
      </c>
      <c r="AJ179" s="5">
        <f t="shared" si="160"/>
        <v>0</v>
      </c>
      <c r="AK179" s="5">
        <f t="shared" si="161"/>
        <v>1336478.6506568119</v>
      </c>
      <c r="AL179" s="5">
        <f t="shared" si="162"/>
        <v>3836478.6506568054</v>
      </c>
      <c r="AM179" s="13">
        <f t="shared" si="163"/>
        <v>15</v>
      </c>
    </row>
    <row r="180" spans="1:39" x14ac:dyDescent="0.35">
      <c r="A180">
        <f t="shared" si="100"/>
        <v>177</v>
      </c>
      <c r="B180">
        <f t="shared" si="101"/>
        <v>2041</v>
      </c>
      <c r="C180">
        <f t="shared" si="164"/>
        <v>9</v>
      </c>
      <c r="D180" s="5">
        <f t="shared" si="165"/>
        <v>0</v>
      </c>
      <c r="E180" s="5">
        <f>IFERROR(IF($A180="", "", _xlfn.XLOOKUP(A180,Offset!A:A,Offset!I:I, 0)), 0)</f>
        <v>12129.619601589311</v>
      </c>
      <c r="F180" s="5">
        <f t="shared" si="166"/>
        <v>0</v>
      </c>
      <c r="G180" s="5">
        <f t="shared" si="167"/>
        <v>0</v>
      </c>
      <c r="H180" s="5">
        <f t="shared" si="168"/>
        <v>0</v>
      </c>
      <c r="I180" s="5">
        <f t="shared" si="169"/>
        <v>0</v>
      </c>
      <c r="J180" s="5">
        <f t="shared" si="170"/>
        <v>0</v>
      </c>
      <c r="K180" s="5">
        <f t="shared" si="171"/>
        <v>0</v>
      </c>
      <c r="L180" s="5">
        <f t="shared" si="172"/>
        <v>30271.924680702195</v>
      </c>
      <c r="M180" s="5">
        <f t="shared" si="173"/>
        <v>1338584.4834244675</v>
      </c>
      <c r="N180" s="5">
        <f t="shared" si="174"/>
        <v>3838584.4834244582</v>
      </c>
      <c r="O180" s="13">
        <f t="shared" si="175"/>
        <v>15</v>
      </c>
      <c r="Q180">
        <f t="shared" si="106"/>
        <v>177</v>
      </c>
      <c r="R180">
        <f t="shared" si="107"/>
        <v>2041</v>
      </c>
      <c r="S180">
        <f t="shared" si="148"/>
        <v>9</v>
      </c>
      <c r="T180" s="5">
        <f t="shared" si="149"/>
        <v>0</v>
      </c>
      <c r="U180" s="5">
        <f t="shared" si="150"/>
        <v>0</v>
      </c>
      <c r="V180" s="5">
        <f t="shared" si="110"/>
        <v>0</v>
      </c>
      <c r="W180" s="5">
        <f t="shared" si="151"/>
        <v>0</v>
      </c>
      <c r="X180" s="5">
        <f t="shared" si="152"/>
        <v>0</v>
      </c>
      <c r="Y180" s="5">
        <f t="shared" si="153"/>
        <v>1396829.3002525347</v>
      </c>
      <c r="Z180" s="5">
        <f t="shared" si="154"/>
        <v>3896829.3002525279</v>
      </c>
      <c r="AA180" s="13">
        <f t="shared" si="155"/>
        <v>15</v>
      </c>
      <c r="AC180">
        <f t="shared" si="111"/>
        <v>177</v>
      </c>
      <c r="AD180">
        <f t="shared" si="112"/>
        <v>2041</v>
      </c>
      <c r="AE180">
        <f t="shared" si="156"/>
        <v>9</v>
      </c>
      <c r="AF180" s="5">
        <f t="shared" si="157"/>
        <v>0</v>
      </c>
      <c r="AG180" s="5">
        <f t="shared" si="158"/>
        <v>0</v>
      </c>
      <c r="AH180" s="5">
        <f t="shared" si="115"/>
        <v>0</v>
      </c>
      <c r="AI180" s="5">
        <f t="shared" si="159"/>
        <v>0</v>
      </c>
      <c r="AJ180" s="5">
        <f t="shared" si="160"/>
        <v>0</v>
      </c>
      <c r="AK180" s="5">
        <f t="shared" si="161"/>
        <v>1336478.6506568119</v>
      </c>
      <c r="AL180" s="5">
        <f t="shared" si="162"/>
        <v>3836478.6506568054</v>
      </c>
      <c r="AM180" s="13">
        <f t="shared" si="163"/>
        <v>15</v>
      </c>
    </row>
    <row r="181" spans="1:39" x14ac:dyDescent="0.35">
      <c r="A181">
        <f t="shared" si="100"/>
        <v>178</v>
      </c>
      <c r="B181">
        <f t="shared" si="101"/>
        <v>2041</v>
      </c>
      <c r="C181">
        <f t="shared" si="164"/>
        <v>10</v>
      </c>
      <c r="D181" s="5">
        <f t="shared" si="165"/>
        <v>0</v>
      </c>
      <c r="E181" s="5">
        <f>IFERROR(IF($A181="", "", _xlfn.XLOOKUP(A181,Offset!A:A,Offset!I:I, 0)), 0)</f>
        <v>13477.355112877012</v>
      </c>
      <c r="F181" s="5">
        <f t="shared" si="166"/>
        <v>0</v>
      </c>
      <c r="G181" s="5">
        <f t="shared" si="167"/>
        <v>0</v>
      </c>
      <c r="H181" s="5">
        <f t="shared" si="168"/>
        <v>0</v>
      </c>
      <c r="I181" s="5">
        <f t="shared" si="169"/>
        <v>0</v>
      </c>
      <c r="J181" s="5">
        <f t="shared" si="170"/>
        <v>0</v>
      </c>
      <c r="K181" s="5">
        <f t="shared" si="171"/>
        <v>0</v>
      </c>
      <c r="L181" s="5">
        <f t="shared" si="172"/>
        <v>30271.924680702195</v>
      </c>
      <c r="M181" s="5">
        <f t="shared" si="173"/>
        <v>1338584.4834244675</v>
      </c>
      <c r="N181" s="5">
        <f t="shared" si="174"/>
        <v>3838584.4834244582</v>
      </c>
      <c r="O181" s="13">
        <f t="shared" si="175"/>
        <v>15</v>
      </c>
      <c r="Q181">
        <f t="shared" si="106"/>
        <v>178</v>
      </c>
      <c r="R181">
        <f t="shared" si="107"/>
        <v>2041</v>
      </c>
      <c r="S181">
        <f t="shared" si="148"/>
        <v>10</v>
      </c>
      <c r="T181" s="5">
        <f t="shared" si="149"/>
        <v>0</v>
      </c>
      <c r="U181" s="5">
        <f t="shared" si="150"/>
        <v>0</v>
      </c>
      <c r="V181" s="5">
        <f t="shared" si="110"/>
        <v>0</v>
      </c>
      <c r="W181" s="5">
        <f t="shared" si="151"/>
        <v>0</v>
      </c>
      <c r="X181" s="5">
        <f t="shared" si="152"/>
        <v>0</v>
      </c>
      <c r="Y181" s="5">
        <f t="shared" si="153"/>
        <v>1396829.3002525347</v>
      </c>
      <c r="Z181" s="5">
        <f t="shared" si="154"/>
        <v>3896829.3002525279</v>
      </c>
      <c r="AA181" s="13">
        <f t="shared" si="155"/>
        <v>15</v>
      </c>
      <c r="AC181">
        <f t="shared" si="111"/>
        <v>178</v>
      </c>
      <c r="AD181">
        <f t="shared" si="112"/>
        <v>2041</v>
      </c>
      <c r="AE181">
        <f t="shared" si="156"/>
        <v>10</v>
      </c>
      <c r="AF181" s="5">
        <f t="shared" si="157"/>
        <v>0</v>
      </c>
      <c r="AG181" s="5">
        <f t="shared" si="158"/>
        <v>0</v>
      </c>
      <c r="AH181" s="5">
        <f t="shared" si="115"/>
        <v>0</v>
      </c>
      <c r="AI181" s="5">
        <f t="shared" si="159"/>
        <v>0</v>
      </c>
      <c r="AJ181" s="5">
        <f t="shared" si="160"/>
        <v>0</v>
      </c>
      <c r="AK181" s="5">
        <f t="shared" si="161"/>
        <v>1336478.6506568119</v>
      </c>
      <c r="AL181" s="5">
        <f t="shared" si="162"/>
        <v>3836478.6506568054</v>
      </c>
      <c r="AM181" s="13">
        <f t="shared" si="163"/>
        <v>15</v>
      </c>
    </row>
    <row r="182" spans="1:39" x14ac:dyDescent="0.35">
      <c r="A182">
        <f t="shared" si="100"/>
        <v>179</v>
      </c>
      <c r="B182">
        <f t="shared" si="101"/>
        <v>2041</v>
      </c>
      <c r="C182">
        <f t="shared" si="164"/>
        <v>11</v>
      </c>
      <c r="D182" s="5">
        <f t="shared" si="165"/>
        <v>0</v>
      </c>
      <c r="E182" s="5">
        <f>IFERROR(IF($A182="", "", _xlfn.XLOOKUP(A182,Offset!A:A,Offset!I:I, 0)), 0)</f>
        <v>14825.090624164714</v>
      </c>
      <c r="F182" s="5">
        <f t="shared" si="166"/>
        <v>0</v>
      </c>
      <c r="G182" s="5">
        <f t="shared" si="167"/>
        <v>0</v>
      </c>
      <c r="H182" s="5">
        <f t="shared" si="168"/>
        <v>0</v>
      </c>
      <c r="I182" s="5">
        <f t="shared" si="169"/>
        <v>0</v>
      </c>
      <c r="J182" s="5">
        <f t="shared" si="170"/>
        <v>0</v>
      </c>
      <c r="K182" s="5">
        <f t="shared" si="171"/>
        <v>0</v>
      </c>
      <c r="L182" s="5">
        <f t="shared" si="172"/>
        <v>30271.924680702195</v>
      </c>
      <c r="M182" s="5">
        <f t="shared" si="173"/>
        <v>1338584.4834244675</v>
      </c>
      <c r="N182" s="5">
        <f t="shared" si="174"/>
        <v>3838584.4834244582</v>
      </c>
      <c r="O182" s="13">
        <f t="shared" si="175"/>
        <v>15</v>
      </c>
      <c r="Q182">
        <f t="shared" si="106"/>
        <v>179</v>
      </c>
      <c r="R182">
        <f t="shared" si="107"/>
        <v>2041</v>
      </c>
      <c r="S182">
        <f t="shared" si="148"/>
        <v>11</v>
      </c>
      <c r="T182" s="5">
        <f t="shared" si="149"/>
        <v>0</v>
      </c>
      <c r="U182" s="5">
        <f t="shared" si="150"/>
        <v>0</v>
      </c>
      <c r="V182" s="5">
        <f t="shared" si="110"/>
        <v>0</v>
      </c>
      <c r="W182" s="5">
        <f t="shared" si="151"/>
        <v>0</v>
      </c>
      <c r="X182" s="5">
        <f t="shared" si="152"/>
        <v>0</v>
      </c>
      <c r="Y182" s="5">
        <f t="shared" si="153"/>
        <v>1396829.3002525347</v>
      </c>
      <c r="Z182" s="5">
        <f t="shared" si="154"/>
        <v>3896829.3002525279</v>
      </c>
      <c r="AA182" s="13">
        <f t="shared" si="155"/>
        <v>15</v>
      </c>
      <c r="AC182">
        <f t="shared" si="111"/>
        <v>179</v>
      </c>
      <c r="AD182">
        <f t="shared" si="112"/>
        <v>2041</v>
      </c>
      <c r="AE182">
        <f t="shared" si="156"/>
        <v>11</v>
      </c>
      <c r="AF182" s="5">
        <f t="shared" si="157"/>
        <v>0</v>
      </c>
      <c r="AG182" s="5">
        <f t="shared" si="158"/>
        <v>0</v>
      </c>
      <c r="AH182" s="5">
        <f t="shared" si="115"/>
        <v>0</v>
      </c>
      <c r="AI182" s="5">
        <f t="shared" si="159"/>
        <v>0</v>
      </c>
      <c r="AJ182" s="5">
        <f t="shared" si="160"/>
        <v>0</v>
      </c>
      <c r="AK182" s="5">
        <f t="shared" si="161"/>
        <v>1336478.6506568119</v>
      </c>
      <c r="AL182" s="5">
        <f t="shared" si="162"/>
        <v>3836478.6506568054</v>
      </c>
      <c r="AM182" s="13">
        <f t="shared" si="163"/>
        <v>15</v>
      </c>
    </row>
    <row r="183" spans="1:39" x14ac:dyDescent="0.35">
      <c r="A183">
        <f t="shared" si="100"/>
        <v>180</v>
      </c>
      <c r="B183">
        <f t="shared" si="101"/>
        <v>2041</v>
      </c>
      <c r="C183">
        <f t="shared" si="164"/>
        <v>12</v>
      </c>
      <c r="D183" s="5">
        <f t="shared" si="165"/>
        <v>0</v>
      </c>
      <c r="E183" s="5">
        <f>IFERROR(IF($A183="", "", _xlfn.XLOOKUP(A183,Offset!A:A,Offset!I:I, 0)), 0)</f>
        <v>16172.826135452415</v>
      </c>
      <c r="F183" s="5">
        <f t="shared" si="166"/>
        <v>0</v>
      </c>
      <c r="G183" s="5">
        <f t="shared" si="167"/>
        <v>0</v>
      </c>
      <c r="H183" s="5">
        <f t="shared" si="168"/>
        <v>0</v>
      </c>
      <c r="I183" s="5">
        <f t="shared" si="169"/>
        <v>0</v>
      </c>
      <c r="J183" s="5">
        <f t="shared" si="170"/>
        <v>0</v>
      </c>
      <c r="K183" s="5">
        <f t="shared" si="171"/>
        <v>0</v>
      </c>
      <c r="L183" s="5">
        <f t="shared" si="172"/>
        <v>30271.924680702195</v>
      </c>
      <c r="M183" s="5">
        <f t="shared" si="173"/>
        <v>1338584.4834244675</v>
      </c>
      <c r="N183" s="5">
        <f t="shared" si="174"/>
        <v>3838584.4834244582</v>
      </c>
      <c r="O183" s="13">
        <f t="shared" si="175"/>
        <v>15</v>
      </c>
      <c r="Q183">
        <f t="shared" si="106"/>
        <v>180</v>
      </c>
      <c r="R183">
        <f t="shared" si="107"/>
        <v>2041</v>
      </c>
      <c r="S183">
        <f t="shared" si="148"/>
        <v>12</v>
      </c>
      <c r="T183" s="5">
        <f t="shared" si="149"/>
        <v>0</v>
      </c>
      <c r="U183" s="5">
        <f t="shared" si="150"/>
        <v>0</v>
      </c>
      <c r="V183" s="5">
        <f t="shared" si="110"/>
        <v>0</v>
      </c>
      <c r="W183" s="5">
        <f t="shared" si="151"/>
        <v>0</v>
      </c>
      <c r="X183" s="5">
        <f t="shared" si="152"/>
        <v>0</v>
      </c>
      <c r="Y183" s="5">
        <f t="shared" si="153"/>
        <v>1396829.3002525347</v>
      </c>
      <c r="Z183" s="5">
        <f t="shared" si="154"/>
        <v>3896829.3002525279</v>
      </c>
      <c r="AA183" s="13">
        <f t="shared" si="155"/>
        <v>15</v>
      </c>
      <c r="AC183">
        <f t="shared" si="111"/>
        <v>180</v>
      </c>
      <c r="AD183">
        <f t="shared" si="112"/>
        <v>2041</v>
      </c>
      <c r="AE183">
        <f t="shared" si="156"/>
        <v>12</v>
      </c>
      <c r="AF183" s="5">
        <f t="shared" si="157"/>
        <v>0</v>
      </c>
      <c r="AG183" s="5">
        <f t="shared" si="158"/>
        <v>0</v>
      </c>
      <c r="AH183" s="5">
        <f t="shared" si="115"/>
        <v>0</v>
      </c>
      <c r="AI183" s="5">
        <f t="shared" si="159"/>
        <v>0</v>
      </c>
      <c r="AJ183" s="5">
        <f t="shared" si="160"/>
        <v>0</v>
      </c>
      <c r="AK183" s="5">
        <f t="shared" si="161"/>
        <v>1336478.6506568119</v>
      </c>
      <c r="AL183" s="5">
        <f t="shared" si="162"/>
        <v>3836478.6506568054</v>
      </c>
      <c r="AM183" s="13">
        <f t="shared" si="163"/>
        <v>15</v>
      </c>
    </row>
    <row r="184" spans="1:39" x14ac:dyDescent="0.35">
      <c r="A184" t="str">
        <f t="shared" si="100"/>
        <v/>
      </c>
      <c r="B184" t="str">
        <f t="shared" si="101"/>
        <v/>
      </c>
      <c r="C184" t="str">
        <f t="shared" ref="C184:C247" si="176">IF($A184="", "", MOD(A184-1, PPY_Loan)+1)</f>
        <v/>
      </c>
      <c r="D184" s="5" t="str">
        <f>IFERROR(IF($A184="", "",IF(J159&lt;=0, 0,J159)), 0)</f>
        <v/>
      </c>
      <c r="E184" s="5" t="str">
        <f>IFERROR(IF($A184="", "", _xlfn.XLOOKUP(A184,Offset!A:A,Offset!I:I, 0)), 0)</f>
        <v/>
      </c>
      <c r="F184" s="5" t="str">
        <f t="shared" ref="F184:F247" si="177">IFERROR(IF($A184="", "", MAX(0, D184 - E184)), 0)</f>
        <v/>
      </c>
      <c r="G184" s="5" t="str">
        <f t="shared" ref="G184:G247" si="178">IFERROR(IF($A184="", "", F184*(LoanRate/PPY_Loan)), 0)</f>
        <v/>
      </c>
      <c r="H184" s="5" t="str">
        <f t="shared" ref="H184:H247" si="179">IFERROR(IF($A184="", "", IF(D184&lt;=0, 0, MIN(StdPayment, D184+G184))), 0)</f>
        <v/>
      </c>
      <c r="I184" s="5" t="str">
        <f t="shared" ref="I184:I247" si="180">IFERROR(IF($A184="", "", IF(D184&lt;=0, 0,H184-G184)), 0)</f>
        <v/>
      </c>
      <c r="J184" s="5" t="str">
        <f t="shared" ref="J184:J247" si="181">IFERROR(IF($A184="", "", IF(D184&lt;=0, 0, MAX(0, D184-I184))), 0)</f>
        <v/>
      </c>
      <c r="K184" s="5" t="str">
        <f t="shared" ref="K184:K247" si="182">IFERROR(IF($A184="", "", IF(D184&lt;=0, 0, E184*(LoanRate/PPY_Loan))), 0)</f>
        <v/>
      </c>
      <c r="L184" s="5" t="str">
        <f>IFERROR(IF($A184="", "", L159+K184), 0)</f>
        <v/>
      </c>
      <c r="M184" s="5" t="str">
        <f>IF($A184="","",M159+G184)</f>
        <v/>
      </c>
      <c r="N184" s="5" t="str">
        <f>IF($A184="","",N159+H184)</f>
        <v/>
      </c>
      <c r="O184" s="13" t="str">
        <f>IF($A184="","",IF(B184&lt;&gt;B159,O159+1,O159))</f>
        <v/>
      </c>
      <c r="Q184" t="str">
        <f t="shared" si="106"/>
        <v/>
      </c>
      <c r="R184" t="str">
        <f t="shared" si="107"/>
        <v/>
      </c>
      <c r="S184" t="str">
        <f t="shared" ref="S184:S247" si="183">IF($Q184="", "", MOD(Q184-1, PPY_Loan)+1)</f>
        <v/>
      </c>
      <c r="T184" s="5" t="str">
        <f>IFERROR(IF($Q184="", "",IF(X159&lt;=0, 0, X159)), 0)</f>
        <v/>
      </c>
      <c r="U184" s="5" t="str">
        <f t="shared" ref="U184:U247" si="184">IFERROR(IF($Q184="", "", T184*(LoanRate/PPY_Loan)), 0)</f>
        <v/>
      </c>
      <c r="V184" s="5" t="str">
        <f t="shared" ref="V184:V187" si="185">IFERROR(IF($Q184="", "", IF(T184&lt;=0, 0, MIN(StdPayment, T184+U184))), 0)</f>
        <v/>
      </c>
      <c r="W184" s="5" t="str">
        <f t="shared" si="125"/>
        <v/>
      </c>
      <c r="X184" s="5" t="str">
        <f t="shared" si="126"/>
        <v/>
      </c>
      <c r="Y184" s="5" t="str">
        <f>IF($Q184="","",Y159+U184)</f>
        <v/>
      </c>
      <c r="Z184" s="5" t="str">
        <f>IF($Q184="","",Z159+V184)</f>
        <v/>
      </c>
      <c r="AA184" s="13" t="str">
        <f>IF($Q184="","",IF(R184&lt;&gt;R159,AA159+1,AA159))</f>
        <v/>
      </c>
      <c r="AC184" t="str">
        <f t="shared" si="111"/>
        <v/>
      </c>
      <c r="AD184" t="str">
        <f t="shared" si="112"/>
        <v/>
      </c>
      <c r="AE184" t="str">
        <f t="shared" ref="AE184:AE247" si="186">IF($AC184="", "", MOD(AC184-1, PPY_Loan)+1)</f>
        <v/>
      </c>
      <c r="AF184" s="5" t="str">
        <f>IFERROR(IF($AC184="", "",IF(AJ159&lt;=0, 0, AJ159)), 0)</f>
        <v/>
      </c>
      <c r="AG184" s="5" t="str">
        <f t="shared" ref="AG184:AG247" si="187">IFERROR(IF($AC184="", "", AF184*(LoanRate/PPY_Loan)), 0)</f>
        <v/>
      </c>
      <c r="AH184" s="5" t="str">
        <f t="shared" ref="AH184:AH187" si="188">IFERROR(IF($AC184="", "", IF(AF184&lt;=0, 0, MIN(StdPayment+IF(ISBLANK(ExtraRepay),0,ExtraRepay), AF184+AG184))), 0)</f>
        <v/>
      </c>
      <c r="AI184" s="5" t="str">
        <f t="shared" si="131"/>
        <v/>
      </c>
      <c r="AJ184" s="5" t="str">
        <f t="shared" si="132"/>
        <v/>
      </c>
      <c r="AK184" s="5" t="str">
        <f>IF($AC184="","",AK159+AG184)</f>
        <v/>
      </c>
      <c r="AL184" s="5" t="str">
        <f>IF($AC184="","",AL159+AH184)</f>
        <v/>
      </c>
      <c r="AM184" s="13" t="str">
        <f>IF($AC184="","",IF(AD184&lt;&gt;AD159,AM159+1,AM159))</f>
        <v/>
      </c>
    </row>
    <row r="185" spans="1:39" x14ac:dyDescent="0.35">
      <c r="A185" t="str">
        <f t="shared" si="100"/>
        <v/>
      </c>
      <c r="B185" t="str">
        <f t="shared" si="101"/>
        <v/>
      </c>
      <c r="C185" t="str">
        <f t="shared" si="176"/>
        <v/>
      </c>
      <c r="D185" s="5" t="str">
        <f t="shared" ref="D185:D247" si="189">IFERROR(IF($A185="", "",IF(J184&lt;=0, 0,J184)), 0)</f>
        <v/>
      </c>
      <c r="E185" s="5" t="str">
        <f>IFERROR(IF($A185="", "", _xlfn.XLOOKUP(A185,Offset!A:A,Offset!I:I, 0)), 0)</f>
        <v/>
      </c>
      <c r="F185" s="5" t="str">
        <f t="shared" si="177"/>
        <v/>
      </c>
      <c r="G185" s="5" t="str">
        <f t="shared" si="178"/>
        <v/>
      </c>
      <c r="H185" s="5" t="str">
        <f t="shared" si="179"/>
        <v/>
      </c>
      <c r="I185" s="5" t="str">
        <f t="shared" si="180"/>
        <v/>
      </c>
      <c r="J185" s="5" t="str">
        <f t="shared" si="181"/>
        <v/>
      </c>
      <c r="K185" s="5" t="str">
        <f t="shared" si="182"/>
        <v/>
      </c>
      <c r="L185" s="5" t="str">
        <f t="shared" ref="L185:L247" si="190">IFERROR(IF($A185="", "", L184+K185), 0)</f>
        <v/>
      </c>
      <c r="M185" s="5" t="str">
        <f t="shared" ref="M185:M247" si="191">IF($A185="","",M184+G185)</f>
        <v/>
      </c>
      <c r="N185" s="5" t="str">
        <f t="shared" ref="N185:N247" si="192">IF($A185="","",N184+H185)</f>
        <v/>
      </c>
      <c r="O185" s="13" t="str">
        <f t="shared" ref="O185:O247" si="193">IF($A185="","",IF(B185&lt;&gt;B184,O184+1,O184))</f>
        <v/>
      </c>
      <c r="Q185" t="str">
        <f t="shared" si="106"/>
        <v/>
      </c>
      <c r="R185" t="str">
        <f t="shared" si="107"/>
        <v/>
      </c>
      <c r="S185" t="str">
        <f t="shared" si="183"/>
        <v/>
      </c>
      <c r="T185" s="5" t="str">
        <f t="shared" si="124"/>
        <v/>
      </c>
      <c r="U185" s="5" t="str">
        <f t="shared" si="184"/>
        <v/>
      </c>
      <c r="V185" s="5" t="str">
        <f t="shared" si="185"/>
        <v/>
      </c>
      <c r="W185" s="5" t="str">
        <f t="shared" si="125"/>
        <v/>
      </c>
      <c r="X185" s="5" t="str">
        <f t="shared" si="126"/>
        <v/>
      </c>
      <c r="Y185" s="5" t="str">
        <f t="shared" ref="Y185:Y247" si="194">IF($Q185="","",Y184+U185)</f>
        <v/>
      </c>
      <c r="Z185" s="5" t="str">
        <f t="shared" ref="Z185:Z247" si="195">IF($Q185="","",Z184+V185)</f>
        <v/>
      </c>
      <c r="AA185" s="13" t="str">
        <f t="shared" ref="AA185:AA247" si="196">IF($Q185="","",IF(R185&lt;&gt;R184,AA184+1,AA184))</f>
        <v/>
      </c>
      <c r="AC185" t="str">
        <f t="shared" si="111"/>
        <v/>
      </c>
      <c r="AD185" t="str">
        <f t="shared" si="112"/>
        <v/>
      </c>
      <c r="AE185" t="str">
        <f t="shared" si="186"/>
        <v/>
      </c>
      <c r="AF185" s="5" t="str">
        <f t="shared" si="130"/>
        <v/>
      </c>
      <c r="AG185" s="5" t="str">
        <f t="shared" si="187"/>
        <v/>
      </c>
      <c r="AH185" s="5" t="str">
        <f t="shared" si="188"/>
        <v/>
      </c>
      <c r="AI185" s="5" t="str">
        <f t="shared" si="131"/>
        <v/>
      </c>
      <c r="AJ185" s="5" t="str">
        <f t="shared" si="132"/>
        <v/>
      </c>
      <c r="AK185" s="5" t="str">
        <f t="shared" ref="AK185:AK247" si="197">IF($AC185="","",AK184+AG185)</f>
        <v/>
      </c>
      <c r="AL185" s="5" t="str">
        <f t="shared" ref="AL185:AL247" si="198">IF($AC185="","",AL184+AH185)</f>
        <v/>
      </c>
      <c r="AM185" s="13" t="str">
        <f t="shared" ref="AM185:AM247" si="199">IF($AC185="","",IF(AD185&lt;&gt;AD184,AM184+1,AM184))</f>
        <v/>
      </c>
    </row>
    <row r="186" spans="1:39" x14ac:dyDescent="0.35">
      <c r="A186" t="str">
        <f t="shared" si="100"/>
        <v/>
      </c>
      <c r="B186" t="str">
        <f t="shared" si="101"/>
        <v/>
      </c>
      <c r="C186" t="str">
        <f t="shared" si="176"/>
        <v/>
      </c>
      <c r="D186" s="5" t="str">
        <f t="shared" si="189"/>
        <v/>
      </c>
      <c r="E186" s="5" t="str">
        <f>IFERROR(IF($A186="", "", _xlfn.XLOOKUP(A186,Offset!A:A,Offset!I:I, 0)), 0)</f>
        <v/>
      </c>
      <c r="F186" s="5" t="str">
        <f t="shared" si="177"/>
        <v/>
      </c>
      <c r="G186" s="5" t="str">
        <f t="shared" si="178"/>
        <v/>
      </c>
      <c r="H186" s="5" t="str">
        <f t="shared" si="179"/>
        <v/>
      </c>
      <c r="I186" s="5" t="str">
        <f t="shared" si="180"/>
        <v/>
      </c>
      <c r="J186" s="5" t="str">
        <f t="shared" si="181"/>
        <v/>
      </c>
      <c r="K186" s="5" t="str">
        <f t="shared" si="182"/>
        <v/>
      </c>
      <c r="L186" s="5" t="str">
        <f t="shared" si="190"/>
        <v/>
      </c>
      <c r="M186" s="5" t="str">
        <f t="shared" si="191"/>
        <v/>
      </c>
      <c r="N186" s="5" t="str">
        <f t="shared" si="192"/>
        <v/>
      </c>
      <c r="O186" s="13" t="str">
        <f t="shared" si="193"/>
        <v/>
      </c>
      <c r="Q186" t="str">
        <f t="shared" si="106"/>
        <v/>
      </c>
      <c r="R186" t="str">
        <f t="shared" si="107"/>
        <v/>
      </c>
      <c r="S186" t="str">
        <f t="shared" si="183"/>
        <v/>
      </c>
      <c r="T186" s="5" t="str">
        <f t="shared" si="124"/>
        <v/>
      </c>
      <c r="U186" s="5" t="str">
        <f t="shared" si="184"/>
        <v/>
      </c>
      <c r="V186" s="5" t="str">
        <f t="shared" si="185"/>
        <v/>
      </c>
      <c r="W186" s="5" t="str">
        <f t="shared" si="125"/>
        <v/>
      </c>
      <c r="X186" s="5" t="str">
        <f t="shared" si="126"/>
        <v/>
      </c>
      <c r="Y186" s="5" t="str">
        <f t="shared" si="194"/>
        <v/>
      </c>
      <c r="Z186" s="5" t="str">
        <f t="shared" si="195"/>
        <v/>
      </c>
      <c r="AA186" s="13" t="str">
        <f t="shared" si="196"/>
        <v/>
      </c>
      <c r="AC186" t="str">
        <f t="shared" si="111"/>
        <v/>
      </c>
      <c r="AD186" t="str">
        <f t="shared" si="112"/>
        <v/>
      </c>
      <c r="AE186" t="str">
        <f t="shared" si="186"/>
        <v/>
      </c>
      <c r="AF186" s="5" t="str">
        <f t="shared" si="130"/>
        <v/>
      </c>
      <c r="AG186" s="5" t="str">
        <f t="shared" si="187"/>
        <v/>
      </c>
      <c r="AH186" s="5" t="str">
        <f t="shared" si="188"/>
        <v/>
      </c>
      <c r="AI186" s="5" t="str">
        <f t="shared" si="131"/>
        <v/>
      </c>
      <c r="AJ186" s="5" t="str">
        <f t="shared" si="132"/>
        <v/>
      </c>
      <c r="AK186" s="5" t="str">
        <f t="shared" si="197"/>
        <v/>
      </c>
      <c r="AL186" s="5" t="str">
        <f t="shared" si="198"/>
        <v/>
      </c>
      <c r="AM186" s="13" t="str">
        <f t="shared" si="199"/>
        <v/>
      </c>
    </row>
    <row r="187" spans="1:39" x14ac:dyDescent="0.35">
      <c r="A187" t="str">
        <f t="shared" si="100"/>
        <v/>
      </c>
      <c r="B187" t="str">
        <f t="shared" si="101"/>
        <v/>
      </c>
      <c r="C187" t="str">
        <f t="shared" si="176"/>
        <v/>
      </c>
      <c r="D187" s="5" t="str">
        <f t="shared" si="189"/>
        <v/>
      </c>
      <c r="E187" s="5" t="str">
        <f>IFERROR(IF($A187="", "", _xlfn.XLOOKUP(A187,Offset!A:A,Offset!I:I, 0)), 0)</f>
        <v/>
      </c>
      <c r="F187" s="5" t="str">
        <f t="shared" si="177"/>
        <v/>
      </c>
      <c r="G187" s="5" t="str">
        <f t="shared" si="178"/>
        <v/>
      </c>
      <c r="H187" s="5" t="str">
        <f t="shared" si="179"/>
        <v/>
      </c>
      <c r="I187" s="5" t="str">
        <f t="shared" si="180"/>
        <v/>
      </c>
      <c r="J187" s="5" t="str">
        <f t="shared" si="181"/>
        <v/>
      </c>
      <c r="K187" s="5" t="str">
        <f t="shared" si="182"/>
        <v/>
      </c>
      <c r="L187" s="5" t="str">
        <f t="shared" si="190"/>
        <v/>
      </c>
      <c r="M187" s="5" t="str">
        <f t="shared" si="191"/>
        <v/>
      </c>
      <c r="N187" s="5" t="str">
        <f t="shared" si="192"/>
        <v/>
      </c>
      <c r="O187" s="13" t="str">
        <f t="shared" si="193"/>
        <v/>
      </c>
      <c r="Q187" t="str">
        <f t="shared" si="106"/>
        <v/>
      </c>
      <c r="R187" t="str">
        <f t="shared" si="107"/>
        <v/>
      </c>
      <c r="S187" t="str">
        <f t="shared" si="183"/>
        <v/>
      </c>
      <c r="T187" s="5" t="str">
        <f t="shared" si="124"/>
        <v/>
      </c>
      <c r="U187" s="5" t="str">
        <f t="shared" si="184"/>
        <v/>
      </c>
      <c r="V187" s="5" t="str">
        <f t="shared" si="185"/>
        <v/>
      </c>
      <c r="W187" s="5" t="str">
        <f t="shared" si="125"/>
        <v/>
      </c>
      <c r="X187" s="5" t="str">
        <f t="shared" si="126"/>
        <v/>
      </c>
      <c r="Y187" s="5" t="str">
        <f t="shared" si="194"/>
        <v/>
      </c>
      <c r="Z187" s="5" t="str">
        <f t="shared" si="195"/>
        <v/>
      </c>
      <c r="AA187" s="13" t="str">
        <f t="shared" si="196"/>
        <v/>
      </c>
      <c r="AC187" t="str">
        <f t="shared" si="111"/>
        <v/>
      </c>
      <c r="AD187" t="str">
        <f t="shared" si="112"/>
        <v/>
      </c>
      <c r="AE187" t="str">
        <f t="shared" si="186"/>
        <v/>
      </c>
      <c r="AF187" s="5" t="str">
        <f t="shared" si="130"/>
        <v/>
      </c>
      <c r="AG187" s="5" t="str">
        <f t="shared" si="187"/>
        <v/>
      </c>
      <c r="AH187" s="5" t="str">
        <f t="shared" si="188"/>
        <v/>
      </c>
      <c r="AI187" s="5" t="str">
        <f t="shared" si="131"/>
        <v/>
      </c>
      <c r="AJ187" s="5" t="str">
        <f t="shared" si="132"/>
        <v/>
      </c>
      <c r="AK187" s="5" t="str">
        <f t="shared" si="197"/>
        <v/>
      </c>
      <c r="AL187" s="5" t="str">
        <f t="shared" si="198"/>
        <v/>
      </c>
      <c r="AM187" s="13" t="str">
        <f t="shared" si="199"/>
        <v/>
      </c>
    </row>
    <row r="188" spans="1:39" x14ac:dyDescent="0.35">
      <c r="A188" t="str">
        <f t="shared" si="100"/>
        <v/>
      </c>
      <c r="B188" t="str">
        <f t="shared" si="101"/>
        <v/>
      </c>
      <c r="C188" t="str">
        <f t="shared" si="176"/>
        <v/>
      </c>
      <c r="D188" s="5" t="str">
        <f t="shared" si="189"/>
        <v/>
      </c>
      <c r="E188" s="5" t="str">
        <f>IFERROR(IF($A188="", "", _xlfn.XLOOKUP(A188,Offset!A:A,Offset!I:I, 0)), 0)</f>
        <v/>
      </c>
      <c r="F188" s="5" t="str">
        <f t="shared" si="177"/>
        <v/>
      </c>
      <c r="G188" s="5" t="str">
        <f t="shared" si="178"/>
        <v/>
      </c>
      <c r="H188" s="5" t="str">
        <f t="shared" si="179"/>
        <v/>
      </c>
      <c r="I188" s="5" t="str">
        <f t="shared" si="180"/>
        <v/>
      </c>
      <c r="J188" s="5" t="str">
        <f t="shared" si="181"/>
        <v/>
      </c>
      <c r="K188" s="5" t="str">
        <f t="shared" si="182"/>
        <v/>
      </c>
      <c r="L188" s="5" t="str">
        <f t="shared" si="190"/>
        <v/>
      </c>
      <c r="M188" s="5" t="str">
        <f t="shared" si="191"/>
        <v/>
      </c>
      <c r="N188" s="5" t="str">
        <f t="shared" si="192"/>
        <v/>
      </c>
      <c r="O188" s="13" t="str">
        <f t="shared" si="193"/>
        <v/>
      </c>
      <c r="Q188" t="str">
        <f t="shared" si="106"/>
        <v/>
      </c>
      <c r="R188" t="str">
        <f t="shared" si="107"/>
        <v/>
      </c>
      <c r="S188" t="str">
        <f t="shared" si="183"/>
        <v/>
      </c>
      <c r="T188" s="5" t="str">
        <f t="shared" si="124"/>
        <v/>
      </c>
      <c r="U188" s="5" t="str">
        <f t="shared" si="184"/>
        <v/>
      </c>
      <c r="V188" s="5" t="str">
        <f t="shared" ref="V188:V251" si="200">IFERROR(IF($Q188="", "", IF(T188&lt;=0, 0, MIN(StdPayment, T188+U188))), 0)</f>
        <v/>
      </c>
      <c r="W188" s="5" t="str">
        <f t="shared" si="125"/>
        <v/>
      </c>
      <c r="X188" s="5" t="str">
        <f t="shared" si="126"/>
        <v/>
      </c>
      <c r="Y188" s="5" t="str">
        <f t="shared" si="194"/>
        <v/>
      </c>
      <c r="Z188" s="5" t="str">
        <f t="shared" si="195"/>
        <v/>
      </c>
      <c r="AA188" s="13" t="str">
        <f t="shared" si="196"/>
        <v/>
      </c>
      <c r="AC188" t="str">
        <f t="shared" si="111"/>
        <v/>
      </c>
      <c r="AD188" t="str">
        <f t="shared" si="112"/>
        <v/>
      </c>
      <c r="AE188" t="str">
        <f t="shared" si="186"/>
        <v/>
      </c>
      <c r="AF188" s="5" t="str">
        <f t="shared" si="130"/>
        <v/>
      </c>
      <c r="AG188" s="5" t="str">
        <f t="shared" si="187"/>
        <v/>
      </c>
      <c r="AH188" s="5" t="str">
        <f t="shared" ref="AH188:AH251" si="201">IFERROR(IF($AC188="", "", IF(AF188&lt;=0, 0, MIN(StdPayment+IF(ISBLANK(ExtraRepay),0,ExtraRepay), AF188+AG188))), 0)</f>
        <v/>
      </c>
      <c r="AI188" s="5" t="str">
        <f t="shared" si="131"/>
        <v/>
      </c>
      <c r="AJ188" s="5" t="str">
        <f t="shared" si="132"/>
        <v/>
      </c>
      <c r="AK188" s="5" t="str">
        <f t="shared" si="197"/>
        <v/>
      </c>
      <c r="AL188" s="5" t="str">
        <f t="shared" si="198"/>
        <v/>
      </c>
      <c r="AM188" s="13" t="str">
        <f t="shared" si="199"/>
        <v/>
      </c>
    </row>
    <row r="189" spans="1:39" x14ac:dyDescent="0.35">
      <c r="A189" t="str">
        <f t="shared" si="100"/>
        <v/>
      </c>
      <c r="B189" t="str">
        <f t="shared" si="101"/>
        <v/>
      </c>
      <c r="C189" t="str">
        <f t="shared" si="176"/>
        <v/>
      </c>
      <c r="D189" s="5" t="str">
        <f t="shared" si="189"/>
        <v/>
      </c>
      <c r="E189" s="5" t="str">
        <f>IFERROR(IF($A189="", "", _xlfn.XLOOKUP(A189,Offset!A:A,Offset!I:I, 0)), 0)</f>
        <v/>
      </c>
      <c r="F189" s="5" t="str">
        <f t="shared" si="177"/>
        <v/>
      </c>
      <c r="G189" s="5" t="str">
        <f t="shared" si="178"/>
        <v/>
      </c>
      <c r="H189" s="5" t="str">
        <f t="shared" si="179"/>
        <v/>
      </c>
      <c r="I189" s="5" t="str">
        <f t="shared" si="180"/>
        <v/>
      </c>
      <c r="J189" s="5" t="str">
        <f t="shared" si="181"/>
        <v/>
      </c>
      <c r="K189" s="5" t="str">
        <f t="shared" si="182"/>
        <v/>
      </c>
      <c r="L189" s="5" t="str">
        <f t="shared" si="190"/>
        <v/>
      </c>
      <c r="M189" s="5" t="str">
        <f t="shared" si="191"/>
        <v/>
      </c>
      <c r="N189" s="5" t="str">
        <f t="shared" si="192"/>
        <v/>
      </c>
      <c r="O189" s="13" t="str">
        <f t="shared" si="193"/>
        <v/>
      </c>
      <c r="Q189" t="str">
        <f t="shared" si="106"/>
        <v/>
      </c>
      <c r="R189" t="str">
        <f t="shared" si="107"/>
        <v/>
      </c>
      <c r="S189" t="str">
        <f t="shared" si="183"/>
        <v/>
      </c>
      <c r="T189" s="5" t="str">
        <f t="shared" si="124"/>
        <v/>
      </c>
      <c r="U189" s="5" t="str">
        <f t="shared" si="184"/>
        <v/>
      </c>
      <c r="V189" s="5" t="str">
        <f t="shared" si="200"/>
        <v/>
      </c>
      <c r="W189" s="5" t="str">
        <f t="shared" si="125"/>
        <v/>
      </c>
      <c r="X189" s="5" t="str">
        <f t="shared" si="126"/>
        <v/>
      </c>
      <c r="Y189" s="5" t="str">
        <f t="shared" si="194"/>
        <v/>
      </c>
      <c r="Z189" s="5" t="str">
        <f t="shared" si="195"/>
        <v/>
      </c>
      <c r="AA189" s="13" t="str">
        <f t="shared" si="196"/>
        <v/>
      </c>
      <c r="AC189" t="str">
        <f t="shared" si="111"/>
        <v/>
      </c>
      <c r="AD189" t="str">
        <f t="shared" si="112"/>
        <v/>
      </c>
      <c r="AE189" t="str">
        <f t="shared" si="186"/>
        <v/>
      </c>
      <c r="AF189" s="5" t="str">
        <f t="shared" si="130"/>
        <v/>
      </c>
      <c r="AG189" s="5" t="str">
        <f t="shared" si="187"/>
        <v/>
      </c>
      <c r="AH189" s="5" t="str">
        <f t="shared" si="201"/>
        <v/>
      </c>
      <c r="AI189" s="5" t="str">
        <f t="shared" si="131"/>
        <v/>
      </c>
      <c r="AJ189" s="5" t="str">
        <f t="shared" si="132"/>
        <v/>
      </c>
      <c r="AK189" s="5" t="str">
        <f t="shared" si="197"/>
        <v/>
      </c>
      <c r="AL189" s="5" t="str">
        <f t="shared" si="198"/>
        <v/>
      </c>
      <c r="AM189" s="13" t="str">
        <f t="shared" si="199"/>
        <v/>
      </c>
    </row>
    <row r="190" spans="1:39" x14ac:dyDescent="0.35">
      <c r="A190" t="str">
        <f t="shared" si="100"/>
        <v/>
      </c>
      <c r="B190" t="str">
        <f t="shared" si="101"/>
        <v/>
      </c>
      <c r="C190" t="str">
        <f t="shared" si="176"/>
        <v/>
      </c>
      <c r="D190" s="5" t="str">
        <f t="shared" si="189"/>
        <v/>
      </c>
      <c r="E190" s="5" t="str">
        <f>IFERROR(IF($A190="", "", _xlfn.XLOOKUP(A190,Offset!A:A,Offset!I:I, 0)), 0)</f>
        <v/>
      </c>
      <c r="F190" s="5" t="str">
        <f t="shared" si="177"/>
        <v/>
      </c>
      <c r="G190" s="5" t="str">
        <f t="shared" si="178"/>
        <v/>
      </c>
      <c r="H190" s="5" t="str">
        <f t="shared" si="179"/>
        <v/>
      </c>
      <c r="I190" s="5" t="str">
        <f t="shared" si="180"/>
        <v/>
      </c>
      <c r="J190" s="5" t="str">
        <f t="shared" si="181"/>
        <v/>
      </c>
      <c r="K190" s="5" t="str">
        <f t="shared" si="182"/>
        <v/>
      </c>
      <c r="L190" s="5" t="str">
        <f t="shared" si="190"/>
        <v/>
      </c>
      <c r="M190" s="5" t="str">
        <f t="shared" si="191"/>
        <v/>
      </c>
      <c r="N190" s="5" t="str">
        <f t="shared" si="192"/>
        <v/>
      </c>
      <c r="O190" s="13" t="str">
        <f t="shared" si="193"/>
        <v/>
      </c>
      <c r="Q190" t="str">
        <f t="shared" si="106"/>
        <v/>
      </c>
      <c r="R190" t="str">
        <f t="shared" si="107"/>
        <v/>
      </c>
      <c r="S190" t="str">
        <f t="shared" si="183"/>
        <v/>
      </c>
      <c r="T190" s="5" t="str">
        <f t="shared" si="124"/>
        <v/>
      </c>
      <c r="U190" s="5" t="str">
        <f t="shared" si="184"/>
        <v/>
      </c>
      <c r="V190" s="5" t="str">
        <f t="shared" si="200"/>
        <v/>
      </c>
      <c r="W190" s="5" t="str">
        <f t="shared" si="125"/>
        <v/>
      </c>
      <c r="X190" s="5" t="str">
        <f t="shared" si="126"/>
        <v/>
      </c>
      <c r="Y190" s="5" t="str">
        <f t="shared" si="194"/>
        <v/>
      </c>
      <c r="Z190" s="5" t="str">
        <f t="shared" si="195"/>
        <v/>
      </c>
      <c r="AA190" s="13" t="str">
        <f t="shared" si="196"/>
        <v/>
      </c>
      <c r="AC190" t="str">
        <f t="shared" si="111"/>
        <v/>
      </c>
      <c r="AD190" t="str">
        <f t="shared" si="112"/>
        <v/>
      </c>
      <c r="AE190" t="str">
        <f t="shared" si="186"/>
        <v/>
      </c>
      <c r="AF190" s="5" t="str">
        <f t="shared" si="130"/>
        <v/>
      </c>
      <c r="AG190" s="5" t="str">
        <f t="shared" si="187"/>
        <v/>
      </c>
      <c r="AH190" s="5" t="str">
        <f t="shared" si="201"/>
        <v/>
      </c>
      <c r="AI190" s="5" t="str">
        <f t="shared" si="131"/>
        <v/>
      </c>
      <c r="AJ190" s="5" t="str">
        <f t="shared" si="132"/>
        <v/>
      </c>
      <c r="AK190" s="5" t="str">
        <f t="shared" si="197"/>
        <v/>
      </c>
      <c r="AL190" s="5" t="str">
        <f t="shared" si="198"/>
        <v/>
      </c>
      <c r="AM190" s="13" t="str">
        <f t="shared" si="199"/>
        <v/>
      </c>
    </row>
    <row r="191" spans="1:39" x14ac:dyDescent="0.35">
      <c r="A191" t="str">
        <f t="shared" si="100"/>
        <v/>
      </c>
      <c r="B191" t="str">
        <f t="shared" si="101"/>
        <v/>
      </c>
      <c r="C191" t="str">
        <f t="shared" si="176"/>
        <v/>
      </c>
      <c r="D191" s="5" t="str">
        <f t="shared" si="189"/>
        <v/>
      </c>
      <c r="E191" s="5" t="str">
        <f>IFERROR(IF($A191="", "", _xlfn.XLOOKUP(A191,Offset!A:A,Offset!I:I, 0)), 0)</f>
        <v/>
      </c>
      <c r="F191" s="5" t="str">
        <f t="shared" si="177"/>
        <v/>
      </c>
      <c r="G191" s="5" t="str">
        <f t="shared" si="178"/>
        <v/>
      </c>
      <c r="H191" s="5" t="str">
        <f t="shared" si="179"/>
        <v/>
      </c>
      <c r="I191" s="5" t="str">
        <f t="shared" si="180"/>
        <v/>
      </c>
      <c r="J191" s="5" t="str">
        <f t="shared" si="181"/>
        <v/>
      </c>
      <c r="K191" s="5" t="str">
        <f t="shared" si="182"/>
        <v/>
      </c>
      <c r="L191" s="5" t="str">
        <f t="shared" si="190"/>
        <v/>
      </c>
      <c r="M191" s="5" t="str">
        <f t="shared" si="191"/>
        <v/>
      </c>
      <c r="N191" s="5" t="str">
        <f t="shared" si="192"/>
        <v/>
      </c>
      <c r="O191" s="13" t="str">
        <f t="shared" si="193"/>
        <v/>
      </c>
      <c r="Q191" t="str">
        <f t="shared" si="106"/>
        <v/>
      </c>
      <c r="R191" t="str">
        <f t="shared" si="107"/>
        <v/>
      </c>
      <c r="S191" t="str">
        <f t="shared" si="183"/>
        <v/>
      </c>
      <c r="T191" s="5" t="str">
        <f t="shared" si="124"/>
        <v/>
      </c>
      <c r="U191" s="5" t="str">
        <f t="shared" si="184"/>
        <v/>
      </c>
      <c r="V191" s="5" t="str">
        <f t="shared" si="200"/>
        <v/>
      </c>
      <c r="W191" s="5" t="str">
        <f t="shared" si="125"/>
        <v/>
      </c>
      <c r="X191" s="5" t="str">
        <f t="shared" si="126"/>
        <v/>
      </c>
      <c r="Y191" s="5" t="str">
        <f t="shared" si="194"/>
        <v/>
      </c>
      <c r="Z191" s="5" t="str">
        <f t="shared" si="195"/>
        <v/>
      </c>
      <c r="AA191" s="13" t="str">
        <f t="shared" si="196"/>
        <v/>
      </c>
      <c r="AC191" t="str">
        <f t="shared" si="111"/>
        <v/>
      </c>
      <c r="AD191" t="str">
        <f t="shared" si="112"/>
        <v/>
      </c>
      <c r="AE191" t="str">
        <f t="shared" si="186"/>
        <v/>
      </c>
      <c r="AF191" s="5" t="str">
        <f t="shared" si="130"/>
        <v/>
      </c>
      <c r="AG191" s="5" t="str">
        <f t="shared" si="187"/>
        <v/>
      </c>
      <c r="AH191" s="5" t="str">
        <f t="shared" si="201"/>
        <v/>
      </c>
      <c r="AI191" s="5" t="str">
        <f t="shared" si="131"/>
        <v/>
      </c>
      <c r="AJ191" s="5" t="str">
        <f t="shared" si="132"/>
        <v/>
      </c>
      <c r="AK191" s="5" t="str">
        <f t="shared" si="197"/>
        <v/>
      </c>
      <c r="AL191" s="5" t="str">
        <f t="shared" si="198"/>
        <v/>
      </c>
      <c r="AM191" s="13" t="str">
        <f t="shared" si="199"/>
        <v/>
      </c>
    </row>
    <row r="192" spans="1:39" x14ac:dyDescent="0.35">
      <c r="A192" t="str">
        <f t="shared" si="100"/>
        <v/>
      </c>
      <c r="B192" t="str">
        <f t="shared" si="101"/>
        <v/>
      </c>
      <c r="C192" t="str">
        <f t="shared" si="176"/>
        <v/>
      </c>
      <c r="D192" s="5" t="str">
        <f t="shared" si="189"/>
        <v/>
      </c>
      <c r="E192" s="5" t="str">
        <f>IFERROR(IF($A192="", "", _xlfn.XLOOKUP(A192,Offset!A:A,Offset!I:I, 0)), 0)</f>
        <v/>
      </c>
      <c r="F192" s="5" t="str">
        <f t="shared" si="177"/>
        <v/>
      </c>
      <c r="G192" s="5" t="str">
        <f t="shared" si="178"/>
        <v/>
      </c>
      <c r="H192" s="5" t="str">
        <f t="shared" si="179"/>
        <v/>
      </c>
      <c r="I192" s="5" t="str">
        <f t="shared" si="180"/>
        <v/>
      </c>
      <c r="J192" s="5" t="str">
        <f t="shared" si="181"/>
        <v/>
      </c>
      <c r="K192" s="5" t="str">
        <f t="shared" si="182"/>
        <v/>
      </c>
      <c r="L192" s="5" t="str">
        <f t="shared" si="190"/>
        <v/>
      </c>
      <c r="M192" s="5" t="str">
        <f t="shared" si="191"/>
        <v/>
      </c>
      <c r="N192" s="5" t="str">
        <f t="shared" si="192"/>
        <v/>
      </c>
      <c r="O192" s="13" t="str">
        <f t="shared" si="193"/>
        <v/>
      </c>
      <c r="Q192" t="str">
        <f t="shared" si="106"/>
        <v/>
      </c>
      <c r="R192" t="str">
        <f t="shared" si="107"/>
        <v/>
      </c>
      <c r="S192" t="str">
        <f t="shared" si="183"/>
        <v/>
      </c>
      <c r="T192" s="5" t="str">
        <f t="shared" si="124"/>
        <v/>
      </c>
      <c r="U192" s="5" t="str">
        <f t="shared" si="184"/>
        <v/>
      </c>
      <c r="V192" s="5" t="str">
        <f t="shared" si="200"/>
        <v/>
      </c>
      <c r="W192" s="5" t="str">
        <f t="shared" si="125"/>
        <v/>
      </c>
      <c r="X192" s="5" t="str">
        <f t="shared" si="126"/>
        <v/>
      </c>
      <c r="Y192" s="5" t="str">
        <f t="shared" si="194"/>
        <v/>
      </c>
      <c r="Z192" s="5" t="str">
        <f t="shared" si="195"/>
        <v/>
      </c>
      <c r="AA192" s="13" t="str">
        <f t="shared" si="196"/>
        <v/>
      </c>
      <c r="AC192" t="str">
        <f t="shared" si="111"/>
        <v/>
      </c>
      <c r="AD192" t="str">
        <f t="shared" si="112"/>
        <v/>
      </c>
      <c r="AE192" t="str">
        <f t="shared" si="186"/>
        <v/>
      </c>
      <c r="AF192" s="5" t="str">
        <f t="shared" si="130"/>
        <v/>
      </c>
      <c r="AG192" s="5" t="str">
        <f t="shared" si="187"/>
        <v/>
      </c>
      <c r="AH192" s="5" t="str">
        <f t="shared" si="201"/>
        <v/>
      </c>
      <c r="AI192" s="5" t="str">
        <f t="shared" si="131"/>
        <v/>
      </c>
      <c r="AJ192" s="5" t="str">
        <f t="shared" si="132"/>
        <v/>
      </c>
      <c r="AK192" s="5" t="str">
        <f t="shared" si="197"/>
        <v/>
      </c>
      <c r="AL192" s="5" t="str">
        <f t="shared" si="198"/>
        <v/>
      </c>
      <c r="AM192" s="13" t="str">
        <f t="shared" si="199"/>
        <v/>
      </c>
    </row>
    <row r="193" spans="1:39" x14ac:dyDescent="0.35">
      <c r="A193" t="str">
        <f t="shared" si="100"/>
        <v/>
      </c>
      <c r="B193" t="str">
        <f t="shared" si="101"/>
        <v/>
      </c>
      <c r="C193" t="str">
        <f t="shared" si="176"/>
        <v/>
      </c>
      <c r="D193" s="5" t="str">
        <f t="shared" si="189"/>
        <v/>
      </c>
      <c r="E193" s="5" t="str">
        <f>IFERROR(IF($A193="", "", _xlfn.XLOOKUP(A193,Offset!A:A,Offset!I:I, 0)), 0)</f>
        <v/>
      </c>
      <c r="F193" s="5" t="str">
        <f t="shared" si="177"/>
        <v/>
      </c>
      <c r="G193" s="5" t="str">
        <f t="shared" si="178"/>
        <v/>
      </c>
      <c r="H193" s="5" t="str">
        <f t="shared" si="179"/>
        <v/>
      </c>
      <c r="I193" s="5" t="str">
        <f t="shared" si="180"/>
        <v/>
      </c>
      <c r="J193" s="5" t="str">
        <f t="shared" si="181"/>
        <v/>
      </c>
      <c r="K193" s="5" t="str">
        <f t="shared" si="182"/>
        <v/>
      </c>
      <c r="L193" s="5" t="str">
        <f t="shared" si="190"/>
        <v/>
      </c>
      <c r="M193" s="5" t="str">
        <f t="shared" si="191"/>
        <v/>
      </c>
      <c r="N193" s="5" t="str">
        <f t="shared" si="192"/>
        <v/>
      </c>
      <c r="O193" s="13" t="str">
        <f t="shared" si="193"/>
        <v/>
      </c>
      <c r="Q193" t="str">
        <f t="shared" si="106"/>
        <v/>
      </c>
      <c r="R193" t="str">
        <f t="shared" si="107"/>
        <v/>
      </c>
      <c r="S193" t="str">
        <f t="shared" si="183"/>
        <v/>
      </c>
      <c r="T193" s="5" t="str">
        <f t="shared" si="124"/>
        <v/>
      </c>
      <c r="U193" s="5" t="str">
        <f t="shared" si="184"/>
        <v/>
      </c>
      <c r="V193" s="5" t="str">
        <f t="shared" si="200"/>
        <v/>
      </c>
      <c r="W193" s="5" t="str">
        <f t="shared" si="125"/>
        <v/>
      </c>
      <c r="X193" s="5" t="str">
        <f t="shared" si="126"/>
        <v/>
      </c>
      <c r="Y193" s="5" t="str">
        <f t="shared" si="194"/>
        <v/>
      </c>
      <c r="Z193" s="5" t="str">
        <f t="shared" si="195"/>
        <v/>
      </c>
      <c r="AA193" s="13" t="str">
        <f t="shared" si="196"/>
        <v/>
      </c>
      <c r="AC193" t="str">
        <f t="shared" si="111"/>
        <v/>
      </c>
      <c r="AD193" t="str">
        <f t="shared" si="112"/>
        <v/>
      </c>
      <c r="AE193" t="str">
        <f t="shared" si="186"/>
        <v/>
      </c>
      <c r="AF193" s="5" t="str">
        <f t="shared" si="130"/>
        <v/>
      </c>
      <c r="AG193" s="5" t="str">
        <f t="shared" si="187"/>
        <v/>
      </c>
      <c r="AH193" s="5" t="str">
        <f t="shared" si="201"/>
        <v/>
      </c>
      <c r="AI193" s="5" t="str">
        <f t="shared" si="131"/>
        <v/>
      </c>
      <c r="AJ193" s="5" t="str">
        <f t="shared" si="132"/>
        <v/>
      </c>
      <c r="AK193" s="5" t="str">
        <f t="shared" si="197"/>
        <v/>
      </c>
      <c r="AL193" s="5" t="str">
        <f t="shared" si="198"/>
        <v/>
      </c>
      <c r="AM193" s="13" t="str">
        <f t="shared" si="199"/>
        <v/>
      </c>
    </row>
    <row r="194" spans="1:39" x14ac:dyDescent="0.35">
      <c r="A194" t="str">
        <f t="shared" si="100"/>
        <v/>
      </c>
      <c r="B194" t="str">
        <f t="shared" si="101"/>
        <v/>
      </c>
      <c r="C194" t="str">
        <f t="shared" si="176"/>
        <v/>
      </c>
      <c r="D194" s="5" t="str">
        <f t="shared" si="189"/>
        <v/>
      </c>
      <c r="E194" s="5" t="str">
        <f>IFERROR(IF($A194="", "", _xlfn.XLOOKUP(A194,Offset!A:A,Offset!I:I, 0)), 0)</f>
        <v/>
      </c>
      <c r="F194" s="5" t="str">
        <f t="shared" si="177"/>
        <v/>
      </c>
      <c r="G194" s="5" t="str">
        <f t="shared" si="178"/>
        <v/>
      </c>
      <c r="H194" s="5" t="str">
        <f t="shared" si="179"/>
        <v/>
      </c>
      <c r="I194" s="5" t="str">
        <f t="shared" si="180"/>
        <v/>
      </c>
      <c r="J194" s="5" t="str">
        <f t="shared" si="181"/>
        <v/>
      </c>
      <c r="K194" s="5" t="str">
        <f t="shared" si="182"/>
        <v/>
      </c>
      <c r="L194" s="5" t="str">
        <f t="shared" si="190"/>
        <v/>
      </c>
      <c r="M194" s="5" t="str">
        <f t="shared" si="191"/>
        <v/>
      </c>
      <c r="N194" s="5" t="str">
        <f t="shared" si="192"/>
        <v/>
      </c>
      <c r="O194" s="13" t="str">
        <f t="shared" si="193"/>
        <v/>
      </c>
      <c r="Q194" t="str">
        <f t="shared" si="106"/>
        <v/>
      </c>
      <c r="R194" t="str">
        <f t="shared" si="107"/>
        <v/>
      </c>
      <c r="S194" t="str">
        <f t="shared" si="183"/>
        <v/>
      </c>
      <c r="T194" s="5" t="str">
        <f t="shared" si="124"/>
        <v/>
      </c>
      <c r="U194" s="5" t="str">
        <f t="shared" si="184"/>
        <v/>
      </c>
      <c r="V194" s="5" t="str">
        <f t="shared" si="200"/>
        <v/>
      </c>
      <c r="W194" s="5" t="str">
        <f t="shared" si="125"/>
        <v/>
      </c>
      <c r="X194" s="5" t="str">
        <f t="shared" si="126"/>
        <v/>
      </c>
      <c r="Y194" s="5" t="str">
        <f t="shared" si="194"/>
        <v/>
      </c>
      <c r="Z194" s="5" t="str">
        <f t="shared" si="195"/>
        <v/>
      </c>
      <c r="AA194" s="13" t="str">
        <f t="shared" si="196"/>
        <v/>
      </c>
      <c r="AC194" t="str">
        <f t="shared" si="111"/>
        <v/>
      </c>
      <c r="AD194" t="str">
        <f t="shared" si="112"/>
        <v/>
      </c>
      <c r="AE194" t="str">
        <f t="shared" si="186"/>
        <v/>
      </c>
      <c r="AF194" s="5" t="str">
        <f t="shared" si="130"/>
        <v/>
      </c>
      <c r="AG194" s="5" t="str">
        <f t="shared" si="187"/>
        <v/>
      </c>
      <c r="AH194" s="5" t="str">
        <f t="shared" si="201"/>
        <v/>
      </c>
      <c r="AI194" s="5" t="str">
        <f t="shared" si="131"/>
        <v/>
      </c>
      <c r="AJ194" s="5" t="str">
        <f t="shared" si="132"/>
        <v/>
      </c>
      <c r="AK194" s="5" t="str">
        <f t="shared" si="197"/>
        <v/>
      </c>
      <c r="AL194" s="5" t="str">
        <f t="shared" si="198"/>
        <v/>
      </c>
      <c r="AM194" s="13" t="str">
        <f t="shared" si="199"/>
        <v/>
      </c>
    </row>
    <row r="195" spans="1:39" x14ac:dyDescent="0.35">
      <c r="A195" t="str">
        <f t="shared" si="100"/>
        <v/>
      </c>
      <c r="B195" t="str">
        <f t="shared" si="101"/>
        <v/>
      </c>
      <c r="C195" t="str">
        <f t="shared" si="176"/>
        <v/>
      </c>
      <c r="D195" s="5" t="str">
        <f t="shared" si="189"/>
        <v/>
      </c>
      <c r="E195" s="5" t="str">
        <f>IFERROR(IF($A195="", "", _xlfn.XLOOKUP(A195,Offset!A:A,Offset!I:I, 0)), 0)</f>
        <v/>
      </c>
      <c r="F195" s="5" t="str">
        <f t="shared" si="177"/>
        <v/>
      </c>
      <c r="G195" s="5" t="str">
        <f t="shared" si="178"/>
        <v/>
      </c>
      <c r="H195" s="5" t="str">
        <f t="shared" si="179"/>
        <v/>
      </c>
      <c r="I195" s="5" t="str">
        <f t="shared" si="180"/>
        <v/>
      </c>
      <c r="J195" s="5" t="str">
        <f t="shared" si="181"/>
        <v/>
      </c>
      <c r="K195" s="5" t="str">
        <f t="shared" si="182"/>
        <v/>
      </c>
      <c r="L195" s="5" t="str">
        <f t="shared" si="190"/>
        <v/>
      </c>
      <c r="M195" s="5" t="str">
        <f t="shared" si="191"/>
        <v/>
      </c>
      <c r="N195" s="5" t="str">
        <f t="shared" si="192"/>
        <v/>
      </c>
      <c r="O195" s="13" t="str">
        <f t="shared" si="193"/>
        <v/>
      </c>
      <c r="Q195" t="str">
        <f t="shared" si="106"/>
        <v/>
      </c>
      <c r="R195" t="str">
        <f t="shared" si="107"/>
        <v/>
      </c>
      <c r="S195" t="str">
        <f t="shared" si="183"/>
        <v/>
      </c>
      <c r="T195" s="5" t="str">
        <f t="shared" si="124"/>
        <v/>
      </c>
      <c r="U195" s="5" t="str">
        <f t="shared" si="184"/>
        <v/>
      </c>
      <c r="V195" s="5" t="str">
        <f t="shared" si="200"/>
        <v/>
      </c>
      <c r="W195" s="5" t="str">
        <f t="shared" si="125"/>
        <v/>
      </c>
      <c r="X195" s="5" t="str">
        <f t="shared" si="126"/>
        <v/>
      </c>
      <c r="Y195" s="5" t="str">
        <f t="shared" si="194"/>
        <v/>
      </c>
      <c r="Z195" s="5" t="str">
        <f t="shared" si="195"/>
        <v/>
      </c>
      <c r="AA195" s="13" t="str">
        <f t="shared" si="196"/>
        <v/>
      </c>
      <c r="AC195" t="str">
        <f t="shared" si="111"/>
        <v/>
      </c>
      <c r="AD195" t="str">
        <f t="shared" si="112"/>
        <v/>
      </c>
      <c r="AE195" t="str">
        <f t="shared" si="186"/>
        <v/>
      </c>
      <c r="AF195" s="5" t="str">
        <f t="shared" si="130"/>
        <v/>
      </c>
      <c r="AG195" s="5" t="str">
        <f t="shared" si="187"/>
        <v/>
      </c>
      <c r="AH195" s="5" t="str">
        <f t="shared" si="201"/>
        <v/>
      </c>
      <c r="AI195" s="5" t="str">
        <f t="shared" si="131"/>
        <v/>
      </c>
      <c r="AJ195" s="5" t="str">
        <f t="shared" si="132"/>
        <v/>
      </c>
      <c r="AK195" s="5" t="str">
        <f t="shared" si="197"/>
        <v/>
      </c>
      <c r="AL195" s="5" t="str">
        <f t="shared" si="198"/>
        <v/>
      </c>
      <c r="AM195" s="13" t="str">
        <f t="shared" si="199"/>
        <v/>
      </c>
    </row>
    <row r="196" spans="1:39" x14ac:dyDescent="0.35">
      <c r="A196" t="str">
        <f t="shared" si="100"/>
        <v/>
      </c>
      <c r="B196" t="str">
        <f t="shared" si="101"/>
        <v/>
      </c>
      <c r="C196" t="str">
        <f t="shared" si="176"/>
        <v/>
      </c>
      <c r="D196" s="5" t="str">
        <f t="shared" si="189"/>
        <v/>
      </c>
      <c r="E196" s="5" t="str">
        <f>IFERROR(IF($A196="", "", _xlfn.XLOOKUP(A196,Offset!A:A,Offset!I:I, 0)), 0)</f>
        <v/>
      </c>
      <c r="F196" s="5" t="str">
        <f t="shared" si="177"/>
        <v/>
      </c>
      <c r="G196" s="5" t="str">
        <f t="shared" si="178"/>
        <v/>
      </c>
      <c r="H196" s="5" t="str">
        <f t="shared" si="179"/>
        <v/>
      </c>
      <c r="I196" s="5" t="str">
        <f t="shared" si="180"/>
        <v/>
      </c>
      <c r="J196" s="5" t="str">
        <f t="shared" si="181"/>
        <v/>
      </c>
      <c r="K196" s="5" t="str">
        <f t="shared" si="182"/>
        <v/>
      </c>
      <c r="L196" s="5" t="str">
        <f t="shared" si="190"/>
        <v/>
      </c>
      <c r="M196" s="5" t="str">
        <f t="shared" si="191"/>
        <v/>
      </c>
      <c r="N196" s="5" t="str">
        <f t="shared" si="192"/>
        <v/>
      </c>
      <c r="O196" s="13" t="str">
        <f t="shared" si="193"/>
        <v/>
      </c>
      <c r="Q196" t="str">
        <f t="shared" si="106"/>
        <v/>
      </c>
      <c r="R196" t="str">
        <f t="shared" si="107"/>
        <v/>
      </c>
      <c r="S196" t="str">
        <f t="shared" si="183"/>
        <v/>
      </c>
      <c r="T196" s="5" t="str">
        <f t="shared" si="124"/>
        <v/>
      </c>
      <c r="U196" s="5" t="str">
        <f t="shared" si="184"/>
        <v/>
      </c>
      <c r="V196" s="5" t="str">
        <f t="shared" si="200"/>
        <v/>
      </c>
      <c r="W196" s="5" t="str">
        <f t="shared" si="125"/>
        <v/>
      </c>
      <c r="X196" s="5" t="str">
        <f t="shared" si="126"/>
        <v/>
      </c>
      <c r="Y196" s="5" t="str">
        <f t="shared" si="194"/>
        <v/>
      </c>
      <c r="Z196" s="5" t="str">
        <f t="shared" si="195"/>
        <v/>
      </c>
      <c r="AA196" s="13" t="str">
        <f t="shared" si="196"/>
        <v/>
      </c>
      <c r="AC196" t="str">
        <f t="shared" si="111"/>
        <v/>
      </c>
      <c r="AD196" t="str">
        <f t="shared" si="112"/>
        <v/>
      </c>
      <c r="AE196" t="str">
        <f t="shared" si="186"/>
        <v/>
      </c>
      <c r="AF196" s="5" t="str">
        <f t="shared" si="130"/>
        <v/>
      </c>
      <c r="AG196" s="5" t="str">
        <f t="shared" si="187"/>
        <v/>
      </c>
      <c r="AH196" s="5" t="str">
        <f t="shared" si="201"/>
        <v/>
      </c>
      <c r="AI196" s="5" t="str">
        <f t="shared" si="131"/>
        <v/>
      </c>
      <c r="AJ196" s="5" t="str">
        <f t="shared" si="132"/>
        <v/>
      </c>
      <c r="AK196" s="5" t="str">
        <f t="shared" si="197"/>
        <v/>
      </c>
      <c r="AL196" s="5" t="str">
        <f t="shared" si="198"/>
        <v/>
      </c>
      <c r="AM196" s="13" t="str">
        <f t="shared" si="199"/>
        <v/>
      </c>
    </row>
    <row r="197" spans="1:39" x14ac:dyDescent="0.35">
      <c r="A197" t="str">
        <f t="shared" si="100"/>
        <v/>
      </c>
      <c r="B197" t="str">
        <f t="shared" si="101"/>
        <v/>
      </c>
      <c r="C197" t="str">
        <f t="shared" si="176"/>
        <v/>
      </c>
      <c r="D197" s="5" t="str">
        <f t="shared" si="189"/>
        <v/>
      </c>
      <c r="E197" s="5" t="str">
        <f>IFERROR(IF($A197="", "", _xlfn.XLOOKUP(A197,Offset!A:A,Offset!I:I, 0)), 0)</f>
        <v/>
      </c>
      <c r="F197" s="5" t="str">
        <f t="shared" si="177"/>
        <v/>
      </c>
      <c r="G197" s="5" t="str">
        <f t="shared" si="178"/>
        <v/>
      </c>
      <c r="H197" s="5" t="str">
        <f t="shared" si="179"/>
        <v/>
      </c>
      <c r="I197" s="5" t="str">
        <f t="shared" si="180"/>
        <v/>
      </c>
      <c r="J197" s="5" t="str">
        <f t="shared" si="181"/>
        <v/>
      </c>
      <c r="K197" s="5" t="str">
        <f t="shared" si="182"/>
        <v/>
      </c>
      <c r="L197" s="5" t="str">
        <f t="shared" si="190"/>
        <v/>
      </c>
      <c r="M197" s="5" t="str">
        <f t="shared" si="191"/>
        <v/>
      </c>
      <c r="N197" s="5" t="str">
        <f t="shared" si="192"/>
        <v/>
      </c>
      <c r="O197" s="13" t="str">
        <f t="shared" si="193"/>
        <v/>
      </c>
      <c r="Q197" t="str">
        <f t="shared" si="106"/>
        <v/>
      </c>
      <c r="R197" t="str">
        <f t="shared" si="107"/>
        <v/>
      </c>
      <c r="S197" t="str">
        <f t="shared" si="183"/>
        <v/>
      </c>
      <c r="T197" s="5" t="str">
        <f t="shared" si="124"/>
        <v/>
      </c>
      <c r="U197" s="5" t="str">
        <f t="shared" si="184"/>
        <v/>
      </c>
      <c r="V197" s="5" t="str">
        <f t="shared" si="200"/>
        <v/>
      </c>
      <c r="W197" s="5" t="str">
        <f t="shared" si="125"/>
        <v/>
      </c>
      <c r="X197" s="5" t="str">
        <f t="shared" si="126"/>
        <v/>
      </c>
      <c r="Y197" s="5" t="str">
        <f t="shared" si="194"/>
        <v/>
      </c>
      <c r="Z197" s="5" t="str">
        <f t="shared" si="195"/>
        <v/>
      </c>
      <c r="AA197" s="13" t="str">
        <f t="shared" si="196"/>
        <v/>
      </c>
      <c r="AC197" t="str">
        <f t="shared" si="111"/>
        <v/>
      </c>
      <c r="AD197" t="str">
        <f t="shared" si="112"/>
        <v/>
      </c>
      <c r="AE197" t="str">
        <f t="shared" si="186"/>
        <v/>
      </c>
      <c r="AF197" s="5" t="str">
        <f t="shared" si="130"/>
        <v/>
      </c>
      <c r="AG197" s="5" t="str">
        <f t="shared" si="187"/>
        <v/>
      </c>
      <c r="AH197" s="5" t="str">
        <f t="shared" si="201"/>
        <v/>
      </c>
      <c r="AI197" s="5" t="str">
        <f t="shared" si="131"/>
        <v/>
      </c>
      <c r="AJ197" s="5" t="str">
        <f t="shared" si="132"/>
        <v/>
      </c>
      <c r="AK197" s="5" t="str">
        <f t="shared" si="197"/>
        <v/>
      </c>
      <c r="AL197" s="5" t="str">
        <f t="shared" si="198"/>
        <v/>
      </c>
      <c r="AM197" s="13" t="str">
        <f t="shared" si="199"/>
        <v/>
      </c>
    </row>
    <row r="198" spans="1:39" x14ac:dyDescent="0.35">
      <c r="A198" t="str">
        <f t="shared" si="100"/>
        <v/>
      </c>
      <c r="B198" t="str">
        <f t="shared" si="101"/>
        <v/>
      </c>
      <c r="C198" t="str">
        <f t="shared" si="176"/>
        <v/>
      </c>
      <c r="D198" s="5" t="str">
        <f t="shared" si="189"/>
        <v/>
      </c>
      <c r="E198" s="5" t="str">
        <f>IFERROR(IF($A198="", "", _xlfn.XLOOKUP(A198,Offset!A:A,Offset!I:I, 0)), 0)</f>
        <v/>
      </c>
      <c r="F198" s="5" t="str">
        <f t="shared" si="177"/>
        <v/>
      </c>
      <c r="G198" s="5" t="str">
        <f t="shared" si="178"/>
        <v/>
      </c>
      <c r="H198" s="5" t="str">
        <f t="shared" si="179"/>
        <v/>
      </c>
      <c r="I198" s="5" t="str">
        <f t="shared" si="180"/>
        <v/>
      </c>
      <c r="J198" s="5" t="str">
        <f t="shared" si="181"/>
        <v/>
      </c>
      <c r="K198" s="5" t="str">
        <f t="shared" si="182"/>
        <v/>
      </c>
      <c r="L198" s="5" t="str">
        <f t="shared" si="190"/>
        <v/>
      </c>
      <c r="M198" s="5" t="str">
        <f t="shared" si="191"/>
        <v/>
      </c>
      <c r="N198" s="5" t="str">
        <f t="shared" si="192"/>
        <v/>
      </c>
      <c r="O198" s="13" t="str">
        <f t="shared" si="193"/>
        <v/>
      </c>
      <c r="Q198" t="str">
        <f t="shared" si="106"/>
        <v/>
      </c>
      <c r="R198" t="str">
        <f t="shared" si="107"/>
        <v/>
      </c>
      <c r="S198" t="str">
        <f t="shared" si="183"/>
        <v/>
      </c>
      <c r="T198" s="5" t="str">
        <f t="shared" si="124"/>
        <v/>
      </c>
      <c r="U198" s="5" t="str">
        <f t="shared" si="184"/>
        <v/>
      </c>
      <c r="V198" s="5" t="str">
        <f t="shared" si="200"/>
        <v/>
      </c>
      <c r="W198" s="5" t="str">
        <f t="shared" si="125"/>
        <v/>
      </c>
      <c r="X198" s="5" t="str">
        <f t="shared" si="126"/>
        <v/>
      </c>
      <c r="Y198" s="5" t="str">
        <f t="shared" si="194"/>
        <v/>
      </c>
      <c r="Z198" s="5" t="str">
        <f t="shared" si="195"/>
        <v/>
      </c>
      <c r="AA198" s="13" t="str">
        <f t="shared" si="196"/>
        <v/>
      </c>
      <c r="AC198" t="str">
        <f t="shared" si="111"/>
        <v/>
      </c>
      <c r="AD198" t="str">
        <f t="shared" si="112"/>
        <v/>
      </c>
      <c r="AE198" t="str">
        <f t="shared" si="186"/>
        <v/>
      </c>
      <c r="AF198" s="5" t="str">
        <f t="shared" si="130"/>
        <v/>
      </c>
      <c r="AG198" s="5" t="str">
        <f t="shared" si="187"/>
        <v/>
      </c>
      <c r="AH198" s="5" t="str">
        <f t="shared" si="201"/>
        <v/>
      </c>
      <c r="AI198" s="5" t="str">
        <f t="shared" si="131"/>
        <v/>
      </c>
      <c r="AJ198" s="5" t="str">
        <f t="shared" si="132"/>
        <v/>
      </c>
      <c r="AK198" s="5" t="str">
        <f t="shared" si="197"/>
        <v/>
      </c>
      <c r="AL198" s="5" t="str">
        <f t="shared" si="198"/>
        <v/>
      </c>
      <c r="AM198" s="13" t="str">
        <f t="shared" si="199"/>
        <v/>
      </c>
    </row>
    <row r="199" spans="1:39" x14ac:dyDescent="0.35">
      <c r="A199" t="str">
        <f t="shared" si="100"/>
        <v/>
      </c>
      <c r="B199" t="str">
        <f t="shared" si="101"/>
        <v/>
      </c>
      <c r="C199" t="str">
        <f t="shared" si="176"/>
        <v/>
      </c>
      <c r="D199" s="5" t="str">
        <f t="shared" si="189"/>
        <v/>
      </c>
      <c r="E199" s="5" t="str">
        <f>IFERROR(IF($A199="", "", _xlfn.XLOOKUP(A199,Offset!A:A,Offset!I:I, 0)), 0)</f>
        <v/>
      </c>
      <c r="F199" s="5" t="str">
        <f t="shared" si="177"/>
        <v/>
      </c>
      <c r="G199" s="5" t="str">
        <f t="shared" si="178"/>
        <v/>
      </c>
      <c r="H199" s="5" t="str">
        <f t="shared" si="179"/>
        <v/>
      </c>
      <c r="I199" s="5" t="str">
        <f t="shared" si="180"/>
        <v/>
      </c>
      <c r="J199" s="5" t="str">
        <f t="shared" si="181"/>
        <v/>
      </c>
      <c r="K199" s="5" t="str">
        <f t="shared" si="182"/>
        <v/>
      </c>
      <c r="L199" s="5" t="str">
        <f t="shared" si="190"/>
        <v/>
      </c>
      <c r="M199" s="5" t="str">
        <f t="shared" si="191"/>
        <v/>
      </c>
      <c r="N199" s="5" t="str">
        <f t="shared" si="192"/>
        <v/>
      </c>
      <c r="O199" s="13" t="str">
        <f t="shared" si="193"/>
        <v/>
      </c>
      <c r="Q199" t="str">
        <f t="shared" si="106"/>
        <v/>
      </c>
      <c r="R199" t="str">
        <f t="shared" si="107"/>
        <v/>
      </c>
      <c r="S199" t="str">
        <f t="shared" si="183"/>
        <v/>
      </c>
      <c r="T199" s="5" t="str">
        <f t="shared" si="124"/>
        <v/>
      </c>
      <c r="U199" s="5" t="str">
        <f t="shared" si="184"/>
        <v/>
      </c>
      <c r="V199" s="5" t="str">
        <f t="shared" si="200"/>
        <v/>
      </c>
      <c r="W199" s="5" t="str">
        <f t="shared" si="125"/>
        <v/>
      </c>
      <c r="X199" s="5" t="str">
        <f t="shared" si="126"/>
        <v/>
      </c>
      <c r="Y199" s="5" t="str">
        <f t="shared" si="194"/>
        <v/>
      </c>
      <c r="Z199" s="5" t="str">
        <f t="shared" si="195"/>
        <v/>
      </c>
      <c r="AA199" s="13" t="str">
        <f t="shared" si="196"/>
        <v/>
      </c>
      <c r="AC199" t="str">
        <f t="shared" si="111"/>
        <v/>
      </c>
      <c r="AD199" t="str">
        <f t="shared" si="112"/>
        <v/>
      </c>
      <c r="AE199" t="str">
        <f t="shared" si="186"/>
        <v/>
      </c>
      <c r="AF199" s="5" t="str">
        <f t="shared" si="130"/>
        <v/>
      </c>
      <c r="AG199" s="5" t="str">
        <f t="shared" si="187"/>
        <v/>
      </c>
      <c r="AH199" s="5" t="str">
        <f t="shared" si="201"/>
        <v/>
      </c>
      <c r="AI199" s="5" t="str">
        <f t="shared" si="131"/>
        <v/>
      </c>
      <c r="AJ199" s="5" t="str">
        <f t="shared" si="132"/>
        <v/>
      </c>
      <c r="AK199" s="5" t="str">
        <f t="shared" si="197"/>
        <v/>
      </c>
      <c r="AL199" s="5" t="str">
        <f t="shared" si="198"/>
        <v/>
      </c>
      <c r="AM199" s="13" t="str">
        <f t="shared" si="199"/>
        <v/>
      </c>
    </row>
    <row r="200" spans="1:39" x14ac:dyDescent="0.35">
      <c r="A200" t="str">
        <f t="shared" si="100"/>
        <v/>
      </c>
      <c r="B200" t="str">
        <f t="shared" si="101"/>
        <v/>
      </c>
      <c r="C200" t="str">
        <f t="shared" si="176"/>
        <v/>
      </c>
      <c r="D200" s="5" t="str">
        <f t="shared" si="189"/>
        <v/>
      </c>
      <c r="E200" s="5" t="str">
        <f>IFERROR(IF($A200="", "", _xlfn.XLOOKUP(A200,Offset!A:A,Offset!I:I, 0)), 0)</f>
        <v/>
      </c>
      <c r="F200" s="5" t="str">
        <f t="shared" si="177"/>
        <v/>
      </c>
      <c r="G200" s="5" t="str">
        <f t="shared" si="178"/>
        <v/>
      </c>
      <c r="H200" s="5" t="str">
        <f t="shared" si="179"/>
        <v/>
      </c>
      <c r="I200" s="5" t="str">
        <f t="shared" si="180"/>
        <v/>
      </c>
      <c r="J200" s="5" t="str">
        <f t="shared" si="181"/>
        <v/>
      </c>
      <c r="K200" s="5" t="str">
        <f t="shared" si="182"/>
        <v/>
      </c>
      <c r="L200" s="5" t="str">
        <f t="shared" si="190"/>
        <v/>
      </c>
      <c r="M200" s="5" t="str">
        <f t="shared" si="191"/>
        <v/>
      </c>
      <c r="N200" s="5" t="str">
        <f t="shared" si="192"/>
        <v/>
      </c>
      <c r="O200" s="13" t="str">
        <f t="shared" si="193"/>
        <v/>
      </c>
      <c r="Q200" t="str">
        <f t="shared" si="106"/>
        <v/>
      </c>
      <c r="R200" t="str">
        <f t="shared" si="107"/>
        <v/>
      </c>
      <c r="S200" t="str">
        <f t="shared" si="183"/>
        <v/>
      </c>
      <c r="T200" s="5" t="str">
        <f t="shared" si="124"/>
        <v/>
      </c>
      <c r="U200" s="5" t="str">
        <f t="shared" si="184"/>
        <v/>
      </c>
      <c r="V200" s="5" t="str">
        <f t="shared" si="200"/>
        <v/>
      </c>
      <c r="W200" s="5" t="str">
        <f t="shared" si="125"/>
        <v/>
      </c>
      <c r="X200" s="5" t="str">
        <f t="shared" si="126"/>
        <v/>
      </c>
      <c r="Y200" s="5" t="str">
        <f t="shared" si="194"/>
        <v/>
      </c>
      <c r="Z200" s="5" t="str">
        <f t="shared" si="195"/>
        <v/>
      </c>
      <c r="AA200" s="13" t="str">
        <f t="shared" si="196"/>
        <v/>
      </c>
      <c r="AC200" t="str">
        <f t="shared" si="111"/>
        <v/>
      </c>
      <c r="AD200" t="str">
        <f t="shared" si="112"/>
        <v/>
      </c>
      <c r="AE200" t="str">
        <f t="shared" si="186"/>
        <v/>
      </c>
      <c r="AF200" s="5" t="str">
        <f t="shared" si="130"/>
        <v/>
      </c>
      <c r="AG200" s="5" t="str">
        <f t="shared" si="187"/>
        <v/>
      </c>
      <c r="AH200" s="5" t="str">
        <f t="shared" si="201"/>
        <v/>
      </c>
      <c r="AI200" s="5" t="str">
        <f t="shared" si="131"/>
        <v/>
      </c>
      <c r="AJ200" s="5" t="str">
        <f t="shared" si="132"/>
        <v/>
      </c>
      <c r="AK200" s="5" t="str">
        <f t="shared" si="197"/>
        <v/>
      </c>
      <c r="AL200" s="5" t="str">
        <f t="shared" si="198"/>
        <v/>
      </c>
      <c r="AM200" s="13" t="str">
        <f t="shared" si="199"/>
        <v/>
      </c>
    </row>
    <row r="201" spans="1:39" x14ac:dyDescent="0.35">
      <c r="A201" t="str">
        <f t="shared" si="100"/>
        <v/>
      </c>
      <c r="B201" t="str">
        <f t="shared" si="101"/>
        <v/>
      </c>
      <c r="C201" t="str">
        <f t="shared" si="176"/>
        <v/>
      </c>
      <c r="D201" s="5" t="str">
        <f t="shared" si="189"/>
        <v/>
      </c>
      <c r="E201" s="5" t="str">
        <f>IFERROR(IF($A201="", "", _xlfn.XLOOKUP(A201,Offset!A:A,Offset!I:I, 0)), 0)</f>
        <v/>
      </c>
      <c r="F201" s="5" t="str">
        <f t="shared" si="177"/>
        <v/>
      </c>
      <c r="G201" s="5" t="str">
        <f t="shared" si="178"/>
        <v/>
      </c>
      <c r="H201" s="5" t="str">
        <f t="shared" si="179"/>
        <v/>
      </c>
      <c r="I201" s="5" t="str">
        <f t="shared" si="180"/>
        <v/>
      </c>
      <c r="J201" s="5" t="str">
        <f t="shared" si="181"/>
        <v/>
      </c>
      <c r="K201" s="5" t="str">
        <f t="shared" si="182"/>
        <v/>
      </c>
      <c r="L201" s="5" t="str">
        <f t="shared" si="190"/>
        <v/>
      </c>
      <c r="M201" s="5" t="str">
        <f t="shared" si="191"/>
        <v/>
      </c>
      <c r="N201" s="5" t="str">
        <f t="shared" si="192"/>
        <v/>
      </c>
      <c r="O201" s="13" t="str">
        <f t="shared" si="193"/>
        <v/>
      </c>
      <c r="Q201" t="str">
        <f t="shared" si="106"/>
        <v/>
      </c>
      <c r="R201" t="str">
        <f t="shared" si="107"/>
        <v/>
      </c>
      <c r="S201" t="str">
        <f t="shared" si="183"/>
        <v/>
      </c>
      <c r="T201" s="5" t="str">
        <f t="shared" si="124"/>
        <v/>
      </c>
      <c r="U201" s="5" t="str">
        <f t="shared" si="184"/>
        <v/>
      </c>
      <c r="V201" s="5" t="str">
        <f t="shared" si="200"/>
        <v/>
      </c>
      <c r="W201" s="5" t="str">
        <f t="shared" si="125"/>
        <v/>
      </c>
      <c r="X201" s="5" t="str">
        <f t="shared" si="126"/>
        <v/>
      </c>
      <c r="Y201" s="5" t="str">
        <f t="shared" si="194"/>
        <v/>
      </c>
      <c r="Z201" s="5" t="str">
        <f t="shared" si="195"/>
        <v/>
      </c>
      <c r="AA201" s="13" t="str">
        <f t="shared" si="196"/>
        <v/>
      </c>
      <c r="AC201" t="str">
        <f t="shared" si="111"/>
        <v/>
      </c>
      <c r="AD201" t="str">
        <f t="shared" si="112"/>
        <v/>
      </c>
      <c r="AE201" t="str">
        <f t="shared" si="186"/>
        <v/>
      </c>
      <c r="AF201" s="5" t="str">
        <f t="shared" si="130"/>
        <v/>
      </c>
      <c r="AG201" s="5" t="str">
        <f t="shared" si="187"/>
        <v/>
      </c>
      <c r="AH201" s="5" t="str">
        <f t="shared" si="201"/>
        <v/>
      </c>
      <c r="AI201" s="5" t="str">
        <f t="shared" si="131"/>
        <v/>
      </c>
      <c r="AJ201" s="5" t="str">
        <f t="shared" si="132"/>
        <v/>
      </c>
      <c r="AK201" s="5" t="str">
        <f t="shared" si="197"/>
        <v/>
      </c>
      <c r="AL201" s="5" t="str">
        <f t="shared" si="198"/>
        <v/>
      </c>
      <c r="AM201" s="13" t="str">
        <f t="shared" si="199"/>
        <v/>
      </c>
    </row>
    <row r="202" spans="1:39" x14ac:dyDescent="0.35">
      <c r="A202" t="str">
        <f t="shared" si="100"/>
        <v/>
      </c>
      <c r="B202" t="str">
        <f t="shared" si="101"/>
        <v/>
      </c>
      <c r="C202" t="str">
        <f t="shared" si="176"/>
        <v/>
      </c>
      <c r="D202" s="5" t="str">
        <f t="shared" si="189"/>
        <v/>
      </c>
      <c r="E202" s="5" t="str">
        <f>IFERROR(IF($A202="", "", _xlfn.XLOOKUP(A202,Offset!A:A,Offset!I:I, 0)), 0)</f>
        <v/>
      </c>
      <c r="F202" s="5" t="str">
        <f t="shared" si="177"/>
        <v/>
      </c>
      <c r="G202" s="5" t="str">
        <f t="shared" si="178"/>
        <v/>
      </c>
      <c r="H202" s="5" t="str">
        <f t="shared" si="179"/>
        <v/>
      </c>
      <c r="I202" s="5" t="str">
        <f t="shared" si="180"/>
        <v/>
      </c>
      <c r="J202" s="5" t="str">
        <f t="shared" si="181"/>
        <v/>
      </c>
      <c r="K202" s="5" t="str">
        <f t="shared" si="182"/>
        <v/>
      </c>
      <c r="L202" s="5" t="str">
        <f t="shared" si="190"/>
        <v/>
      </c>
      <c r="M202" s="5" t="str">
        <f t="shared" si="191"/>
        <v/>
      </c>
      <c r="N202" s="5" t="str">
        <f t="shared" si="192"/>
        <v/>
      </c>
      <c r="O202" s="13" t="str">
        <f t="shared" si="193"/>
        <v/>
      </c>
      <c r="Q202" t="str">
        <f t="shared" si="106"/>
        <v/>
      </c>
      <c r="R202" t="str">
        <f t="shared" si="107"/>
        <v/>
      </c>
      <c r="S202" t="str">
        <f t="shared" si="183"/>
        <v/>
      </c>
      <c r="T202" s="5" t="str">
        <f t="shared" si="124"/>
        <v/>
      </c>
      <c r="U202" s="5" t="str">
        <f t="shared" si="184"/>
        <v/>
      </c>
      <c r="V202" s="5" t="str">
        <f t="shared" si="200"/>
        <v/>
      </c>
      <c r="W202" s="5" t="str">
        <f t="shared" si="125"/>
        <v/>
      </c>
      <c r="X202" s="5" t="str">
        <f t="shared" si="126"/>
        <v/>
      </c>
      <c r="Y202" s="5" t="str">
        <f t="shared" si="194"/>
        <v/>
      </c>
      <c r="Z202" s="5" t="str">
        <f t="shared" si="195"/>
        <v/>
      </c>
      <c r="AA202" s="13" t="str">
        <f t="shared" si="196"/>
        <v/>
      </c>
      <c r="AC202" t="str">
        <f t="shared" si="111"/>
        <v/>
      </c>
      <c r="AD202" t="str">
        <f t="shared" si="112"/>
        <v/>
      </c>
      <c r="AE202" t="str">
        <f t="shared" si="186"/>
        <v/>
      </c>
      <c r="AF202" s="5" t="str">
        <f t="shared" si="130"/>
        <v/>
      </c>
      <c r="AG202" s="5" t="str">
        <f t="shared" si="187"/>
        <v/>
      </c>
      <c r="AH202" s="5" t="str">
        <f t="shared" si="201"/>
        <v/>
      </c>
      <c r="AI202" s="5" t="str">
        <f t="shared" si="131"/>
        <v/>
      </c>
      <c r="AJ202" s="5" t="str">
        <f t="shared" si="132"/>
        <v/>
      </c>
      <c r="AK202" s="5" t="str">
        <f t="shared" si="197"/>
        <v/>
      </c>
      <c r="AL202" s="5" t="str">
        <f t="shared" si="198"/>
        <v/>
      </c>
      <c r="AM202" s="13" t="str">
        <f t="shared" si="199"/>
        <v/>
      </c>
    </row>
    <row r="203" spans="1:39" x14ac:dyDescent="0.35">
      <c r="A203" t="str">
        <f t="shared" si="100"/>
        <v/>
      </c>
      <c r="B203" t="str">
        <f t="shared" si="101"/>
        <v/>
      </c>
      <c r="C203" t="str">
        <f t="shared" si="176"/>
        <v/>
      </c>
      <c r="D203" s="5" t="str">
        <f t="shared" si="189"/>
        <v/>
      </c>
      <c r="E203" s="5" t="str">
        <f>IFERROR(IF($A203="", "", _xlfn.XLOOKUP(A203,Offset!A:A,Offset!I:I, 0)), 0)</f>
        <v/>
      </c>
      <c r="F203" s="5" t="str">
        <f t="shared" si="177"/>
        <v/>
      </c>
      <c r="G203" s="5" t="str">
        <f t="shared" si="178"/>
        <v/>
      </c>
      <c r="H203" s="5" t="str">
        <f t="shared" si="179"/>
        <v/>
      </c>
      <c r="I203" s="5" t="str">
        <f t="shared" si="180"/>
        <v/>
      </c>
      <c r="J203" s="5" t="str">
        <f t="shared" si="181"/>
        <v/>
      </c>
      <c r="K203" s="5" t="str">
        <f t="shared" si="182"/>
        <v/>
      </c>
      <c r="L203" s="5" t="str">
        <f t="shared" si="190"/>
        <v/>
      </c>
      <c r="M203" s="5" t="str">
        <f t="shared" si="191"/>
        <v/>
      </c>
      <c r="N203" s="5" t="str">
        <f t="shared" si="192"/>
        <v/>
      </c>
      <c r="O203" s="13" t="str">
        <f t="shared" si="193"/>
        <v/>
      </c>
      <c r="Q203" t="str">
        <f t="shared" si="106"/>
        <v/>
      </c>
      <c r="R203" t="str">
        <f t="shared" si="107"/>
        <v/>
      </c>
      <c r="S203" t="str">
        <f t="shared" si="183"/>
        <v/>
      </c>
      <c r="T203" s="5" t="str">
        <f t="shared" si="124"/>
        <v/>
      </c>
      <c r="U203" s="5" t="str">
        <f t="shared" si="184"/>
        <v/>
      </c>
      <c r="V203" s="5" t="str">
        <f t="shared" si="200"/>
        <v/>
      </c>
      <c r="W203" s="5" t="str">
        <f t="shared" si="125"/>
        <v/>
      </c>
      <c r="X203" s="5" t="str">
        <f t="shared" si="126"/>
        <v/>
      </c>
      <c r="Y203" s="5" t="str">
        <f t="shared" si="194"/>
        <v/>
      </c>
      <c r="Z203" s="5" t="str">
        <f t="shared" si="195"/>
        <v/>
      </c>
      <c r="AA203" s="13" t="str">
        <f t="shared" si="196"/>
        <v/>
      </c>
      <c r="AC203" t="str">
        <f t="shared" si="111"/>
        <v/>
      </c>
      <c r="AD203" t="str">
        <f t="shared" si="112"/>
        <v/>
      </c>
      <c r="AE203" t="str">
        <f t="shared" si="186"/>
        <v/>
      </c>
      <c r="AF203" s="5" t="str">
        <f t="shared" si="130"/>
        <v/>
      </c>
      <c r="AG203" s="5" t="str">
        <f t="shared" si="187"/>
        <v/>
      </c>
      <c r="AH203" s="5" t="str">
        <f t="shared" si="201"/>
        <v/>
      </c>
      <c r="AI203" s="5" t="str">
        <f t="shared" si="131"/>
        <v/>
      </c>
      <c r="AJ203" s="5" t="str">
        <f t="shared" si="132"/>
        <v/>
      </c>
      <c r="AK203" s="5" t="str">
        <f t="shared" si="197"/>
        <v/>
      </c>
      <c r="AL203" s="5" t="str">
        <f t="shared" si="198"/>
        <v/>
      </c>
      <c r="AM203" s="13" t="str">
        <f t="shared" si="199"/>
        <v/>
      </c>
    </row>
    <row r="204" spans="1:39" x14ac:dyDescent="0.35">
      <c r="A204" t="str">
        <f t="shared" si="100"/>
        <v/>
      </c>
      <c r="B204" t="str">
        <f t="shared" si="101"/>
        <v/>
      </c>
      <c r="C204" t="str">
        <f t="shared" si="176"/>
        <v/>
      </c>
      <c r="D204" s="5" t="str">
        <f t="shared" si="189"/>
        <v/>
      </c>
      <c r="E204" s="5" t="str">
        <f>IFERROR(IF($A204="", "", _xlfn.XLOOKUP(A204,Offset!A:A,Offset!I:I, 0)), 0)</f>
        <v/>
      </c>
      <c r="F204" s="5" t="str">
        <f t="shared" si="177"/>
        <v/>
      </c>
      <c r="G204" s="5" t="str">
        <f t="shared" si="178"/>
        <v/>
      </c>
      <c r="H204" s="5" t="str">
        <f t="shared" si="179"/>
        <v/>
      </c>
      <c r="I204" s="5" t="str">
        <f t="shared" si="180"/>
        <v/>
      </c>
      <c r="J204" s="5" t="str">
        <f t="shared" si="181"/>
        <v/>
      </c>
      <c r="K204" s="5" t="str">
        <f t="shared" si="182"/>
        <v/>
      </c>
      <c r="L204" s="5" t="str">
        <f t="shared" si="190"/>
        <v/>
      </c>
      <c r="M204" s="5" t="str">
        <f t="shared" si="191"/>
        <v/>
      </c>
      <c r="N204" s="5" t="str">
        <f t="shared" si="192"/>
        <v/>
      </c>
      <c r="O204" s="13" t="str">
        <f t="shared" si="193"/>
        <v/>
      </c>
      <c r="Q204" t="str">
        <f t="shared" si="106"/>
        <v/>
      </c>
      <c r="R204" t="str">
        <f t="shared" si="107"/>
        <v/>
      </c>
      <c r="S204" t="str">
        <f t="shared" si="183"/>
        <v/>
      </c>
      <c r="T204" s="5" t="str">
        <f t="shared" si="124"/>
        <v/>
      </c>
      <c r="U204" s="5" t="str">
        <f t="shared" si="184"/>
        <v/>
      </c>
      <c r="V204" s="5" t="str">
        <f t="shared" si="200"/>
        <v/>
      </c>
      <c r="W204" s="5" t="str">
        <f t="shared" si="125"/>
        <v/>
      </c>
      <c r="X204" s="5" t="str">
        <f t="shared" si="126"/>
        <v/>
      </c>
      <c r="Y204" s="5" t="str">
        <f t="shared" si="194"/>
        <v/>
      </c>
      <c r="Z204" s="5" t="str">
        <f t="shared" si="195"/>
        <v/>
      </c>
      <c r="AA204" s="13" t="str">
        <f t="shared" si="196"/>
        <v/>
      </c>
      <c r="AC204" t="str">
        <f t="shared" si="111"/>
        <v/>
      </c>
      <c r="AD204" t="str">
        <f t="shared" si="112"/>
        <v/>
      </c>
      <c r="AE204" t="str">
        <f t="shared" si="186"/>
        <v/>
      </c>
      <c r="AF204" s="5" t="str">
        <f t="shared" si="130"/>
        <v/>
      </c>
      <c r="AG204" s="5" t="str">
        <f t="shared" si="187"/>
        <v/>
      </c>
      <c r="AH204" s="5" t="str">
        <f t="shared" si="201"/>
        <v/>
      </c>
      <c r="AI204" s="5" t="str">
        <f t="shared" si="131"/>
        <v/>
      </c>
      <c r="AJ204" s="5" t="str">
        <f t="shared" si="132"/>
        <v/>
      </c>
      <c r="AK204" s="5" t="str">
        <f t="shared" si="197"/>
        <v/>
      </c>
      <c r="AL204" s="5" t="str">
        <f t="shared" si="198"/>
        <v/>
      </c>
      <c r="AM204" s="13" t="str">
        <f t="shared" si="199"/>
        <v/>
      </c>
    </row>
    <row r="205" spans="1:39" x14ac:dyDescent="0.35">
      <c r="A205" t="str">
        <f t="shared" si="100"/>
        <v/>
      </c>
      <c r="B205" t="str">
        <f t="shared" si="101"/>
        <v/>
      </c>
      <c r="C205" t="str">
        <f t="shared" si="176"/>
        <v/>
      </c>
      <c r="D205" s="5" t="str">
        <f t="shared" si="189"/>
        <v/>
      </c>
      <c r="E205" s="5" t="str">
        <f>IFERROR(IF($A205="", "", _xlfn.XLOOKUP(A205,Offset!A:A,Offset!I:I, 0)), 0)</f>
        <v/>
      </c>
      <c r="F205" s="5" t="str">
        <f t="shared" si="177"/>
        <v/>
      </c>
      <c r="G205" s="5" t="str">
        <f t="shared" si="178"/>
        <v/>
      </c>
      <c r="H205" s="5" t="str">
        <f t="shared" si="179"/>
        <v/>
      </c>
      <c r="I205" s="5" t="str">
        <f t="shared" si="180"/>
        <v/>
      </c>
      <c r="J205" s="5" t="str">
        <f t="shared" si="181"/>
        <v/>
      </c>
      <c r="K205" s="5" t="str">
        <f t="shared" si="182"/>
        <v/>
      </c>
      <c r="L205" s="5" t="str">
        <f t="shared" si="190"/>
        <v/>
      </c>
      <c r="M205" s="5" t="str">
        <f t="shared" si="191"/>
        <v/>
      </c>
      <c r="N205" s="5" t="str">
        <f t="shared" si="192"/>
        <v/>
      </c>
      <c r="O205" s="13" t="str">
        <f t="shared" si="193"/>
        <v/>
      </c>
      <c r="Q205" t="str">
        <f t="shared" si="106"/>
        <v/>
      </c>
      <c r="R205" t="str">
        <f t="shared" si="107"/>
        <v/>
      </c>
      <c r="S205" t="str">
        <f t="shared" si="183"/>
        <v/>
      </c>
      <c r="T205" s="5" t="str">
        <f t="shared" si="124"/>
        <v/>
      </c>
      <c r="U205" s="5" t="str">
        <f t="shared" si="184"/>
        <v/>
      </c>
      <c r="V205" s="5" t="str">
        <f t="shared" si="200"/>
        <v/>
      </c>
      <c r="W205" s="5" t="str">
        <f t="shared" si="125"/>
        <v/>
      </c>
      <c r="X205" s="5" t="str">
        <f t="shared" si="126"/>
        <v/>
      </c>
      <c r="Y205" s="5" t="str">
        <f t="shared" si="194"/>
        <v/>
      </c>
      <c r="Z205" s="5" t="str">
        <f t="shared" si="195"/>
        <v/>
      </c>
      <c r="AA205" s="13" t="str">
        <f t="shared" si="196"/>
        <v/>
      </c>
      <c r="AC205" t="str">
        <f t="shared" si="111"/>
        <v/>
      </c>
      <c r="AD205" t="str">
        <f t="shared" si="112"/>
        <v/>
      </c>
      <c r="AE205" t="str">
        <f t="shared" si="186"/>
        <v/>
      </c>
      <c r="AF205" s="5" t="str">
        <f t="shared" si="130"/>
        <v/>
      </c>
      <c r="AG205" s="5" t="str">
        <f t="shared" si="187"/>
        <v/>
      </c>
      <c r="AH205" s="5" t="str">
        <f t="shared" si="201"/>
        <v/>
      </c>
      <c r="AI205" s="5" t="str">
        <f t="shared" si="131"/>
        <v/>
      </c>
      <c r="AJ205" s="5" t="str">
        <f t="shared" si="132"/>
        <v/>
      </c>
      <c r="AK205" s="5" t="str">
        <f t="shared" si="197"/>
        <v/>
      </c>
      <c r="AL205" s="5" t="str">
        <f t="shared" si="198"/>
        <v/>
      </c>
      <c r="AM205" s="13" t="str">
        <f t="shared" si="199"/>
        <v/>
      </c>
    </row>
    <row r="206" spans="1:39" x14ac:dyDescent="0.35">
      <c r="A206" t="str">
        <f t="shared" si="100"/>
        <v/>
      </c>
      <c r="B206" t="str">
        <f t="shared" si="101"/>
        <v/>
      </c>
      <c r="C206" t="str">
        <f t="shared" si="176"/>
        <v/>
      </c>
      <c r="D206" s="5" t="str">
        <f t="shared" si="189"/>
        <v/>
      </c>
      <c r="E206" s="5" t="str">
        <f>IFERROR(IF($A206="", "", _xlfn.XLOOKUP(A206,Offset!A:A,Offset!I:I, 0)), 0)</f>
        <v/>
      </c>
      <c r="F206" s="5" t="str">
        <f t="shared" si="177"/>
        <v/>
      </c>
      <c r="G206" s="5" t="str">
        <f t="shared" si="178"/>
        <v/>
      </c>
      <c r="H206" s="5" t="str">
        <f t="shared" si="179"/>
        <v/>
      </c>
      <c r="I206" s="5" t="str">
        <f t="shared" si="180"/>
        <v/>
      </c>
      <c r="J206" s="5" t="str">
        <f t="shared" si="181"/>
        <v/>
      </c>
      <c r="K206" s="5" t="str">
        <f t="shared" si="182"/>
        <v/>
      </c>
      <c r="L206" s="5" t="str">
        <f t="shared" si="190"/>
        <v/>
      </c>
      <c r="M206" s="5" t="str">
        <f t="shared" si="191"/>
        <v/>
      </c>
      <c r="N206" s="5" t="str">
        <f t="shared" si="192"/>
        <v/>
      </c>
      <c r="O206" s="13" t="str">
        <f t="shared" si="193"/>
        <v/>
      </c>
      <c r="Q206" t="str">
        <f t="shared" si="106"/>
        <v/>
      </c>
      <c r="R206" t="str">
        <f t="shared" si="107"/>
        <v/>
      </c>
      <c r="S206" t="str">
        <f t="shared" si="183"/>
        <v/>
      </c>
      <c r="T206" s="5" t="str">
        <f t="shared" si="124"/>
        <v/>
      </c>
      <c r="U206" s="5" t="str">
        <f t="shared" si="184"/>
        <v/>
      </c>
      <c r="V206" s="5" t="str">
        <f t="shared" si="200"/>
        <v/>
      </c>
      <c r="W206" s="5" t="str">
        <f t="shared" si="125"/>
        <v/>
      </c>
      <c r="X206" s="5" t="str">
        <f t="shared" si="126"/>
        <v/>
      </c>
      <c r="Y206" s="5" t="str">
        <f t="shared" si="194"/>
        <v/>
      </c>
      <c r="Z206" s="5" t="str">
        <f t="shared" si="195"/>
        <v/>
      </c>
      <c r="AA206" s="13" t="str">
        <f t="shared" si="196"/>
        <v/>
      </c>
      <c r="AC206" t="str">
        <f t="shared" si="111"/>
        <v/>
      </c>
      <c r="AD206" t="str">
        <f t="shared" si="112"/>
        <v/>
      </c>
      <c r="AE206" t="str">
        <f t="shared" si="186"/>
        <v/>
      </c>
      <c r="AF206" s="5" t="str">
        <f t="shared" si="130"/>
        <v/>
      </c>
      <c r="AG206" s="5" t="str">
        <f t="shared" si="187"/>
        <v/>
      </c>
      <c r="AH206" s="5" t="str">
        <f t="shared" si="201"/>
        <v/>
      </c>
      <c r="AI206" s="5" t="str">
        <f t="shared" si="131"/>
        <v/>
      </c>
      <c r="AJ206" s="5" t="str">
        <f t="shared" si="132"/>
        <v/>
      </c>
      <c r="AK206" s="5" t="str">
        <f t="shared" si="197"/>
        <v/>
      </c>
      <c r="AL206" s="5" t="str">
        <f t="shared" si="198"/>
        <v/>
      </c>
      <c r="AM206" s="13" t="str">
        <f t="shared" si="199"/>
        <v/>
      </c>
    </row>
    <row r="207" spans="1:39" x14ac:dyDescent="0.35">
      <c r="A207" t="str">
        <f t="shared" si="100"/>
        <v/>
      </c>
      <c r="B207" t="str">
        <f t="shared" si="101"/>
        <v/>
      </c>
      <c r="C207" t="str">
        <f t="shared" si="176"/>
        <v/>
      </c>
      <c r="D207" s="5" t="str">
        <f t="shared" si="189"/>
        <v/>
      </c>
      <c r="E207" s="5" t="str">
        <f>IFERROR(IF($A207="", "", _xlfn.XLOOKUP(A207,Offset!A:A,Offset!I:I, 0)), 0)</f>
        <v/>
      </c>
      <c r="F207" s="5" t="str">
        <f t="shared" si="177"/>
        <v/>
      </c>
      <c r="G207" s="5" t="str">
        <f t="shared" si="178"/>
        <v/>
      </c>
      <c r="H207" s="5" t="str">
        <f t="shared" si="179"/>
        <v/>
      </c>
      <c r="I207" s="5" t="str">
        <f t="shared" si="180"/>
        <v/>
      </c>
      <c r="J207" s="5" t="str">
        <f t="shared" si="181"/>
        <v/>
      </c>
      <c r="K207" s="5" t="str">
        <f t="shared" si="182"/>
        <v/>
      </c>
      <c r="L207" s="5" t="str">
        <f t="shared" si="190"/>
        <v/>
      </c>
      <c r="M207" s="5" t="str">
        <f t="shared" si="191"/>
        <v/>
      </c>
      <c r="N207" s="5" t="str">
        <f t="shared" si="192"/>
        <v/>
      </c>
      <c r="O207" s="13" t="str">
        <f t="shared" si="193"/>
        <v/>
      </c>
      <c r="Q207" t="str">
        <f t="shared" si="106"/>
        <v/>
      </c>
      <c r="R207" t="str">
        <f t="shared" si="107"/>
        <v/>
      </c>
      <c r="S207" t="str">
        <f t="shared" si="183"/>
        <v/>
      </c>
      <c r="T207" s="5" t="str">
        <f t="shared" si="124"/>
        <v/>
      </c>
      <c r="U207" s="5" t="str">
        <f t="shared" si="184"/>
        <v/>
      </c>
      <c r="V207" s="5" t="str">
        <f t="shared" si="200"/>
        <v/>
      </c>
      <c r="W207" s="5" t="str">
        <f t="shared" si="125"/>
        <v/>
      </c>
      <c r="X207" s="5" t="str">
        <f t="shared" si="126"/>
        <v/>
      </c>
      <c r="Y207" s="5" t="str">
        <f t="shared" si="194"/>
        <v/>
      </c>
      <c r="Z207" s="5" t="str">
        <f t="shared" si="195"/>
        <v/>
      </c>
      <c r="AA207" s="13" t="str">
        <f t="shared" si="196"/>
        <v/>
      </c>
      <c r="AC207" t="str">
        <f t="shared" si="111"/>
        <v/>
      </c>
      <c r="AD207" t="str">
        <f t="shared" si="112"/>
        <v/>
      </c>
      <c r="AE207" t="str">
        <f t="shared" si="186"/>
        <v/>
      </c>
      <c r="AF207" s="5" t="str">
        <f t="shared" si="130"/>
        <v/>
      </c>
      <c r="AG207" s="5" t="str">
        <f t="shared" si="187"/>
        <v/>
      </c>
      <c r="AH207" s="5" t="str">
        <f t="shared" si="201"/>
        <v/>
      </c>
      <c r="AI207" s="5" t="str">
        <f t="shared" si="131"/>
        <v/>
      </c>
      <c r="AJ207" s="5" t="str">
        <f t="shared" si="132"/>
        <v/>
      </c>
      <c r="AK207" s="5" t="str">
        <f t="shared" si="197"/>
        <v/>
      </c>
      <c r="AL207" s="5" t="str">
        <f t="shared" si="198"/>
        <v/>
      </c>
      <c r="AM207" s="13" t="str">
        <f t="shared" si="199"/>
        <v/>
      </c>
    </row>
    <row r="208" spans="1:39" x14ac:dyDescent="0.35">
      <c r="A208" t="str">
        <f t="shared" si="100"/>
        <v/>
      </c>
      <c r="B208" t="str">
        <f t="shared" si="101"/>
        <v/>
      </c>
      <c r="C208" t="str">
        <f t="shared" si="176"/>
        <v/>
      </c>
      <c r="D208" s="5" t="str">
        <f t="shared" si="189"/>
        <v/>
      </c>
      <c r="E208" s="5" t="str">
        <f>IFERROR(IF($A208="", "", _xlfn.XLOOKUP(A208,Offset!A:A,Offset!I:I, 0)), 0)</f>
        <v/>
      </c>
      <c r="F208" s="5" t="str">
        <f t="shared" si="177"/>
        <v/>
      </c>
      <c r="G208" s="5" t="str">
        <f t="shared" si="178"/>
        <v/>
      </c>
      <c r="H208" s="5" t="str">
        <f t="shared" si="179"/>
        <v/>
      </c>
      <c r="I208" s="5" t="str">
        <f t="shared" si="180"/>
        <v/>
      </c>
      <c r="J208" s="5" t="str">
        <f t="shared" si="181"/>
        <v/>
      </c>
      <c r="K208" s="5" t="str">
        <f t="shared" si="182"/>
        <v/>
      </c>
      <c r="L208" s="5" t="str">
        <f t="shared" si="190"/>
        <v/>
      </c>
      <c r="M208" s="5" t="str">
        <f t="shared" si="191"/>
        <v/>
      </c>
      <c r="N208" s="5" t="str">
        <f t="shared" si="192"/>
        <v/>
      </c>
      <c r="O208" s="13" t="str">
        <f t="shared" si="193"/>
        <v/>
      </c>
      <c r="Q208" t="str">
        <f t="shared" si="106"/>
        <v/>
      </c>
      <c r="R208" t="str">
        <f t="shared" si="107"/>
        <v/>
      </c>
      <c r="S208" t="str">
        <f t="shared" si="183"/>
        <v/>
      </c>
      <c r="T208" s="5" t="str">
        <f t="shared" si="124"/>
        <v/>
      </c>
      <c r="U208" s="5" t="str">
        <f t="shared" si="184"/>
        <v/>
      </c>
      <c r="V208" s="5" t="str">
        <f t="shared" si="200"/>
        <v/>
      </c>
      <c r="W208" s="5" t="str">
        <f t="shared" si="125"/>
        <v/>
      </c>
      <c r="X208" s="5" t="str">
        <f t="shared" si="126"/>
        <v/>
      </c>
      <c r="Y208" s="5" t="str">
        <f t="shared" si="194"/>
        <v/>
      </c>
      <c r="Z208" s="5" t="str">
        <f t="shared" si="195"/>
        <v/>
      </c>
      <c r="AA208" s="13" t="str">
        <f t="shared" si="196"/>
        <v/>
      </c>
      <c r="AC208" t="str">
        <f t="shared" si="111"/>
        <v/>
      </c>
      <c r="AD208" t="str">
        <f t="shared" si="112"/>
        <v/>
      </c>
      <c r="AE208" t="str">
        <f t="shared" si="186"/>
        <v/>
      </c>
      <c r="AF208" s="5" t="str">
        <f t="shared" si="130"/>
        <v/>
      </c>
      <c r="AG208" s="5" t="str">
        <f t="shared" si="187"/>
        <v/>
      </c>
      <c r="AH208" s="5" t="str">
        <f t="shared" si="201"/>
        <v/>
      </c>
      <c r="AI208" s="5" t="str">
        <f t="shared" si="131"/>
        <v/>
      </c>
      <c r="AJ208" s="5" t="str">
        <f t="shared" si="132"/>
        <v/>
      </c>
      <c r="AK208" s="5" t="str">
        <f t="shared" si="197"/>
        <v/>
      </c>
      <c r="AL208" s="5" t="str">
        <f t="shared" si="198"/>
        <v/>
      </c>
      <c r="AM208" s="13" t="str">
        <f t="shared" si="199"/>
        <v/>
      </c>
    </row>
    <row r="209" spans="1:39" x14ac:dyDescent="0.35">
      <c r="A209" t="str">
        <f t="shared" si="100"/>
        <v/>
      </c>
      <c r="B209" t="str">
        <f t="shared" si="101"/>
        <v/>
      </c>
      <c r="C209" t="str">
        <f t="shared" si="176"/>
        <v/>
      </c>
      <c r="D209" s="5" t="str">
        <f t="shared" si="189"/>
        <v/>
      </c>
      <c r="E209" s="5" t="str">
        <f>IFERROR(IF($A209="", "", _xlfn.XLOOKUP(A209,Offset!A:A,Offset!I:I, 0)), 0)</f>
        <v/>
      </c>
      <c r="F209" s="5" t="str">
        <f t="shared" si="177"/>
        <v/>
      </c>
      <c r="G209" s="5" t="str">
        <f t="shared" si="178"/>
        <v/>
      </c>
      <c r="H209" s="5" t="str">
        <f t="shared" si="179"/>
        <v/>
      </c>
      <c r="I209" s="5" t="str">
        <f t="shared" si="180"/>
        <v/>
      </c>
      <c r="J209" s="5" t="str">
        <f t="shared" si="181"/>
        <v/>
      </c>
      <c r="K209" s="5" t="str">
        <f t="shared" si="182"/>
        <v/>
      </c>
      <c r="L209" s="5" t="str">
        <f t="shared" si="190"/>
        <v/>
      </c>
      <c r="M209" s="5" t="str">
        <f t="shared" si="191"/>
        <v/>
      </c>
      <c r="N209" s="5" t="str">
        <f t="shared" si="192"/>
        <v/>
      </c>
      <c r="O209" s="13" t="str">
        <f t="shared" si="193"/>
        <v/>
      </c>
      <c r="Q209" t="str">
        <f t="shared" si="106"/>
        <v/>
      </c>
      <c r="R209" t="str">
        <f t="shared" si="107"/>
        <v/>
      </c>
      <c r="S209" t="str">
        <f t="shared" si="183"/>
        <v/>
      </c>
      <c r="T209" s="5" t="str">
        <f t="shared" si="124"/>
        <v/>
      </c>
      <c r="U209" s="5" t="str">
        <f t="shared" si="184"/>
        <v/>
      </c>
      <c r="V209" s="5" t="str">
        <f t="shared" si="200"/>
        <v/>
      </c>
      <c r="W209" s="5" t="str">
        <f t="shared" si="125"/>
        <v/>
      </c>
      <c r="X209" s="5" t="str">
        <f t="shared" si="126"/>
        <v/>
      </c>
      <c r="Y209" s="5" t="str">
        <f t="shared" si="194"/>
        <v/>
      </c>
      <c r="Z209" s="5" t="str">
        <f t="shared" si="195"/>
        <v/>
      </c>
      <c r="AA209" s="13" t="str">
        <f t="shared" si="196"/>
        <v/>
      </c>
      <c r="AC209" t="str">
        <f t="shared" si="111"/>
        <v/>
      </c>
      <c r="AD209" t="str">
        <f t="shared" si="112"/>
        <v/>
      </c>
      <c r="AE209" t="str">
        <f t="shared" si="186"/>
        <v/>
      </c>
      <c r="AF209" s="5" t="str">
        <f t="shared" si="130"/>
        <v/>
      </c>
      <c r="AG209" s="5" t="str">
        <f t="shared" si="187"/>
        <v/>
      </c>
      <c r="AH209" s="5" t="str">
        <f t="shared" si="201"/>
        <v/>
      </c>
      <c r="AI209" s="5" t="str">
        <f t="shared" si="131"/>
        <v/>
      </c>
      <c r="AJ209" s="5" t="str">
        <f t="shared" si="132"/>
        <v/>
      </c>
      <c r="AK209" s="5" t="str">
        <f t="shared" si="197"/>
        <v/>
      </c>
      <c r="AL209" s="5" t="str">
        <f t="shared" si="198"/>
        <v/>
      </c>
      <c r="AM209" s="13" t="str">
        <f t="shared" si="199"/>
        <v/>
      </c>
    </row>
    <row r="210" spans="1:39" x14ac:dyDescent="0.35">
      <c r="A210" t="str">
        <f t="shared" si="100"/>
        <v/>
      </c>
      <c r="B210" t="str">
        <f t="shared" si="101"/>
        <v/>
      </c>
      <c r="C210" t="str">
        <f t="shared" si="176"/>
        <v/>
      </c>
      <c r="D210" s="5" t="str">
        <f t="shared" si="189"/>
        <v/>
      </c>
      <c r="E210" s="5" t="str">
        <f>IFERROR(IF($A210="", "", _xlfn.XLOOKUP(A210,Offset!A:A,Offset!I:I, 0)), 0)</f>
        <v/>
      </c>
      <c r="F210" s="5" t="str">
        <f t="shared" si="177"/>
        <v/>
      </c>
      <c r="G210" s="5" t="str">
        <f t="shared" si="178"/>
        <v/>
      </c>
      <c r="H210" s="5" t="str">
        <f t="shared" si="179"/>
        <v/>
      </c>
      <c r="I210" s="5" t="str">
        <f t="shared" si="180"/>
        <v/>
      </c>
      <c r="J210" s="5" t="str">
        <f t="shared" si="181"/>
        <v/>
      </c>
      <c r="K210" s="5" t="str">
        <f t="shared" si="182"/>
        <v/>
      </c>
      <c r="L210" s="5" t="str">
        <f t="shared" si="190"/>
        <v/>
      </c>
      <c r="M210" s="5" t="str">
        <f t="shared" si="191"/>
        <v/>
      </c>
      <c r="N210" s="5" t="str">
        <f t="shared" si="192"/>
        <v/>
      </c>
      <c r="O210" s="13" t="str">
        <f t="shared" si="193"/>
        <v/>
      </c>
      <c r="Q210" t="str">
        <f t="shared" si="106"/>
        <v/>
      </c>
      <c r="R210" t="str">
        <f t="shared" si="107"/>
        <v/>
      </c>
      <c r="S210" t="str">
        <f t="shared" si="183"/>
        <v/>
      </c>
      <c r="T210" s="5" t="str">
        <f t="shared" si="124"/>
        <v/>
      </c>
      <c r="U210" s="5" t="str">
        <f t="shared" si="184"/>
        <v/>
      </c>
      <c r="V210" s="5" t="str">
        <f t="shared" si="200"/>
        <v/>
      </c>
      <c r="W210" s="5" t="str">
        <f t="shared" si="125"/>
        <v/>
      </c>
      <c r="X210" s="5" t="str">
        <f t="shared" si="126"/>
        <v/>
      </c>
      <c r="Y210" s="5" t="str">
        <f t="shared" si="194"/>
        <v/>
      </c>
      <c r="Z210" s="5" t="str">
        <f t="shared" si="195"/>
        <v/>
      </c>
      <c r="AA210" s="13" t="str">
        <f t="shared" si="196"/>
        <v/>
      </c>
      <c r="AC210" t="str">
        <f t="shared" si="111"/>
        <v/>
      </c>
      <c r="AD210" t="str">
        <f t="shared" si="112"/>
        <v/>
      </c>
      <c r="AE210" t="str">
        <f t="shared" si="186"/>
        <v/>
      </c>
      <c r="AF210" s="5" t="str">
        <f t="shared" si="130"/>
        <v/>
      </c>
      <c r="AG210" s="5" t="str">
        <f t="shared" si="187"/>
        <v/>
      </c>
      <c r="AH210" s="5" t="str">
        <f t="shared" si="201"/>
        <v/>
      </c>
      <c r="AI210" s="5" t="str">
        <f t="shared" si="131"/>
        <v/>
      </c>
      <c r="AJ210" s="5" t="str">
        <f t="shared" si="132"/>
        <v/>
      </c>
      <c r="AK210" s="5" t="str">
        <f t="shared" si="197"/>
        <v/>
      </c>
      <c r="AL210" s="5" t="str">
        <f t="shared" si="198"/>
        <v/>
      </c>
      <c r="AM210" s="13" t="str">
        <f t="shared" si="199"/>
        <v/>
      </c>
    </row>
    <row r="211" spans="1:39" x14ac:dyDescent="0.35">
      <c r="A211" t="str">
        <f t="shared" si="100"/>
        <v/>
      </c>
      <c r="B211" t="str">
        <f t="shared" si="101"/>
        <v/>
      </c>
      <c r="C211" t="str">
        <f t="shared" si="176"/>
        <v/>
      </c>
      <c r="D211" s="5" t="str">
        <f t="shared" si="189"/>
        <v/>
      </c>
      <c r="E211" s="5" t="str">
        <f>IFERROR(IF($A211="", "", _xlfn.XLOOKUP(A211,Offset!A:A,Offset!I:I, 0)), 0)</f>
        <v/>
      </c>
      <c r="F211" s="5" t="str">
        <f t="shared" si="177"/>
        <v/>
      </c>
      <c r="G211" s="5" t="str">
        <f t="shared" si="178"/>
        <v/>
      </c>
      <c r="H211" s="5" t="str">
        <f t="shared" si="179"/>
        <v/>
      </c>
      <c r="I211" s="5" t="str">
        <f t="shared" si="180"/>
        <v/>
      </c>
      <c r="J211" s="5" t="str">
        <f t="shared" si="181"/>
        <v/>
      </c>
      <c r="K211" s="5" t="str">
        <f t="shared" si="182"/>
        <v/>
      </c>
      <c r="L211" s="5" t="str">
        <f t="shared" si="190"/>
        <v/>
      </c>
      <c r="M211" s="5" t="str">
        <f t="shared" si="191"/>
        <v/>
      </c>
      <c r="N211" s="5" t="str">
        <f t="shared" si="192"/>
        <v/>
      </c>
      <c r="O211" s="13" t="str">
        <f t="shared" si="193"/>
        <v/>
      </c>
      <c r="Q211" t="str">
        <f t="shared" si="106"/>
        <v/>
      </c>
      <c r="R211" t="str">
        <f t="shared" si="107"/>
        <v/>
      </c>
      <c r="S211" t="str">
        <f t="shared" si="183"/>
        <v/>
      </c>
      <c r="T211" s="5" t="str">
        <f t="shared" si="124"/>
        <v/>
      </c>
      <c r="U211" s="5" t="str">
        <f t="shared" si="184"/>
        <v/>
      </c>
      <c r="V211" s="5" t="str">
        <f t="shared" si="200"/>
        <v/>
      </c>
      <c r="W211" s="5" t="str">
        <f t="shared" si="125"/>
        <v/>
      </c>
      <c r="X211" s="5" t="str">
        <f t="shared" si="126"/>
        <v/>
      </c>
      <c r="Y211" s="5" t="str">
        <f t="shared" si="194"/>
        <v/>
      </c>
      <c r="Z211" s="5" t="str">
        <f t="shared" si="195"/>
        <v/>
      </c>
      <c r="AA211" s="13" t="str">
        <f t="shared" si="196"/>
        <v/>
      </c>
      <c r="AC211" t="str">
        <f t="shared" si="111"/>
        <v/>
      </c>
      <c r="AD211" t="str">
        <f t="shared" si="112"/>
        <v/>
      </c>
      <c r="AE211" t="str">
        <f t="shared" si="186"/>
        <v/>
      </c>
      <c r="AF211" s="5" t="str">
        <f t="shared" si="130"/>
        <v/>
      </c>
      <c r="AG211" s="5" t="str">
        <f t="shared" si="187"/>
        <v/>
      </c>
      <c r="AH211" s="5" t="str">
        <f t="shared" si="201"/>
        <v/>
      </c>
      <c r="AI211" s="5" t="str">
        <f t="shared" si="131"/>
        <v/>
      </c>
      <c r="AJ211" s="5" t="str">
        <f t="shared" si="132"/>
        <v/>
      </c>
      <c r="AK211" s="5" t="str">
        <f t="shared" si="197"/>
        <v/>
      </c>
      <c r="AL211" s="5" t="str">
        <f t="shared" si="198"/>
        <v/>
      </c>
      <c r="AM211" s="13" t="str">
        <f t="shared" si="199"/>
        <v/>
      </c>
    </row>
    <row r="212" spans="1:39" x14ac:dyDescent="0.35">
      <c r="A212" t="str">
        <f t="shared" si="100"/>
        <v/>
      </c>
      <c r="B212" t="str">
        <f t="shared" si="101"/>
        <v/>
      </c>
      <c r="C212" t="str">
        <f t="shared" si="176"/>
        <v/>
      </c>
      <c r="D212" s="5" t="str">
        <f t="shared" si="189"/>
        <v/>
      </c>
      <c r="E212" s="5" t="str">
        <f>IFERROR(IF($A212="", "", _xlfn.XLOOKUP(A212,Offset!A:A,Offset!I:I, 0)), 0)</f>
        <v/>
      </c>
      <c r="F212" s="5" t="str">
        <f t="shared" si="177"/>
        <v/>
      </c>
      <c r="G212" s="5" t="str">
        <f t="shared" si="178"/>
        <v/>
      </c>
      <c r="H212" s="5" t="str">
        <f t="shared" si="179"/>
        <v/>
      </c>
      <c r="I212" s="5" t="str">
        <f t="shared" si="180"/>
        <v/>
      </c>
      <c r="J212" s="5" t="str">
        <f t="shared" si="181"/>
        <v/>
      </c>
      <c r="K212" s="5" t="str">
        <f t="shared" si="182"/>
        <v/>
      </c>
      <c r="L212" s="5" t="str">
        <f t="shared" si="190"/>
        <v/>
      </c>
      <c r="M212" s="5" t="str">
        <f t="shared" si="191"/>
        <v/>
      </c>
      <c r="N212" s="5" t="str">
        <f t="shared" si="192"/>
        <v/>
      </c>
      <c r="O212" s="13" t="str">
        <f t="shared" si="193"/>
        <v/>
      </c>
      <c r="Q212" t="str">
        <f t="shared" si="106"/>
        <v/>
      </c>
      <c r="R212" t="str">
        <f t="shared" si="107"/>
        <v/>
      </c>
      <c r="S212" t="str">
        <f t="shared" si="183"/>
        <v/>
      </c>
      <c r="T212" s="5" t="str">
        <f t="shared" si="124"/>
        <v/>
      </c>
      <c r="U212" s="5" t="str">
        <f t="shared" si="184"/>
        <v/>
      </c>
      <c r="V212" s="5" t="str">
        <f t="shared" si="200"/>
        <v/>
      </c>
      <c r="W212" s="5" t="str">
        <f t="shared" si="125"/>
        <v/>
      </c>
      <c r="X212" s="5" t="str">
        <f t="shared" si="126"/>
        <v/>
      </c>
      <c r="Y212" s="5" t="str">
        <f t="shared" si="194"/>
        <v/>
      </c>
      <c r="Z212" s="5" t="str">
        <f t="shared" si="195"/>
        <v/>
      </c>
      <c r="AA212" s="13" t="str">
        <f t="shared" si="196"/>
        <v/>
      </c>
      <c r="AC212" t="str">
        <f t="shared" si="111"/>
        <v/>
      </c>
      <c r="AD212" t="str">
        <f t="shared" si="112"/>
        <v/>
      </c>
      <c r="AE212" t="str">
        <f t="shared" si="186"/>
        <v/>
      </c>
      <c r="AF212" s="5" t="str">
        <f t="shared" si="130"/>
        <v/>
      </c>
      <c r="AG212" s="5" t="str">
        <f t="shared" si="187"/>
        <v/>
      </c>
      <c r="AH212" s="5" t="str">
        <f t="shared" si="201"/>
        <v/>
      </c>
      <c r="AI212" s="5" t="str">
        <f t="shared" si="131"/>
        <v/>
      </c>
      <c r="AJ212" s="5" t="str">
        <f t="shared" si="132"/>
        <v/>
      </c>
      <c r="AK212" s="5" t="str">
        <f t="shared" si="197"/>
        <v/>
      </c>
      <c r="AL212" s="5" t="str">
        <f t="shared" si="198"/>
        <v/>
      </c>
      <c r="AM212" s="13" t="str">
        <f t="shared" si="199"/>
        <v/>
      </c>
    </row>
    <row r="213" spans="1:39" x14ac:dyDescent="0.35">
      <c r="A213" t="str">
        <f t="shared" si="100"/>
        <v/>
      </c>
      <c r="B213" t="str">
        <f t="shared" si="101"/>
        <v/>
      </c>
      <c r="C213" t="str">
        <f t="shared" si="176"/>
        <v/>
      </c>
      <c r="D213" s="5" t="str">
        <f t="shared" si="189"/>
        <v/>
      </c>
      <c r="E213" s="5" t="str">
        <f>IFERROR(IF($A213="", "", _xlfn.XLOOKUP(A213,Offset!A:A,Offset!I:I, 0)), 0)</f>
        <v/>
      </c>
      <c r="F213" s="5" t="str">
        <f t="shared" si="177"/>
        <v/>
      </c>
      <c r="G213" s="5" t="str">
        <f t="shared" si="178"/>
        <v/>
      </c>
      <c r="H213" s="5" t="str">
        <f t="shared" si="179"/>
        <v/>
      </c>
      <c r="I213" s="5" t="str">
        <f t="shared" si="180"/>
        <v/>
      </c>
      <c r="J213" s="5" t="str">
        <f t="shared" si="181"/>
        <v/>
      </c>
      <c r="K213" s="5" t="str">
        <f t="shared" si="182"/>
        <v/>
      </c>
      <c r="L213" s="5" t="str">
        <f t="shared" si="190"/>
        <v/>
      </c>
      <c r="M213" s="5" t="str">
        <f t="shared" si="191"/>
        <v/>
      </c>
      <c r="N213" s="5" t="str">
        <f t="shared" si="192"/>
        <v/>
      </c>
      <c r="O213" s="13" t="str">
        <f t="shared" si="193"/>
        <v/>
      </c>
      <c r="Q213" t="str">
        <f t="shared" si="106"/>
        <v/>
      </c>
      <c r="R213" t="str">
        <f t="shared" si="107"/>
        <v/>
      </c>
      <c r="S213" t="str">
        <f t="shared" si="183"/>
        <v/>
      </c>
      <c r="T213" s="5" t="str">
        <f t="shared" si="124"/>
        <v/>
      </c>
      <c r="U213" s="5" t="str">
        <f t="shared" si="184"/>
        <v/>
      </c>
      <c r="V213" s="5" t="str">
        <f t="shared" si="200"/>
        <v/>
      </c>
      <c r="W213" s="5" t="str">
        <f t="shared" si="125"/>
        <v/>
      </c>
      <c r="X213" s="5" t="str">
        <f t="shared" si="126"/>
        <v/>
      </c>
      <c r="Y213" s="5" t="str">
        <f t="shared" si="194"/>
        <v/>
      </c>
      <c r="Z213" s="5" t="str">
        <f t="shared" si="195"/>
        <v/>
      </c>
      <c r="AA213" s="13" t="str">
        <f t="shared" si="196"/>
        <v/>
      </c>
      <c r="AC213" t="str">
        <f t="shared" si="111"/>
        <v/>
      </c>
      <c r="AD213" t="str">
        <f t="shared" si="112"/>
        <v/>
      </c>
      <c r="AE213" t="str">
        <f t="shared" si="186"/>
        <v/>
      </c>
      <c r="AF213" s="5" t="str">
        <f t="shared" si="130"/>
        <v/>
      </c>
      <c r="AG213" s="5" t="str">
        <f t="shared" si="187"/>
        <v/>
      </c>
      <c r="AH213" s="5" t="str">
        <f t="shared" si="201"/>
        <v/>
      </c>
      <c r="AI213" s="5" t="str">
        <f t="shared" si="131"/>
        <v/>
      </c>
      <c r="AJ213" s="5" t="str">
        <f t="shared" si="132"/>
        <v/>
      </c>
      <c r="AK213" s="5" t="str">
        <f t="shared" si="197"/>
        <v/>
      </c>
      <c r="AL213" s="5" t="str">
        <f t="shared" si="198"/>
        <v/>
      </c>
      <c r="AM213" s="13" t="str">
        <f t="shared" si="199"/>
        <v/>
      </c>
    </row>
    <row r="214" spans="1:39" x14ac:dyDescent="0.35">
      <c r="A214" t="str">
        <f t="shared" si="100"/>
        <v/>
      </c>
      <c r="B214" t="str">
        <f t="shared" si="101"/>
        <v/>
      </c>
      <c r="C214" t="str">
        <f t="shared" si="176"/>
        <v/>
      </c>
      <c r="D214" s="5" t="str">
        <f t="shared" si="189"/>
        <v/>
      </c>
      <c r="E214" s="5" t="str">
        <f>IFERROR(IF($A214="", "", _xlfn.XLOOKUP(A214,Offset!A:A,Offset!I:I, 0)), 0)</f>
        <v/>
      </c>
      <c r="F214" s="5" t="str">
        <f t="shared" si="177"/>
        <v/>
      </c>
      <c r="G214" s="5" t="str">
        <f t="shared" si="178"/>
        <v/>
      </c>
      <c r="H214" s="5" t="str">
        <f t="shared" si="179"/>
        <v/>
      </c>
      <c r="I214" s="5" t="str">
        <f t="shared" si="180"/>
        <v/>
      </c>
      <c r="J214" s="5" t="str">
        <f t="shared" si="181"/>
        <v/>
      </c>
      <c r="K214" s="5" t="str">
        <f t="shared" si="182"/>
        <v/>
      </c>
      <c r="L214" s="5" t="str">
        <f t="shared" si="190"/>
        <v/>
      </c>
      <c r="M214" s="5" t="str">
        <f t="shared" si="191"/>
        <v/>
      </c>
      <c r="N214" s="5" t="str">
        <f t="shared" si="192"/>
        <v/>
      </c>
      <c r="O214" s="13" t="str">
        <f t="shared" si="193"/>
        <v/>
      </c>
      <c r="Q214" t="str">
        <f t="shared" si="106"/>
        <v/>
      </c>
      <c r="R214" t="str">
        <f t="shared" si="107"/>
        <v/>
      </c>
      <c r="S214" t="str">
        <f t="shared" si="183"/>
        <v/>
      </c>
      <c r="T214" s="5" t="str">
        <f t="shared" si="124"/>
        <v/>
      </c>
      <c r="U214" s="5" t="str">
        <f t="shared" si="184"/>
        <v/>
      </c>
      <c r="V214" s="5" t="str">
        <f t="shared" si="200"/>
        <v/>
      </c>
      <c r="W214" s="5" t="str">
        <f t="shared" si="125"/>
        <v/>
      </c>
      <c r="X214" s="5" t="str">
        <f t="shared" si="126"/>
        <v/>
      </c>
      <c r="Y214" s="5" t="str">
        <f t="shared" si="194"/>
        <v/>
      </c>
      <c r="Z214" s="5" t="str">
        <f t="shared" si="195"/>
        <v/>
      </c>
      <c r="AA214" s="13" t="str">
        <f t="shared" si="196"/>
        <v/>
      </c>
      <c r="AC214" t="str">
        <f t="shared" si="111"/>
        <v/>
      </c>
      <c r="AD214" t="str">
        <f t="shared" si="112"/>
        <v/>
      </c>
      <c r="AE214" t="str">
        <f t="shared" si="186"/>
        <v/>
      </c>
      <c r="AF214" s="5" t="str">
        <f t="shared" si="130"/>
        <v/>
      </c>
      <c r="AG214" s="5" t="str">
        <f t="shared" si="187"/>
        <v/>
      </c>
      <c r="AH214" s="5" t="str">
        <f t="shared" si="201"/>
        <v/>
      </c>
      <c r="AI214" s="5" t="str">
        <f t="shared" si="131"/>
        <v/>
      </c>
      <c r="AJ214" s="5" t="str">
        <f t="shared" si="132"/>
        <v/>
      </c>
      <c r="AK214" s="5" t="str">
        <f t="shared" si="197"/>
        <v/>
      </c>
      <c r="AL214" s="5" t="str">
        <f t="shared" si="198"/>
        <v/>
      </c>
      <c r="AM214" s="13" t="str">
        <f t="shared" si="199"/>
        <v/>
      </c>
    </row>
    <row r="215" spans="1:39" x14ac:dyDescent="0.35">
      <c r="A215" t="str">
        <f t="shared" si="100"/>
        <v/>
      </c>
      <c r="B215" t="str">
        <f t="shared" si="101"/>
        <v/>
      </c>
      <c r="C215" t="str">
        <f t="shared" si="176"/>
        <v/>
      </c>
      <c r="D215" s="5" t="str">
        <f t="shared" si="189"/>
        <v/>
      </c>
      <c r="E215" s="5" t="str">
        <f>IFERROR(IF($A215="", "", _xlfn.XLOOKUP(A215,Offset!A:A,Offset!I:I, 0)), 0)</f>
        <v/>
      </c>
      <c r="F215" s="5" t="str">
        <f t="shared" si="177"/>
        <v/>
      </c>
      <c r="G215" s="5" t="str">
        <f t="shared" si="178"/>
        <v/>
      </c>
      <c r="H215" s="5" t="str">
        <f t="shared" si="179"/>
        <v/>
      </c>
      <c r="I215" s="5" t="str">
        <f t="shared" si="180"/>
        <v/>
      </c>
      <c r="J215" s="5" t="str">
        <f t="shared" si="181"/>
        <v/>
      </c>
      <c r="K215" s="5" t="str">
        <f t="shared" si="182"/>
        <v/>
      </c>
      <c r="L215" s="5" t="str">
        <f t="shared" si="190"/>
        <v/>
      </c>
      <c r="M215" s="5" t="str">
        <f t="shared" si="191"/>
        <v/>
      </c>
      <c r="N215" s="5" t="str">
        <f t="shared" si="192"/>
        <v/>
      </c>
      <c r="O215" s="13" t="str">
        <f t="shared" si="193"/>
        <v/>
      </c>
      <c r="Q215" t="str">
        <f t="shared" si="106"/>
        <v/>
      </c>
      <c r="R215" t="str">
        <f t="shared" si="107"/>
        <v/>
      </c>
      <c r="S215" t="str">
        <f t="shared" si="183"/>
        <v/>
      </c>
      <c r="T215" s="5" t="str">
        <f t="shared" si="124"/>
        <v/>
      </c>
      <c r="U215" s="5" t="str">
        <f t="shared" si="184"/>
        <v/>
      </c>
      <c r="V215" s="5" t="str">
        <f t="shared" si="200"/>
        <v/>
      </c>
      <c r="W215" s="5" t="str">
        <f t="shared" si="125"/>
        <v/>
      </c>
      <c r="X215" s="5" t="str">
        <f t="shared" si="126"/>
        <v/>
      </c>
      <c r="Y215" s="5" t="str">
        <f t="shared" si="194"/>
        <v/>
      </c>
      <c r="Z215" s="5" t="str">
        <f t="shared" si="195"/>
        <v/>
      </c>
      <c r="AA215" s="13" t="str">
        <f t="shared" si="196"/>
        <v/>
      </c>
      <c r="AC215" t="str">
        <f t="shared" si="111"/>
        <v/>
      </c>
      <c r="AD215" t="str">
        <f t="shared" si="112"/>
        <v/>
      </c>
      <c r="AE215" t="str">
        <f t="shared" si="186"/>
        <v/>
      </c>
      <c r="AF215" s="5" t="str">
        <f t="shared" si="130"/>
        <v/>
      </c>
      <c r="AG215" s="5" t="str">
        <f t="shared" si="187"/>
        <v/>
      </c>
      <c r="AH215" s="5" t="str">
        <f t="shared" si="201"/>
        <v/>
      </c>
      <c r="AI215" s="5" t="str">
        <f t="shared" si="131"/>
        <v/>
      </c>
      <c r="AJ215" s="5" t="str">
        <f t="shared" si="132"/>
        <v/>
      </c>
      <c r="AK215" s="5" t="str">
        <f t="shared" si="197"/>
        <v/>
      </c>
      <c r="AL215" s="5" t="str">
        <f t="shared" si="198"/>
        <v/>
      </c>
      <c r="AM215" s="13" t="str">
        <f t="shared" si="199"/>
        <v/>
      </c>
    </row>
    <row r="216" spans="1:39" x14ac:dyDescent="0.35">
      <c r="A216" t="str">
        <f t="shared" si="100"/>
        <v/>
      </c>
      <c r="B216" t="str">
        <f t="shared" si="101"/>
        <v/>
      </c>
      <c r="C216" t="str">
        <f t="shared" si="176"/>
        <v/>
      </c>
      <c r="D216" s="5" t="str">
        <f t="shared" si="189"/>
        <v/>
      </c>
      <c r="E216" s="5" t="str">
        <f>IFERROR(IF($A216="", "", _xlfn.XLOOKUP(A216,Offset!A:A,Offset!I:I, 0)), 0)</f>
        <v/>
      </c>
      <c r="F216" s="5" t="str">
        <f t="shared" si="177"/>
        <v/>
      </c>
      <c r="G216" s="5" t="str">
        <f t="shared" si="178"/>
        <v/>
      </c>
      <c r="H216" s="5" t="str">
        <f t="shared" si="179"/>
        <v/>
      </c>
      <c r="I216" s="5" t="str">
        <f t="shared" si="180"/>
        <v/>
      </c>
      <c r="J216" s="5" t="str">
        <f t="shared" si="181"/>
        <v/>
      </c>
      <c r="K216" s="5" t="str">
        <f t="shared" si="182"/>
        <v/>
      </c>
      <c r="L216" s="5" t="str">
        <f t="shared" si="190"/>
        <v/>
      </c>
      <c r="M216" s="5" t="str">
        <f t="shared" si="191"/>
        <v/>
      </c>
      <c r="N216" s="5" t="str">
        <f t="shared" si="192"/>
        <v/>
      </c>
      <c r="O216" s="13" t="str">
        <f t="shared" si="193"/>
        <v/>
      </c>
      <c r="Q216" t="str">
        <f t="shared" si="106"/>
        <v/>
      </c>
      <c r="R216" t="str">
        <f t="shared" si="107"/>
        <v/>
      </c>
      <c r="S216" t="str">
        <f t="shared" si="183"/>
        <v/>
      </c>
      <c r="T216" s="5" t="str">
        <f t="shared" si="124"/>
        <v/>
      </c>
      <c r="U216" s="5" t="str">
        <f t="shared" si="184"/>
        <v/>
      </c>
      <c r="V216" s="5" t="str">
        <f t="shared" si="200"/>
        <v/>
      </c>
      <c r="W216" s="5" t="str">
        <f t="shared" si="125"/>
        <v/>
      </c>
      <c r="X216" s="5" t="str">
        <f t="shared" si="126"/>
        <v/>
      </c>
      <c r="Y216" s="5" t="str">
        <f t="shared" si="194"/>
        <v/>
      </c>
      <c r="Z216" s="5" t="str">
        <f t="shared" si="195"/>
        <v/>
      </c>
      <c r="AA216" s="13" t="str">
        <f t="shared" si="196"/>
        <v/>
      </c>
      <c r="AC216" t="str">
        <f t="shared" si="111"/>
        <v/>
      </c>
      <c r="AD216" t="str">
        <f t="shared" si="112"/>
        <v/>
      </c>
      <c r="AE216" t="str">
        <f t="shared" si="186"/>
        <v/>
      </c>
      <c r="AF216" s="5" t="str">
        <f t="shared" si="130"/>
        <v/>
      </c>
      <c r="AG216" s="5" t="str">
        <f t="shared" si="187"/>
        <v/>
      </c>
      <c r="AH216" s="5" t="str">
        <f t="shared" si="201"/>
        <v/>
      </c>
      <c r="AI216" s="5" t="str">
        <f t="shared" si="131"/>
        <v/>
      </c>
      <c r="AJ216" s="5" t="str">
        <f t="shared" si="132"/>
        <v/>
      </c>
      <c r="AK216" s="5" t="str">
        <f t="shared" si="197"/>
        <v/>
      </c>
      <c r="AL216" s="5" t="str">
        <f t="shared" si="198"/>
        <v/>
      </c>
      <c r="AM216" s="13" t="str">
        <f t="shared" si="199"/>
        <v/>
      </c>
    </row>
    <row r="217" spans="1:39" x14ac:dyDescent="0.35">
      <c r="A217" t="str">
        <f t="shared" si="100"/>
        <v/>
      </c>
      <c r="B217" t="str">
        <f t="shared" si="101"/>
        <v/>
      </c>
      <c r="C217" t="str">
        <f t="shared" si="176"/>
        <v/>
      </c>
      <c r="D217" s="5" t="str">
        <f t="shared" si="189"/>
        <v/>
      </c>
      <c r="E217" s="5" t="str">
        <f>IFERROR(IF($A217="", "", _xlfn.XLOOKUP(A217,Offset!A:A,Offset!I:I, 0)), 0)</f>
        <v/>
      </c>
      <c r="F217" s="5" t="str">
        <f t="shared" si="177"/>
        <v/>
      </c>
      <c r="G217" s="5" t="str">
        <f t="shared" si="178"/>
        <v/>
      </c>
      <c r="H217" s="5" t="str">
        <f t="shared" si="179"/>
        <v/>
      </c>
      <c r="I217" s="5" t="str">
        <f t="shared" si="180"/>
        <v/>
      </c>
      <c r="J217" s="5" t="str">
        <f t="shared" si="181"/>
        <v/>
      </c>
      <c r="K217" s="5" t="str">
        <f t="shared" si="182"/>
        <v/>
      </c>
      <c r="L217" s="5" t="str">
        <f t="shared" si="190"/>
        <v/>
      </c>
      <c r="M217" s="5" t="str">
        <f t="shared" si="191"/>
        <v/>
      </c>
      <c r="N217" s="5" t="str">
        <f t="shared" si="192"/>
        <v/>
      </c>
      <c r="O217" s="13" t="str">
        <f t="shared" si="193"/>
        <v/>
      </c>
      <c r="Q217" t="str">
        <f t="shared" si="106"/>
        <v/>
      </c>
      <c r="R217" t="str">
        <f t="shared" si="107"/>
        <v/>
      </c>
      <c r="S217" t="str">
        <f t="shared" si="183"/>
        <v/>
      </c>
      <c r="T217" s="5" t="str">
        <f t="shared" si="124"/>
        <v/>
      </c>
      <c r="U217" s="5" t="str">
        <f t="shared" si="184"/>
        <v/>
      </c>
      <c r="V217" s="5" t="str">
        <f t="shared" si="200"/>
        <v/>
      </c>
      <c r="W217" s="5" t="str">
        <f t="shared" si="125"/>
        <v/>
      </c>
      <c r="X217" s="5" t="str">
        <f t="shared" si="126"/>
        <v/>
      </c>
      <c r="Y217" s="5" t="str">
        <f t="shared" si="194"/>
        <v/>
      </c>
      <c r="Z217" s="5" t="str">
        <f t="shared" si="195"/>
        <v/>
      </c>
      <c r="AA217" s="13" t="str">
        <f t="shared" si="196"/>
        <v/>
      </c>
      <c r="AC217" t="str">
        <f t="shared" si="111"/>
        <v/>
      </c>
      <c r="AD217" t="str">
        <f t="shared" si="112"/>
        <v/>
      </c>
      <c r="AE217" t="str">
        <f t="shared" si="186"/>
        <v/>
      </c>
      <c r="AF217" s="5" t="str">
        <f t="shared" si="130"/>
        <v/>
      </c>
      <c r="AG217" s="5" t="str">
        <f t="shared" si="187"/>
        <v/>
      </c>
      <c r="AH217" s="5" t="str">
        <f t="shared" si="201"/>
        <v/>
      </c>
      <c r="AI217" s="5" t="str">
        <f t="shared" si="131"/>
        <v/>
      </c>
      <c r="AJ217" s="5" t="str">
        <f t="shared" si="132"/>
        <v/>
      </c>
      <c r="AK217" s="5" t="str">
        <f t="shared" si="197"/>
        <v/>
      </c>
      <c r="AL217" s="5" t="str">
        <f t="shared" si="198"/>
        <v/>
      </c>
      <c r="AM217" s="13" t="str">
        <f t="shared" si="199"/>
        <v/>
      </c>
    </row>
    <row r="218" spans="1:39" x14ac:dyDescent="0.35">
      <c r="A218" t="str">
        <f t="shared" si="100"/>
        <v/>
      </c>
      <c r="B218" t="str">
        <f t="shared" si="101"/>
        <v/>
      </c>
      <c r="C218" t="str">
        <f t="shared" si="176"/>
        <v/>
      </c>
      <c r="D218" s="5" t="str">
        <f t="shared" si="189"/>
        <v/>
      </c>
      <c r="E218" s="5" t="str">
        <f>IFERROR(IF($A218="", "", _xlfn.XLOOKUP(A218,Offset!A:A,Offset!I:I, 0)), 0)</f>
        <v/>
      </c>
      <c r="F218" s="5" t="str">
        <f t="shared" si="177"/>
        <v/>
      </c>
      <c r="G218" s="5" t="str">
        <f t="shared" si="178"/>
        <v/>
      </c>
      <c r="H218" s="5" t="str">
        <f t="shared" si="179"/>
        <v/>
      </c>
      <c r="I218" s="5" t="str">
        <f t="shared" si="180"/>
        <v/>
      </c>
      <c r="J218" s="5" t="str">
        <f t="shared" si="181"/>
        <v/>
      </c>
      <c r="K218" s="5" t="str">
        <f t="shared" si="182"/>
        <v/>
      </c>
      <c r="L218" s="5" t="str">
        <f t="shared" si="190"/>
        <v/>
      </c>
      <c r="M218" s="5" t="str">
        <f t="shared" si="191"/>
        <v/>
      </c>
      <c r="N218" s="5" t="str">
        <f t="shared" si="192"/>
        <v/>
      </c>
      <c r="O218" s="13" t="str">
        <f t="shared" si="193"/>
        <v/>
      </c>
      <c r="Q218" t="str">
        <f t="shared" si="106"/>
        <v/>
      </c>
      <c r="R218" t="str">
        <f t="shared" si="107"/>
        <v/>
      </c>
      <c r="S218" t="str">
        <f t="shared" si="183"/>
        <v/>
      </c>
      <c r="T218" s="5" t="str">
        <f t="shared" si="124"/>
        <v/>
      </c>
      <c r="U218" s="5" t="str">
        <f t="shared" si="184"/>
        <v/>
      </c>
      <c r="V218" s="5" t="str">
        <f t="shared" si="200"/>
        <v/>
      </c>
      <c r="W218" s="5" t="str">
        <f t="shared" si="125"/>
        <v/>
      </c>
      <c r="X218" s="5" t="str">
        <f t="shared" si="126"/>
        <v/>
      </c>
      <c r="Y218" s="5" t="str">
        <f t="shared" si="194"/>
        <v/>
      </c>
      <c r="Z218" s="5" t="str">
        <f t="shared" si="195"/>
        <v/>
      </c>
      <c r="AA218" s="13" t="str">
        <f t="shared" si="196"/>
        <v/>
      </c>
      <c r="AC218" t="str">
        <f t="shared" si="111"/>
        <v/>
      </c>
      <c r="AD218" t="str">
        <f t="shared" si="112"/>
        <v/>
      </c>
      <c r="AE218" t="str">
        <f t="shared" si="186"/>
        <v/>
      </c>
      <c r="AF218" s="5" t="str">
        <f t="shared" si="130"/>
        <v/>
      </c>
      <c r="AG218" s="5" t="str">
        <f t="shared" si="187"/>
        <v/>
      </c>
      <c r="AH218" s="5" t="str">
        <f t="shared" si="201"/>
        <v/>
      </c>
      <c r="AI218" s="5" t="str">
        <f t="shared" si="131"/>
        <v/>
      </c>
      <c r="AJ218" s="5" t="str">
        <f t="shared" si="132"/>
        <v/>
      </c>
      <c r="AK218" s="5" t="str">
        <f t="shared" si="197"/>
        <v/>
      </c>
      <c r="AL218" s="5" t="str">
        <f t="shared" si="198"/>
        <v/>
      </c>
      <c r="AM218" s="13" t="str">
        <f t="shared" si="199"/>
        <v/>
      </c>
    </row>
    <row r="219" spans="1:39" x14ac:dyDescent="0.35">
      <c r="A219" t="str">
        <f t="shared" si="100"/>
        <v/>
      </c>
      <c r="B219" t="str">
        <f t="shared" si="101"/>
        <v/>
      </c>
      <c r="C219" t="str">
        <f t="shared" si="176"/>
        <v/>
      </c>
      <c r="D219" s="5" t="str">
        <f t="shared" si="189"/>
        <v/>
      </c>
      <c r="E219" s="5" t="str">
        <f>IFERROR(IF($A219="", "", _xlfn.XLOOKUP(A219,Offset!A:A,Offset!I:I, 0)), 0)</f>
        <v/>
      </c>
      <c r="F219" s="5" t="str">
        <f t="shared" si="177"/>
        <v/>
      </c>
      <c r="G219" s="5" t="str">
        <f t="shared" si="178"/>
        <v/>
      </c>
      <c r="H219" s="5" t="str">
        <f t="shared" si="179"/>
        <v/>
      </c>
      <c r="I219" s="5" t="str">
        <f t="shared" si="180"/>
        <v/>
      </c>
      <c r="J219" s="5" t="str">
        <f t="shared" si="181"/>
        <v/>
      </c>
      <c r="K219" s="5" t="str">
        <f t="shared" si="182"/>
        <v/>
      </c>
      <c r="L219" s="5" t="str">
        <f t="shared" si="190"/>
        <v/>
      </c>
      <c r="M219" s="5" t="str">
        <f t="shared" si="191"/>
        <v/>
      </c>
      <c r="N219" s="5" t="str">
        <f t="shared" si="192"/>
        <v/>
      </c>
      <c r="O219" s="13" t="str">
        <f t="shared" si="193"/>
        <v/>
      </c>
      <c r="Q219" t="str">
        <f t="shared" si="106"/>
        <v/>
      </c>
      <c r="R219" t="str">
        <f t="shared" si="107"/>
        <v/>
      </c>
      <c r="S219" t="str">
        <f t="shared" si="183"/>
        <v/>
      </c>
      <c r="T219" s="5" t="str">
        <f t="shared" si="124"/>
        <v/>
      </c>
      <c r="U219" s="5" t="str">
        <f t="shared" si="184"/>
        <v/>
      </c>
      <c r="V219" s="5" t="str">
        <f t="shared" si="200"/>
        <v/>
      </c>
      <c r="W219" s="5" t="str">
        <f t="shared" si="125"/>
        <v/>
      </c>
      <c r="X219" s="5" t="str">
        <f t="shared" si="126"/>
        <v/>
      </c>
      <c r="Y219" s="5" t="str">
        <f t="shared" si="194"/>
        <v/>
      </c>
      <c r="Z219" s="5" t="str">
        <f t="shared" si="195"/>
        <v/>
      </c>
      <c r="AA219" s="13" t="str">
        <f t="shared" si="196"/>
        <v/>
      </c>
      <c r="AC219" t="str">
        <f t="shared" si="111"/>
        <v/>
      </c>
      <c r="AD219" t="str">
        <f t="shared" si="112"/>
        <v/>
      </c>
      <c r="AE219" t="str">
        <f t="shared" si="186"/>
        <v/>
      </c>
      <c r="AF219" s="5" t="str">
        <f t="shared" si="130"/>
        <v/>
      </c>
      <c r="AG219" s="5" t="str">
        <f t="shared" si="187"/>
        <v/>
      </c>
      <c r="AH219" s="5" t="str">
        <f t="shared" si="201"/>
        <v/>
      </c>
      <c r="AI219" s="5" t="str">
        <f t="shared" si="131"/>
        <v/>
      </c>
      <c r="AJ219" s="5" t="str">
        <f t="shared" si="132"/>
        <v/>
      </c>
      <c r="AK219" s="5" t="str">
        <f t="shared" si="197"/>
        <v/>
      </c>
      <c r="AL219" s="5" t="str">
        <f t="shared" si="198"/>
        <v/>
      </c>
      <c r="AM219" s="13" t="str">
        <f t="shared" si="199"/>
        <v/>
      </c>
    </row>
    <row r="220" spans="1:39" x14ac:dyDescent="0.35">
      <c r="A220" t="str">
        <f t="shared" ref="A220:A279" si="202">IF(ROW()-3&lt;=TotalPeriods_Loan,ROW()-3,"")</f>
        <v/>
      </c>
      <c r="B220" t="str">
        <f t="shared" ref="B220:B279" si="203">IF($A220="", "", YEAR(StartYear) + INT(($A220-1)/PPY_Loan))</f>
        <v/>
      </c>
      <c r="C220" t="str">
        <f t="shared" si="176"/>
        <v/>
      </c>
      <c r="D220" s="5" t="str">
        <f t="shared" si="189"/>
        <v/>
      </c>
      <c r="E220" s="5" t="str">
        <f>IFERROR(IF($A220="", "", _xlfn.XLOOKUP(A220,Offset!A:A,Offset!I:I, 0)), 0)</f>
        <v/>
      </c>
      <c r="F220" s="5" t="str">
        <f t="shared" si="177"/>
        <v/>
      </c>
      <c r="G220" s="5" t="str">
        <f t="shared" si="178"/>
        <v/>
      </c>
      <c r="H220" s="5" t="str">
        <f t="shared" si="179"/>
        <v/>
      </c>
      <c r="I220" s="5" t="str">
        <f t="shared" si="180"/>
        <v/>
      </c>
      <c r="J220" s="5" t="str">
        <f t="shared" si="181"/>
        <v/>
      </c>
      <c r="K220" s="5" t="str">
        <f t="shared" si="182"/>
        <v/>
      </c>
      <c r="L220" s="5" t="str">
        <f t="shared" si="190"/>
        <v/>
      </c>
      <c r="M220" s="5" t="str">
        <f t="shared" si="191"/>
        <v/>
      </c>
      <c r="N220" s="5" t="str">
        <f t="shared" si="192"/>
        <v/>
      </c>
      <c r="O220" s="13" t="str">
        <f t="shared" si="193"/>
        <v/>
      </c>
      <c r="Q220" t="str">
        <f t="shared" ref="Q220:Q279" si="204">IF(ROW()-3&lt;=TotalPeriods_Loan,ROW()-3,"")</f>
        <v/>
      </c>
      <c r="R220" t="str">
        <f t="shared" ref="R220:R279" si="205">IF($Q220="", "", YEAR(StartYear) + INT(($Q220-1)/PPY_Loan))</f>
        <v/>
      </c>
      <c r="S220" t="str">
        <f t="shared" si="183"/>
        <v/>
      </c>
      <c r="T220" s="5" t="str">
        <f t="shared" si="124"/>
        <v/>
      </c>
      <c r="U220" s="5" t="str">
        <f t="shared" si="184"/>
        <v/>
      </c>
      <c r="V220" s="5" t="str">
        <f t="shared" si="200"/>
        <v/>
      </c>
      <c r="W220" s="5" t="str">
        <f t="shared" si="125"/>
        <v/>
      </c>
      <c r="X220" s="5" t="str">
        <f t="shared" si="126"/>
        <v/>
      </c>
      <c r="Y220" s="5" t="str">
        <f t="shared" si="194"/>
        <v/>
      </c>
      <c r="Z220" s="5" t="str">
        <f t="shared" si="195"/>
        <v/>
      </c>
      <c r="AA220" s="13" t="str">
        <f t="shared" si="196"/>
        <v/>
      </c>
      <c r="AC220" t="str">
        <f t="shared" ref="AC220:AC279" si="206">IF(ROW()-3&lt;=TotalPeriods_Loan,ROW()-3,"")</f>
        <v/>
      </c>
      <c r="AD220" t="str">
        <f t="shared" ref="AD220:AD279" si="207">IF($AC220="", "", YEAR(StartYear) + INT(($AC220-1)/PPY_Loan))</f>
        <v/>
      </c>
      <c r="AE220" t="str">
        <f t="shared" si="186"/>
        <v/>
      </c>
      <c r="AF220" s="5" t="str">
        <f t="shared" si="130"/>
        <v/>
      </c>
      <c r="AG220" s="5" t="str">
        <f t="shared" si="187"/>
        <v/>
      </c>
      <c r="AH220" s="5" t="str">
        <f t="shared" si="201"/>
        <v/>
      </c>
      <c r="AI220" s="5" t="str">
        <f t="shared" si="131"/>
        <v/>
      </c>
      <c r="AJ220" s="5" t="str">
        <f t="shared" si="132"/>
        <v/>
      </c>
      <c r="AK220" s="5" t="str">
        <f t="shared" si="197"/>
        <v/>
      </c>
      <c r="AL220" s="5" t="str">
        <f t="shared" si="198"/>
        <v/>
      </c>
      <c r="AM220" s="13" t="str">
        <f t="shared" si="199"/>
        <v/>
      </c>
    </row>
    <row r="221" spans="1:39" x14ac:dyDescent="0.35">
      <c r="A221" t="str">
        <f t="shared" si="202"/>
        <v/>
      </c>
      <c r="B221" t="str">
        <f t="shared" si="203"/>
        <v/>
      </c>
      <c r="C221" t="str">
        <f t="shared" si="176"/>
        <v/>
      </c>
      <c r="D221" s="5" t="str">
        <f t="shared" si="189"/>
        <v/>
      </c>
      <c r="E221" s="5" t="str">
        <f>IFERROR(IF($A221="", "", _xlfn.XLOOKUP(A221,Offset!A:A,Offset!I:I, 0)), 0)</f>
        <v/>
      </c>
      <c r="F221" s="5" t="str">
        <f t="shared" si="177"/>
        <v/>
      </c>
      <c r="G221" s="5" t="str">
        <f t="shared" si="178"/>
        <v/>
      </c>
      <c r="H221" s="5" t="str">
        <f t="shared" si="179"/>
        <v/>
      </c>
      <c r="I221" s="5" t="str">
        <f t="shared" si="180"/>
        <v/>
      </c>
      <c r="J221" s="5" t="str">
        <f t="shared" si="181"/>
        <v/>
      </c>
      <c r="K221" s="5" t="str">
        <f t="shared" si="182"/>
        <v/>
      </c>
      <c r="L221" s="5" t="str">
        <f t="shared" si="190"/>
        <v/>
      </c>
      <c r="M221" s="5" t="str">
        <f t="shared" si="191"/>
        <v/>
      </c>
      <c r="N221" s="5" t="str">
        <f t="shared" si="192"/>
        <v/>
      </c>
      <c r="O221" s="13" t="str">
        <f t="shared" si="193"/>
        <v/>
      </c>
      <c r="Q221" t="str">
        <f t="shared" si="204"/>
        <v/>
      </c>
      <c r="R221" t="str">
        <f t="shared" si="205"/>
        <v/>
      </c>
      <c r="S221" t="str">
        <f t="shared" si="183"/>
        <v/>
      </c>
      <c r="T221" s="5" t="str">
        <f t="shared" si="124"/>
        <v/>
      </c>
      <c r="U221" s="5" t="str">
        <f t="shared" si="184"/>
        <v/>
      </c>
      <c r="V221" s="5" t="str">
        <f t="shared" si="200"/>
        <v/>
      </c>
      <c r="W221" s="5" t="str">
        <f t="shared" si="125"/>
        <v/>
      </c>
      <c r="X221" s="5" t="str">
        <f t="shared" si="126"/>
        <v/>
      </c>
      <c r="Y221" s="5" t="str">
        <f t="shared" si="194"/>
        <v/>
      </c>
      <c r="Z221" s="5" t="str">
        <f t="shared" si="195"/>
        <v/>
      </c>
      <c r="AA221" s="13" t="str">
        <f t="shared" si="196"/>
        <v/>
      </c>
      <c r="AC221" t="str">
        <f t="shared" si="206"/>
        <v/>
      </c>
      <c r="AD221" t="str">
        <f t="shared" si="207"/>
        <v/>
      </c>
      <c r="AE221" t="str">
        <f t="shared" si="186"/>
        <v/>
      </c>
      <c r="AF221" s="5" t="str">
        <f t="shared" si="130"/>
        <v/>
      </c>
      <c r="AG221" s="5" t="str">
        <f t="shared" si="187"/>
        <v/>
      </c>
      <c r="AH221" s="5" t="str">
        <f t="shared" si="201"/>
        <v/>
      </c>
      <c r="AI221" s="5" t="str">
        <f t="shared" si="131"/>
        <v/>
      </c>
      <c r="AJ221" s="5" t="str">
        <f t="shared" si="132"/>
        <v/>
      </c>
      <c r="AK221" s="5" t="str">
        <f t="shared" si="197"/>
        <v/>
      </c>
      <c r="AL221" s="5" t="str">
        <f t="shared" si="198"/>
        <v/>
      </c>
      <c r="AM221" s="13" t="str">
        <f t="shared" si="199"/>
        <v/>
      </c>
    </row>
    <row r="222" spans="1:39" x14ac:dyDescent="0.35">
      <c r="A222" t="str">
        <f t="shared" si="202"/>
        <v/>
      </c>
      <c r="B222" t="str">
        <f t="shared" si="203"/>
        <v/>
      </c>
      <c r="C222" t="str">
        <f t="shared" si="176"/>
        <v/>
      </c>
      <c r="D222" s="5" t="str">
        <f t="shared" si="189"/>
        <v/>
      </c>
      <c r="E222" s="5" t="str">
        <f>IFERROR(IF($A222="", "", _xlfn.XLOOKUP(A222,Offset!A:A,Offset!I:I, 0)), 0)</f>
        <v/>
      </c>
      <c r="F222" s="5" t="str">
        <f t="shared" si="177"/>
        <v/>
      </c>
      <c r="G222" s="5" t="str">
        <f t="shared" si="178"/>
        <v/>
      </c>
      <c r="H222" s="5" t="str">
        <f t="shared" si="179"/>
        <v/>
      </c>
      <c r="I222" s="5" t="str">
        <f t="shared" si="180"/>
        <v/>
      </c>
      <c r="J222" s="5" t="str">
        <f t="shared" si="181"/>
        <v/>
      </c>
      <c r="K222" s="5" t="str">
        <f t="shared" si="182"/>
        <v/>
      </c>
      <c r="L222" s="5" t="str">
        <f t="shared" si="190"/>
        <v/>
      </c>
      <c r="M222" s="5" t="str">
        <f t="shared" si="191"/>
        <v/>
      </c>
      <c r="N222" s="5" t="str">
        <f t="shared" si="192"/>
        <v/>
      </c>
      <c r="O222" s="13" t="str">
        <f t="shared" si="193"/>
        <v/>
      </c>
      <c r="Q222" t="str">
        <f t="shared" si="204"/>
        <v/>
      </c>
      <c r="R222" t="str">
        <f t="shared" si="205"/>
        <v/>
      </c>
      <c r="S222" t="str">
        <f t="shared" si="183"/>
        <v/>
      </c>
      <c r="T222" s="5" t="str">
        <f t="shared" ref="T222:T279" si="208">IFERROR(IF($Q222="", "",IF(X221&lt;=0, 0, X221)), 0)</f>
        <v/>
      </c>
      <c r="U222" s="5" t="str">
        <f t="shared" si="184"/>
        <v/>
      </c>
      <c r="V222" s="5" t="str">
        <f t="shared" si="200"/>
        <v/>
      </c>
      <c r="W222" s="5" t="str">
        <f t="shared" ref="W222:W279" si="209">IFERROR(IF($Q222="", "", IF(T222&lt;=0, 0, V222-U222)), 0)</f>
        <v/>
      </c>
      <c r="X222" s="5" t="str">
        <f t="shared" ref="X222:X279" si="210">IFERROR(IF($Q222="", "", IF(T222&lt;=0, 0, MAX(0, T222-W222))), 0)</f>
        <v/>
      </c>
      <c r="Y222" s="5" t="str">
        <f t="shared" si="194"/>
        <v/>
      </c>
      <c r="Z222" s="5" t="str">
        <f t="shared" si="195"/>
        <v/>
      </c>
      <c r="AA222" s="13" t="str">
        <f t="shared" si="196"/>
        <v/>
      </c>
      <c r="AC222" t="str">
        <f t="shared" si="206"/>
        <v/>
      </c>
      <c r="AD222" t="str">
        <f t="shared" si="207"/>
        <v/>
      </c>
      <c r="AE222" t="str">
        <f t="shared" si="186"/>
        <v/>
      </c>
      <c r="AF222" s="5" t="str">
        <f t="shared" ref="AF222:AF279" si="211">IFERROR(IF($AC222="", "",IF(AJ221&lt;=0, 0, AJ221)), 0)</f>
        <v/>
      </c>
      <c r="AG222" s="5" t="str">
        <f t="shared" si="187"/>
        <v/>
      </c>
      <c r="AH222" s="5" t="str">
        <f t="shared" si="201"/>
        <v/>
      </c>
      <c r="AI222" s="5" t="str">
        <f t="shared" ref="AI222:AI279" si="212">IFERROR(IF($AC222="", "", IF(AF222&lt;=0, 0, AH222-AG222)), 0)</f>
        <v/>
      </c>
      <c r="AJ222" s="5" t="str">
        <f t="shared" ref="AJ222:AJ279" si="213">IFERROR(IF($AC222="", "", IF(AF222&lt;=0, 0, MAX(0, AF222-AI222))), 0)</f>
        <v/>
      </c>
      <c r="AK222" s="5" t="str">
        <f t="shared" si="197"/>
        <v/>
      </c>
      <c r="AL222" s="5" t="str">
        <f t="shared" si="198"/>
        <v/>
      </c>
      <c r="AM222" s="13" t="str">
        <f t="shared" si="199"/>
        <v/>
      </c>
    </row>
    <row r="223" spans="1:39" x14ac:dyDescent="0.35">
      <c r="A223" t="str">
        <f t="shared" si="202"/>
        <v/>
      </c>
      <c r="B223" t="str">
        <f t="shared" si="203"/>
        <v/>
      </c>
      <c r="C223" t="str">
        <f t="shared" si="176"/>
        <v/>
      </c>
      <c r="D223" s="5" t="str">
        <f t="shared" si="189"/>
        <v/>
      </c>
      <c r="E223" s="5" t="str">
        <f>IFERROR(IF($A223="", "", _xlfn.XLOOKUP(A223,Offset!A:A,Offset!I:I, 0)), 0)</f>
        <v/>
      </c>
      <c r="F223" s="5" t="str">
        <f t="shared" si="177"/>
        <v/>
      </c>
      <c r="G223" s="5" t="str">
        <f t="shared" si="178"/>
        <v/>
      </c>
      <c r="H223" s="5" t="str">
        <f t="shared" si="179"/>
        <v/>
      </c>
      <c r="I223" s="5" t="str">
        <f t="shared" si="180"/>
        <v/>
      </c>
      <c r="J223" s="5" t="str">
        <f t="shared" si="181"/>
        <v/>
      </c>
      <c r="K223" s="5" t="str">
        <f t="shared" si="182"/>
        <v/>
      </c>
      <c r="L223" s="5" t="str">
        <f t="shared" si="190"/>
        <v/>
      </c>
      <c r="M223" s="5" t="str">
        <f t="shared" si="191"/>
        <v/>
      </c>
      <c r="N223" s="5" t="str">
        <f t="shared" si="192"/>
        <v/>
      </c>
      <c r="O223" s="13" t="str">
        <f t="shared" si="193"/>
        <v/>
      </c>
      <c r="Q223" t="str">
        <f t="shared" si="204"/>
        <v/>
      </c>
      <c r="R223" t="str">
        <f t="shared" si="205"/>
        <v/>
      </c>
      <c r="S223" t="str">
        <f t="shared" si="183"/>
        <v/>
      </c>
      <c r="T223" s="5" t="str">
        <f t="shared" si="208"/>
        <v/>
      </c>
      <c r="U223" s="5" t="str">
        <f t="shared" si="184"/>
        <v/>
      </c>
      <c r="V223" s="5" t="str">
        <f t="shared" si="200"/>
        <v/>
      </c>
      <c r="W223" s="5" t="str">
        <f t="shared" si="209"/>
        <v/>
      </c>
      <c r="X223" s="5" t="str">
        <f t="shared" si="210"/>
        <v/>
      </c>
      <c r="Y223" s="5" t="str">
        <f t="shared" si="194"/>
        <v/>
      </c>
      <c r="Z223" s="5" t="str">
        <f t="shared" si="195"/>
        <v/>
      </c>
      <c r="AA223" s="13" t="str">
        <f t="shared" si="196"/>
        <v/>
      </c>
      <c r="AC223" t="str">
        <f t="shared" si="206"/>
        <v/>
      </c>
      <c r="AD223" t="str">
        <f t="shared" si="207"/>
        <v/>
      </c>
      <c r="AE223" t="str">
        <f t="shared" si="186"/>
        <v/>
      </c>
      <c r="AF223" s="5" t="str">
        <f t="shared" si="211"/>
        <v/>
      </c>
      <c r="AG223" s="5" t="str">
        <f t="shared" si="187"/>
        <v/>
      </c>
      <c r="AH223" s="5" t="str">
        <f t="shared" si="201"/>
        <v/>
      </c>
      <c r="AI223" s="5" t="str">
        <f t="shared" si="212"/>
        <v/>
      </c>
      <c r="AJ223" s="5" t="str">
        <f t="shared" si="213"/>
        <v/>
      </c>
      <c r="AK223" s="5" t="str">
        <f t="shared" si="197"/>
        <v/>
      </c>
      <c r="AL223" s="5" t="str">
        <f t="shared" si="198"/>
        <v/>
      </c>
      <c r="AM223" s="13" t="str">
        <f t="shared" si="199"/>
        <v/>
      </c>
    </row>
    <row r="224" spans="1:39" x14ac:dyDescent="0.35">
      <c r="A224" t="str">
        <f t="shared" si="202"/>
        <v/>
      </c>
      <c r="B224" t="str">
        <f t="shared" si="203"/>
        <v/>
      </c>
      <c r="C224" t="str">
        <f t="shared" si="176"/>
        <v/>
      </c>
      <c r="D224" s="5" t="str">
        <f t="shared" si="189"/>
        <v/>
      </c>
      <c r="E224" s="5" t="str">
        <f>IFERROR(IF($A224="", "", _xlfn.XLOOKUP(A224,Offset!A:A,Offset!I:I, 0)), 0)</f>
        <v/>
      </c>
      <c r="F224" s="5" t="str">
        <f t="shared" si="177"/>
        <v/>
      </c>
      <c r="G224" s="5" t="str">
        <f t="shared" si="178"/>
        <v/>
      </c>
      <c r="H224" s="5" t="str">
        <f t="shared" si="179"/>
        <v/>
      </c>
      <c r="I224" s="5" t="str">
        <f t="shared" si="180"/>
        <v/>
      </c>
      <c r="J224" s="5" t="str">
        <f t="shared" si="181"/>
        <v/>
      </c>
      <c r="K224" s="5" t="str">
        <f t="shared" si="182"/>
        <v/>
      </c>
      <c r="L224" s="5" t="str">
        <f t="shared" si="190"/>
        <v/>
      </c>
      <c r="M224" s="5" t="str">
        <f t="shared" si="191"/>
        <v/>
      </c>
      <c r="N224" s="5" t="str">
        <f t="shared" si="192"/>
        <v/>
      </c>
      <c r="O224" s="13" t="str">
        <f t="shared" si="193"/>
        <v/>
      </c>
      <c r="Q224" t="str">
        <f t="shared" si="204"/>
        <v/>
      </c>
      <c r="R224" t="str">
        <f t="shared" si="205"/>
        <v/>
      </c>
      <c r="S224" t="str">
        <f t="shared" si="183"/>
        <v/>
      </c>
      <c r="T224" s="5" t="str">
        <f t="shared" si="208"/>
        <v/>
      </c>
      <c r="U224" s="5" t="str">
        <f t="shared" si="184"/>
        <v/>
      </c>
      <c r="V224" s="5" t="str">
        <f t="shared" si="200"/>
        <v/>
      </c>
      <c r="W224" s="5" t="str">
        <f t="shared" si="209"/>
        <v/>
      </c>
      <c r="X224" s="5" t="str">
        <f t="shared" si="210"/>
        <v/>
      </c>
      <c r="Y224" s="5" t="str">
        <f t="shared" si="194"/>
        <v/>
      </c>
      <c r="Z224" s="5" t="str">
        <f t="shared" si="195"/>
        <v/>
      </c>
      <c r="AA224" s="13" t="str">
        <f t="shared" si="196"/>
        <v/>
      </c>
      <c r="AC224" t="str">
        <f t="shared" si="206"/>
        <v/>
      </c>
      <c r="AD224" t="str">
        <f t="shared" si="207"/>
        <v/>
      </c>
      <c r="AE224" t="str">
        <f t="shared" si="186"/>
        <v/>
      </c>
      <c r="AF224" s="5" t="str">
        <f t="shared" si="211"/>
        <v/>
      </c>
      <c r="AG224" s="5" t="str">
        <f t="shared" si="187"/>
        <v/>
      </c>
      <c r="AH224" s="5" t="str">
        <f t="shared" si="201"/>
        <v/>
      </c>
      <c r="AI224" s="5" t="str">
        <f t="shared" si="212"/>
        <v/>
      </c>
      <c r="AJ224" s="5" t="str">
        <f t="shared" si="213"/>
        <v/>
      </c>
      <c r="AK224" s="5" t="str">
        <f t="shared" si="197"/>
        <v/>
      </c>
      <c r="AL224" s="5" t="str">
        <f t="shared" si="198"/>
        <v/>
      </c>
      <c r="AM224" s="13" t="str">
        <f t="shared" si="199"/>
        <v/>
      </c>
    </row>
    <row r="225" spans="1:39" x14ac:dyDescent="0.35">
      <c r="A225" t="str">
        <f t="shared" si="202"/>
        <v/>
      </c>
      <c r="B225" t="str">
        <f t="shared" si="203"/>
        <v/>
      </c>
      <c r="C225" t="str">
        <f t="shared" si="176"/>
        <v/>
      </c>
      <c r="D225" s="5" t="str">
        <f t="shared" si="189"/>
        <v/>
      </c>
      <c r="E225" s="5" t="str">
        <f>IFERROR(IF($A225="", "", _xlfn.XLOOKUP(A225,Offset!A:A,Offset!I:I, 0)), 0)</f>
        <v/>
      </c>
      <c r="F225" s="5" t="str">
        <f t="shared" si="177"/>
        <v/>
      </c>
      <c r="G225" s="5" t="str">
        <f t="shared" si="178"/>
        <v/>
      </c>
      <c r="H225" s="5" t="str">
        <f t="shared" si="179"/>
        <v/>
      </c>
      <c r="I225" s="5" t="str">
        <f t="shared" si="180"/>
        <v/>
      </c>
      <c r="J225" s="5" t="str">
        <f t="shared" si="181"/>
        <v/>
      </c>
      <c r="K225" s="5" t="str">
        <f t="shared" si="182"/>
        <v/>
      </c>
      <c r="L225" s="5" t="str">
        <f t="shared" si="190"/>
        <v/>
      </c>
      <c r="M225" s="5" t="str">
        <f t="shared" si="191"/>
        <v/>
      </c>
      <c r="N225" s="5" t="str">
        <f t="shared" si="192"/>
        <v/>
      </c>
      <c r="O225" s="13" t="str">
        <f t="shared" si="193"/>
        <v/>
      </c>
      <c r="Q225" t="str">
        <f t="shared" si="204"/>
        <v/>
      </c>
      <c r="R225" t="str">
        <f t="shared" si="205"/>
        <v/>
      </c>
      <c r="S225" t="str">
        <f t="shared" si="183"/>
        <v/>
      </c>
      <c r="T225" s="5" t="str">
        <f t="shared" si="208"/>
        <v/>
      </c>
      <c r="U225" s="5" t="str">
        <f t="shared" si="184"/>
        <v/>
      </c>
      <c r="V225" s="5" t="str">
        <f t="shared" si="200"/>
        <v/>
      </c>
      <c r="W225" s="5" t="str">
        <f t="shared" si="209"/>
        <v/>
      </c>
      <c r="X225" s="5" t="str">
        <f t="shared" si="210"/>
        <v/>
      </c>
      <c r="Y225" s="5" t="str">
        <f t="shared" si="194"/>
        <v/>
      </c>
      <c r="Z225" s="5" t="str">
        <f t="shared" si="195"/>
        <v/>
      </c>
      <c r="AA225" s="13" t="str">
        <f t="shared" si="196"/>
        <v/>
      </c>
      <c r="AC225" t="str">
        <f t="shared" si="206"/>
        <v/>
      </c>
      <c r="AD225" t="str">
        <f t="shared" si="207"/>
        <v/>
      </c>
      <c r="AE225" t="str">
        <f t="shared" si="186"/>
        <v/>
      </c>
      <c r="AF225" s="5" t="str">
        <f t="shared" si="211"/>
        <v/>
      </c>
      <c r="AG225" s="5" t="str">
        <f t="shared" si="187"/>
        <v/>
      </c>
      <c r="AH225" s="5" t="str">
        <f t="shared" si="201"/>
        <v/>
      </c>
      <c r="AI225" s="5" t="str">
        <f t="shared" si="212"/>
        <v/>
      </c>
      <c r="AJ225" s="5" t="str">
        <f t="shared" si="213"/>
        <v/>
      </c>
      <c r="AK225" s="5" t="str">
        <f t="shared" si="197"/>
        <v/>
      </c>
      <c r="AL225" s="5" t="str">
        <f t="shared" si="198"/>
        <v/>
      </c>
      <c r="AM225" s="13" t="str">
        <f t="shared" si="199"/>
        <v/>
      </c>
    </row>
    <row r="226" spans="1:39" x14ac:dyDescent="0.35">
      <c r="A226" t="str">
        <f t="shared" si="202"/>
        <v/>
      </c>
      <c r="B226" t="str">
        <f t="shared" si="203"/>
        <v/>
      </c>
      <c r="C226" t="str">
        <f t="shared" si="176"/>
        <v/>
      </c>
      <c r="D226" s="5" t="str">
        <f t="shared" si="189"/>
        <v/>
      </c>
      <c r="E226" s="5" t="str">
        <f>IFERROR(IF($A226="", "", _xlfn.XLOOKUP(A226,Offset!A:A,Offset!I:I, 0)), 0)</f>
        <v/>
      </c>
      <c r="F226" s="5" t="str">
        <f t="shared" si="177"/>
        <v/>
      </c>
      <c r="G226" s="5" t="str">
        <f t="shared" si="178"/>
        <v/>
      </c>
      <c r="H226" s="5" t="str">
        <f t="shared" si="179"/>
        <v/>
      </c>
      <c r="I226" s="5" t="str">
        <f t="shared" si="180"/>
        <v/>
      </c>
      <c r="J226" s="5" t="str">
        <f t="shared" si="181"/>
        <v/>
      </c>
      <c r="K226" s="5" t="str">
        <f t="shared" si="182"/>
        <v/>
      </c>
      <c r="L226" s="5" t="str">
        <f t="shared" si="190"/>
        <v/>
      </c>
      <c r="M226" s="5" t="str">
        <f t="shared" si="191"/>
        <v/>
      </c>
      <c r="N226" s="5" t="str">
        <f t="shared" si="192"/>
        <v/>
      </c>
      <c r="O226" s="13" t="str">
        <f t="shared" si="193"/>
        <v/>
      </c>
      <c r="Q226" t="str">
        <f t="shared" si="204"/>
        <v/>
      </c>
      <c r="R226" t="str">
        <f t="shared" si="205"/>
        <v/>
      </c>
      <c r="S226" t="str">
        <f t="shared" si="183"/>
        <v/>
      </c>
      <c r="T226" s="5" t="str">
        <f t="shared" si="208"/>
        <v/>
      </c>
      <c r="U226" s="5" t="str">
        <f t="shared" si="184"/>
        <v/>
      </c>
      <c r="V226" s="5" t="str">
        <f t="shared" si="200"/>
        <v/>
      </c>
      <c r="W226" s="5" t="str">
        <f t="shared" si="209"/>
        <v/>
      </c>
      <c r="X226" s="5" t="str">
        <f t="shared" si="210"/>
        <v/>
      </c>
      <c r="Y226" s="5" t="str">
        <f t="shared" si="194"/>
        <v/>
      </c>
      <c r="Z226" s="5" t="str">
        <f t="shared" si="195"/>
        <v/>
      </c>
      <c r="AA226" s="13" t="str">
        <f t="shared" si="196"/>
        <v/>
      </c>
      <c r="AC226" t="str">
        <f t="shared" si="206"/>
        <v/>
      </c>
      <c r="AD226" t="str">
        <f t="shared" si="207"/>
        <v/>
      </c>
      <c r="AE226" t="str">
        <f t="shared" si="186"/>
        <v/>
      </c>
      <c r="AF226" s="5" t="str">
        <f t="shared" si="211"/>
        <v/>
      </c>
      <c r="AG226" s="5" t="str">
        <f t="shared" si="187"/>
        <v/>
      </c>
      <c r="AH226" s="5" t="str">
        <f t="shared" si="201"/>
        <v/>
      </c>
      <c r="AI226" s="5" t="str">
        <f t="shared" si="212"/>
        <v/>
      </c>
      <c r="AJ226" s="5" t="str">
        <f t="shared" si="213"/>
        <v/>
      </c>
      <c r="AK226" s="5" t="str">
        <f t="shared" si="197"/>
        <v/>
      </c>
      <c r="AL226" s="5" t="str">
        <f t="shared" si="198"/>
        <v/>
      </c>
      <c r="AM226" s="13" t="str">
        <f t="shared" si="199"/>
        <v/>
      </c>
    </row>
    <row r="227" spans="1:39" x14ac:dyDescent="0.35">
      <c r="A227" t="str">
        <f t="shared" si="202"/>
        <v/>
      </c>
      <c r="B227" t="str">
        <f t="shared" si="203"/>
        <v/>
      </c>
      <c r="C227" t="str">
        <f t="shared" si="176"/>
        <v/>
      </c>
      <c r="D227" s="5" t="str">
        <f t="shared" si="189"/>
        <v/>
      </c>
      <c r="E227" s="5" t="str">
        <f>IFERROR(IF($A227="", "", _xlfn.XLOOKUP(A227,Offset!A:A,Offset!I:I, 0)), 0)</f>
        <v/>
      </c>
      <c r="F227" s="5" t="str">
        <f t="shared" si="177"/>
        <v/>
      </c>
      <c r="G227" s="5" t="str">
        <f t="shared" si="178"/>
        <v/>
      </c>
      <c r="H227" s="5" t="str">
        <f t="shared" si="179"/>
        <v/>
      </c>
      <c r="I227" s="5" t="str">
        <f t="shared" si="180"/>
        <v/>
      </c>
      <c r="J227" s="5" t="str">
        <f t="shared" si="181"/>
        <v/>
      </c>
      <c r="K227" s="5" t="str">
        <f t="shared" si="182"/>
        <v/>
      </c>
      <c r="L227" s="5" t="str">
        <f t="shared" si="190"/>
        <v/>
      </c>
      <c r="M227" s="5" t="str">
        <f t="shared" si="191"/>
        <v/>
      </c>
      <c r="N227" s="5" t="str">
        <f t="shared" si="192"/>
        <v/>
      </c>
      <c r="O227" s="13" t="str">
        <f t="shared" si="193"/>
        <v/>
      </c>
      <c r="Q227" t="str">
        <f t="shared" si="204"/>
        <v/>
      </c>
      <c r="R227" t="str">
        <f t="shared" si="205"/>
        <v/>
      </c>
      <c r="S227" t="str">
        <f t="shared" si="183"/>
        <v/>
      </c>
      <c r="T227" s="5" t="str">
        <f t="shared" si="208"/>
        <v/>
      </c>
      <c r="U227" s="5" t="str">
        <f t="shared" si="184"/>
        <v/>
      </c>
      <c r="V227" s="5" t="str">
        <f t="shared" si="200"/>
        <v/>
      </c>
      <c r="W227" s="5" t="str">
        <f t="shared" si="209"/>
        <v/>
      </c>
      <c r="X227" s="5" t="str">
        <f t="shared" si="210"/>
        <v/>
      </c>
      <c r="Y227" s="5" t="str">
        <f t="shared" si="194"/>
        <v/>
      </c>
      <c r="Z227" s="5" t="str">
        <f t="shared" si="195"/>
        <v/>
      </c>
      <c r="AA227" s="13" t="str">
        <f t="shared" si="196"/>
        <v/>
      </c>
      <c r="AC227" t="str">
        <f t="shared" si="206"/>
        <v/>
      </c>
      <c r="AD227" t="str">
        <f t="shared" si="207"/>
        <v/>
      </c>
      <c r="AE227" t="str">
        <f t="shared" si="186"/>
        <v/>
      </c>
      <c r="AF227" s="5" t="str">
        <f t="shared" si="211"/>
        <v/>
      </c>
      <c r="AG227" s="5" t="str">
        <f t="shared" si="187"/>
        <v/>
      </c>
      <c r="AH227" s="5" t="str">
        <f t="shared" si="201"/>
        <v/>
      </c>
      <c r="AI227" s="5" t="str">
        <f t="shared" si="212"/>
        <v/>
      </c>
      <c r="AJ227" s="5" t="str">
        <f t="shared" si="213"/>
        <v/>
      </c>
      <c r="AK227" s="5" t="str">
        <f t="shared" si="197"/>
        <v/>
      </c>
      <c r="AL227" s="5" t="str">
        <f t="shared" si="198"/>
        <v/>
      </c>
      <c r="AM227" s="13" t="str">
        <f t="shared" si="199"/>
        <v/>
      </c>
    </row>
    <row r="228" spans="1:39" x14ac:dyDescent="0.35">
      <c r="A228" t="str">
        <f t="shared" si="202"/>
        <v/>
      </c>
      <c r="B228" t="str">
        <f t="shared" si="203"/>
        <v/>
      </c>
      <c r="C228" t="str">
        <f t="shared" si="176"/>
        <v/>
      </c>
      <c r="D228" s="5" t="str">
        <f t="shared" si="189"/>
        <v/>
      </c>
      <c r="E228" s="5" t="str">
        <f>IFERROR(IF($A228="", "", _xlfn.XLOOKUP(A228,Offset!A:A,Offset!I:I, 0)), 0)</f>
        <v/>
      </c>
      <c r="F228" s="5" t="str">
        <f t="shared" si="177"/>
        <v/>
      </c>
      <c r="G228" s="5" t="str">
        <f t="shared" si="178"/>
        <v/>
      </c>
      <c r="H228" s="5" t="str">
        <f t="shared" si="179"/>
        <v/>
      </c>
      <c r="I228" s="5" t="str">
        <f t="shared" si="180"/>
        <v/>
      </c>
      <c r="J228" s="5" t="str">
        <f t="shared" si="181"/>
        <v/>
      </c>
      <c r="K228" s="5" t="str">
        <f t="shared" si="182"/>
        <v/>
      </c>
      <c r="L228" s="5" t="str">
        <f t="shared" si="190"/>
        <v/>
      </c>
      <c r="M228" s="5" t="str">
        <f t="shared" si="191"/>
        <v/>
      </c>
      <c r="N228" s="5" t="str">
        <f t="shared" si="192"/>
        <v/>
      </c>
      <c r="O228" s="13" t="str">
        <f t="shared" si="193"/>
        <v/>
      </c>
      <c r="Q228" t="str">
        <f t="shared" si="204"/>
        <v/>
      </c>
      <c r="R228" t="str">
        <f t="shared" si="205"/>
        <v/>
      </c>
      <c r="S228" t="str">
        <f t="shared" si="183"/>
        <v/>
      </c>
      <c r="T228" s="5" t="str">
        <f t="shared" si="208"/>
        <v/>
      </c>
      <c r="U228" s="5" t="str">
        <f t="shared" si="184"/>
        <v/>
      </c>
      <c r="V228" s="5" t="str">
        <f t="shared" si="200"/>
        <v/>
      </c>
      <c r="W228" s="5" t="str">
        <f t="shared" si="209"/>
        <v/>
      </c>
      <c r="X228" s="5" t="str">
        <f t="shared" si="210"/>
        <v/>
      </c>
      <c r="Y228" s="5" t="str">
        <f t="shared" si="194"/>
        <v/>
      </c>
      <c r="Z228" s="5" t="str">
        <f t="shared" si="195"/>
        <v/>
      </c>
      <c r="AA228" s="13" t="str">
        <f t="shared" si="196"/>
        <v/>
      </c>
      <c r="AC228" t="str">
        <f t="shared" si="206"/>
        <v/>
      </c>
      <c r="AD228" t="str">
        <f t="shared" si="207"/>
        <v/>
      </c>
      <c r="AE228" t="str">
        <f t="shared" si="186"/>
        <v/>
      </c>
      <c r="AF228" s="5" t="str">
        <f t="shared" si="211"/>
        <v/>
      </c>
      <c r="AG228" s="5" t="str">
        <f t="shared" si="187"/>
        <v/>
      </c>
      <c r="AH228" s="5" t="str">
        <f t="shared" si="201"/>
        <v/>
      </c>
      <c r="AI228" s="5" t="str">
        <f t="shared" si="212"/>
        <v/>
      </c>
      <c r="AJ228" s="5" t="str">
        <f t="shared" si="213"/>
        <v/>
      </c>
      <c r="AK228" s="5" t="str">
        <f t="shared" si="197"/>
        <v/>
      </c>
      <c r="AL228" s="5" t="str">
        <f t="shared" si="198"/>
        <v/>
      </c>
      <c r="AM228" s="13" t="str">
        <f t="shared" si="199"/>
        <v/>
      </c>
    </row>
    <row r="229" spans="1:39" x14ac:dyDescent="0.35">
      <c r="A229" t="str">
        <f t="shared" si="202"/>
        <v/>
      </c>
      <c r="B229" t="str">
        <f t="shared" si="203"/>
        <v/>
      </c>
      <c r="C229" t="str">
        <f t="shared" si="176"/>
        <v/>
      </c>
      <c r="D229" s="5" t="str">
        <f t="shared" si="189"/>
        <v/>
      </c>
      <c r="E229" s="5" t="str">
        <f>IFERROR(IF($A229="", "", _xlfn.XLOOKUP(A229,Offset!A:A,Offset!I:I, 0)), 0)</f>
        <v/>
      </c>
      <c r="F229" s="5" t="str">
        <f t="shared" si="177"/>
        <v/>
      </c>
      <c r="G229" s="5" t="str">
        <f t="shared" si="178"/>
        <v/>
      </c>
      <c r="H229" s="5" t="str">
        <f t="shared" si="179"/>
        <v/>
      </c>
      <c r="I229" s="5" t="str">
        <f t="shared" si="180"/>
        <v/>
      </c>
      <c r="J229" s="5" t="str">
        <f t="shared" si="181"/>
        <v/>
      </c>
      <c r="K229" s="5" t="str">
        <f t="shared" si="182"/>
        <v/>
      </c>
      <c r="L229" s="5" t="str">
        <f t="shared" si="190"/>
        <v/>
      </c>
      <c r="M229" s="5" t="str">
        <f t="shared" si="191"/>
        <v/>
      </c>
      <c r="N229" s="5" t="str">
        <f t="shared" si="192"/>
        <v/>
      </c>
      <c r="O229" s="13" t="str">
        <f t="shared" si="193"/>
        <v/>
      </c>
      <c r="Q229" t="str">
        <f t="shared" si="204"/>
        <v/>
      </c>
      <c r="R229" t="str">
        <f t="shared" si="205"/>
        <v/>
      </c>
      <c r="S229" t="str">
        <f t="shared" si="183"/>
        <v/>
      </c>
      <c r="T229" s="5" t="str">
        <f t="shared" si="208"/>
        <v/>
      </c>
      <c r="U229" s="5" t="str">
        <f t="shared" si="184"/>
        <v/>
      </c>
      <c r="V229" s="5" t="str">
        <f t="shared" si="200"/>
        <v/>
      </c>
      <c r="W229" s="5" t="str">
        <f t="shared" si="209"/>
        <v/>
      </c>
      <c r="X229" s="5" t="str">
        <f t="shared" si="210"/>
        <v/>
      </c>
      <c r="Y229" s="5" t="str">
        <f t="shared" si="194"/>
        <v/>
      </c>
      <c r="Z229" s="5" t="str">
        <f t="shared" si="195"/>
        <v/>
      </c>
      <c r="AA229" s="13" t="str">
        <f t="shared" si="196"/>
        <v/>
      </c>
      <c r="AC229" t="str">
        <f t="shared" si="206"/>
        <v/>
      </c>
      <c r="AD229" t="str">
        <f t="shared" si="207"/>
        <v/>
      </c>
      <c r="AE229" t="str">
        <f t="shared" si="186"/>
        <v/>
      </c>
      <c r="AF229" s="5" t="str">
        <f t="shared" si="211"/>
        <v/>
      </c>
      <c r="AG229" s="5" t="str">
        <f t="shared" si="187"/>
        <v/>
      </c>
      <c r="AH229" s="5" t="str">
        <f t="shared" si="201"/>
        <v/>
      </c>
      <c r="AI229" s="5" t="str">
        <f t="shared" si="212"/>
        <v/>
      </c>
      <c r="AJ229" s="5" t="str">
        <f t="shared" si="213"/>
        <v/>
      </c>
      <c r="AK229" s="5" t="str">
        <f t="shared" si="197"/>
        <v/>
      </c>
      <c r="AL229" s="5" t="str">
        <f t="shared" si="198"/>
        <v/>
      </c>
      <c r="AM229" s="13" t="str">
        <f t="shared" si="199"/>
        <v/>
      </c>
    </row>
    <row r="230" spans="1:39" x14ac:dyDescent="0.35">
      <c r="A230" t="str">
        <f t="shared" si="202"/>
        <v/>
      </c>
      <c r="B230" t="str">
        <f t="shared" si="203"/>
        <v/>
      </c>
      <c r="C230" t="str">
        <f t="shared" si="176"/>
        <v/>
      </c>
      <c r="D230" s="5" t="str">
        <f t="shared" si="189"/>
        <v/>
      </c>
      <c r="E230" s="5" t="str">
        <f>IFERROR(IF($A230="", "", _xlfn.XLOOKUP(A230,Offset!A:A,Offset!I:I, 0)), 0)</f>
        <v/>
      </c>
      <c r="F230" s="5" t="str">
        <f t="shared" si="177"/>
        <v/>
      </c>
      <c r="G230" s="5" t="str">
        <f t="shared" si="178"/>
        <v/>
      </c>
      <c r="H230" s="5" t="str">
        <f t="shared" si="179"/>
        <v/>
      </c>
      <c r="I230" s="5" t="str">
        <f t="shared" si="180"/>
        <v/>
      </c>
      <c r="J230" s="5" t="str">
        <f t="shared" si="181"/>
        <v/>
      </c>
      <c r="K230" s="5" t="str">
        <f t="shared" si="182"/>
        <v/>
      </c>
      <c r="L230" s="5" t="str">
        <f t="shared" si="190"/>
        <v/>
      </c>
      <c r="M230" s="5" t="str">
        <f t="shared" si="191"/>
        <v/>
      </c>
      <c r="N230" s="5" t="str">
        <f t="shared" si="192"/>
        <v/>
      </c>
      <c r="O230" s="13" t="str">
        <f t="shared" si="193"/>
        <v/>
      </c>
      <c r="Q230" t="str">
        <f t="shared" si="204"/>
        <v/>
      </c>
      <c r="R230" t="str">
        <f t="shared" si="205"/>
        <v/>
      </c>
      <c r="S230" t="str">
        <f t="shared" si="183"/>
        <v/>
      </c>
      <c r="T230" s="5" t="str">
        <f t="shared" si="208"/>
        <v/>
      </c>
      <c r="U230" s="5" t="str">
        <f t="shared" si="184"/>
        <v/>
      </c>
      <c r="V230" s="5" t="str">
        <f t="shared" si="200"/>
        <v/>
      </c>
      <c r="W230" s="5" t="str">
        <f t="shared" si="209"/>
        <v/>
      </c>
      <c r="X230" s="5" t="str">
        <f t="shared" si="210"/>
        <v/>
      </c>
      <c r="Y230" s="5" t="str">
        <f t="shared" si="194"/>
        <v/>
      </c>
      <c r="Z230" s="5" t="str">
        <f t="shared" si="195"/>
        <v/>
      </c>
      <c r="AA230" s="13" t="str">
        <f t="shared" si="196"/>
        <v/>
      </c>
      <c r="AC230" t="str">
        <f t="shared" si="206"/>
        <v/>
      </c>
      <c r="AD230" t="str">
        <f t="shared" si="207"/>
        <v/>
      </c>
      <c r="AE230" t="str">
        <f t="shared" si="186"/>
        <v/>
      </c>
      <c r="AF230" s="5" t="str">
        <f t="shared" si="211"/>
        <v/>
      </c>
      <c r="AG230" s="5" t="str">
        <f t="shared" si="187"/>
        <v/>
      </c>
      <c r="AH230" s="5" t="str">
        <f t="shared" si="201"/>
        <v/>
      </c>
      <c r="AI230" s="5" t="str">
        <f t="shared" si="212"/>
        <v/>
      </c>
      <c r="AJ230" s="5" t="str">
        <f t="shared" si="213"/>
        <v/>
      </c>
      <c r="AK230" s="5" t="str">
        <f t="shared" si="197"/>
        <v/>
      </c>
      <c r="AL230" s="5" t="str">
        <f t="shared" si="198"/>
        <v/>
      </c>
      <c r="AM230" s="13" t="str">
        <f t="shared" si="199"/>
        <v/>
      </c>
    </row>
    <row r="231" spans="1:39" x14ac:dyDescent="0.35">
      <c r="A231" t="str">
        <f t="shared" si="202"/>
        <v/>
      </c>
      <c r="B231" t="str">
        <f t="shared" si="203"/>
        <v/>
      </c>
      <c r="C231" t="str">
        <f t="shared" si="176"/>
        <v/>
      </c>
      <c r="D231" s="5" t="str">
        <f t="shared" si="189"/>
        <v/>
      </c>
      <c r="E231" s="5" t="str">
        <f>IFERROR(IF($A231="", "", _xlfn.XLOOKUP(A231,Offset!A:A,Offset!I:I, 0)), 0)</f>
        <v/>
      </c>
      <c r="F231" s="5" t="str">
        <f t="shared" si="177"/>
        <v/>
      </c>
      <c r="G231" s="5" t="str">
        <f t="shared" si="178"/>
        <v/>
      </c>
      <c r="H231" s="5" t="str">
        <f t="shared" si="179"/>
        <v/>
      </c>
      <c r="I231" s="5" t="str">
        <f t="shared" si="180"/>
        <v/>
      </c>
      <c r="J231" s="5" t="str">
        <f t="shared" si="181"/>
        <v/>
      </c>
      <c r="K231" s="5" t="str">
        <f t="shared" si="182"/>
        <v/>
      </c>
      <c r="L231" s="5" t="str">
        <f t="shared" si="190"/>
        <v/>
      </c>
      <c r="M231" s="5" t="str">
        <f t="shared" si="191"/>
        <v/>
      </c>
      <c r="N231" s="5" t="str">
        <f t="shared" si="192"/>
        <v/>
      </c>
      <c r="O231" s="13" t="str">
        <f t="shared" si="193"/>
        <v/>
      </c>
      <c r="Q231" t="str">
        <f t="shared" si="204"/>
        <v/>
      </c>
      <c r="R231" t="str">
        <f t="shared" si="205"/>
        <v/>
      </c>
      <c r="S231" t="str">
        <f t="shared" si="183"/>
        <v/>
      </c>
      <c r="T231" s="5" t="str">
        <f t="shared" si="208"/>
        <v/>
      </c>
      <c r="U231" s="5" t="str">
        <f t="shared" si="184"/>
        <v/>
      </c>
      <c r="V231" s="5" t="str">
        <f t="shared" si="200"/>
        <v/>
      </c>
      <c r="W231" s="5" t="str">
        <f t="shared" si="209"/>
        <v/>
      </c>
      <c r="X231" s="5" t="str">
        <f t="shared" si="210"/>
        <v/>
      </c>
      <c r="Y231" s="5" t="str">
        <f t="shared" si="194"/>
        <v/>
      </c>
      <c r="Z231" s="5" t="str">
        <f t="shared" si="195"/>
        <v/>
      </c>
      <c r="AA231" s="13" t="str">
        <f t="shared" si="196"/>
        <v/>
      </c>
      <c r="AC231" t="str">
        <f t="shared" si="206"/>
        <v/>
      </c>
      <c r="AD231" t="str">
        <f t="shared" si="207"/>
        <v/>
      </c>
      <c r="AE231" t="str">
        <f t="shared" si="186"/>
        <v/>
      </c>
      <c r="AF231" s="5" t="str">
        <f t="shared" si="211"/>
        <v/>
      </c>
      <c r="AG231" s="5" t="str">
        <f t="shared" si="187"/>
        <v/>
      </c>
      <c r="AH231" s="5" t="str">
        <f t="shared" si="201"/>
        <v/>
      </c>
      <c r="AI231" s="5" t="str">
        <f t="shared" si="212"/>
        <v/>
      </c>
      <c r="AJ231" s="5" t="str">
        <f t="shared" si="213"/>
        <v/>
      </c>
      <c r="AK231" s="5" t="str">
        <f t="shared" si="197"/>
        <v/>
      </c>
      <c r="AL231" s="5" t="str">
        <f t="shared" si="198"/>
        <v/>
      </c>
      <c r="AM231" s="13" t="str">
        <f t="shared" si="199"/>
        <v/>
      </c>
    </row>
    <row r="232" spans="1:39" x14ac:dyDescent="0.35">
      <c r="A232" t="str">
        <f t="shared" si="202"/>
        <v/>
      </c>
      <c r="B232" t="str">
        <f t="shared" si="203"/>
        <v/>
      </c>
      <c r="C232" t="str">
        <f t="shared" si="176"/>
        <v/>
      </c>
      <c r="D232" s="5" t="str">
        <f t="shared" si="189"/>
        <v/>
      </c>
      <c r="E232" s="5" t="str">
        <f>IFERROR(IF($A232="", "", _xlfn.XLOOKUP(A232,Offset!A:A,Offset!I:I, 0)), 0)</f>
        <v/>
      </c>
      <c r="F232" s="5" t="str">
        <f t="shared" si="177"/>
        <v/>
      </c>
      <c r="G232" s="5" t="str">
        <f t="shared" si="178"/>
        <v/>
      </c>
      <c r="H232" s="5" t="str">
        <f t="shared" si="179"/>
        <v/>
      </c>
      <c r="I232" s="5" t="str">
        <f t="shared" si="180"/>
        <v/>
      </c>
      <c r="J232" s="5" t="str">
        <f t="shared" si="181"/>
        <v/>
      </c>
      <c r="K232" s="5" t="str">
        <f t="shared" si="182"/>
        <v/>
      </c>
      <c r="L232" s="5" t="str">
        <f t="shared" si="190"/>
        <v/>
      </c>
      <c r="M232" s="5" t="str">
        <f t="shared" si="191"/>
        <v/>
      </c>
      <c r="N232" s="5" t="str">
        <f t="shared" si="192"/>
        <v/>
      </c>
      <c r="O232" s="13" t="str">
        <f t="shared" si="193"/>
        <v/>
      </c>
      <c r="Q232" t="str">
        <f t="shared" si="204"/>
        <v/>
      </c>
      <c r="R232" t="str">
        <f t="shared" si="205"/>
        <v/>
      </c>
      <c r="S232" t="str">
        <f t="shared" si="183"/>
        <v/>
      </c>
      <c r="T232" s="5" t="str">
        <f t="shared" si="208"/>
        <v/>
      </c>
      <c r="U232" s="5" t="str">
        <f t="shared" si="184"/>
        <v/>
      </c>
      <c r="V232" s="5" t="str">
        <f t="shared" si="200"/>
        <v/>
      </c>
      <c r="W232" s="5" t="str">
        <f t="shared" si="209"/>
        <v/>
      </c>
      <c r="X232" s="5" t="str">
        <f t="shared" si="210"/>
        <v/>
      </c>
      <c r="Y232" s="5" t="str">
        <f t="shared" si="194"/>
        <v/>
      </c>
      <c r="Z232" s="5" t="str">
        <f t="shared" si="195"/>
        <v/>
      </c>
      <c r="AA232" s="13" t="str">
        <f t="shared" si="196"/>
        <v/>
      </c>
      <c r="AC232" t="str">
        <f t="shared" si="206"/>
        <v/>
      </c>
      <c r="AD232" t="str">
        <f t="shared" si="207"/>
        <v/>
      </c>
      <c r="AE232" t="str">
        <f t="shared" si="186"/>
        <v/>
      </c>
      <c r="AF232" s="5" t="str">
        <f t="shared" si="211"/>
        <v/>
      </c>
      <c r="AG232" s="5" t="str">
        <f t="shared" si="187"/>
        <v/>
      </c>
      <c r="AH232" s="5" t="str">
        <f t="shared" si="201"/>
        <v/>
      </c>
      <c r="AI232" s="5" t="str">
        <f t="shared" si="212"/>
        <v/>
      </c>
      <c r="AJ232" s="5" t="str">
        <f t="shared" si="213"/>
        <v/>
      </c>
      <c r="AK232" s="5" t="str">
        <f t="shared" si="197"/>
        <v/>
      </c>
      <c r="AL232" s="5" t="str">
        <f t="shared" si="198"/>
        <v/>
      </c>
      <c r="AM232" s="13" t="str">
        <f t="shared" si="199"/>
        <v/>
      </c>
    </row>
    <row r="233" spans="1:39" x14ac:dyDescent="0.35">
      <c r="A233" t="str">
        <f t="shared" si="202"/>
        <v/>
      </c>
      <c r="B233" t="str">
        <f t="shared" si="203"/>
        <v/>
      </c>
      <c r="C233" t="str">
        <f t="shared" si="176"/>
        <v/>
      </c>
      <c r="D233" s="5" t="str">
        <f t="shared" si="189"/>
        <v/>
      </c>
      <c r="E233" s="5" t="str">
        <f>IFERROR(IF($A233="", "", _xlfn.XLOOKUP(A233,Offset!A:A,Offset!I:I, 0)), 0)</f>
        <v/>
      </c>
      <c r="F233" s="5" t="str">
        <f t="shared" si="177"/>
        <v/>
      </c>
      <c r="G233" s="5" t="str">
        <f t="shared" si="178"/>
        <v/>
      </c>
      <c r="H233" s="5" t="str">
        <f t="shared" si="179"/>
        <v/>
      </c>
      <c r="I233" s="5" t="str">
        <f t="shared" si="180"/>
        <v/>
      </c>
      <c r="J233" s="5" t="str">
        <f t="shared" si="181"/>
        <v/>
      </c>
      <c r="K233" s="5" t="str">
        <f t="shared" si="182"/>
        <v/>
      </c>
      <c r="L233" s="5" t="str">
        <f t="shared" si="190"/>
        <v/>
      </c>
      <c r="M233" s="5" t="str">
        <f t="shared" si="191"/>
        <v/>
      </c>
      <c r="N233" s="5" t="str">
        <f t="shared" si="192"/>
        <v/>
      </c>
      <c r="O233" s="13" t="str">
        <f t="shared" si="193"/>
        <v/>
      </c>
      <c r="Q233" t="str">
        <f t="shared" si="204"/>
        <v/>
      </c>
      <c r="R233" t="str">
        <f t="shared" si="205"/>
        <v/>
      </c>
      <c r="S233" t="str">
        <f t="shared" si="183"/>
        <v/>
      </c>
      <c r="T233" s="5" t="str">
        <f t="shared" si="208"/>
        <v/>
      </c>
      <c r="U233" s="5" t="str">
        <f t="shared" si="184"/>
        <v/>
      </c>
      <c r="V233" s="5" t="str">
        <f t="shared" si="200"/>
        <v/>
      </c>
      <c r="W233" s="5" t="str">
        <f t="shared" si="209"/>
        <v/>
      </c>
      <c r="X233" s="5" t="str">
        <f t="shared" si="210"/>
        <v/>
      </c>
      <c r="Y233" s="5" t="str">
        <f t="shared" si="194"/>
        <v/>
      </c>
      <c r="Z233" s="5" t="str">
        <f t="shared" si="195"/>
        <v/>
      </c>
      <c r="AA233" s="13" t="str">
        <f t="shared" si="196"/>
        <v/>
      </c>
      <c r="AC233" t="str">
        <f t="shared" si="206"/>
        <v/>
      </c>
      <c r="AD233" t="str">
        <f t="shared" si="207"/>
        <v/>
      </c>
      <c r="AE233" t="str">
        <f t="shared" si="186"/>
        <v/>
      </c>
      <c r="AF233" s="5" t="str">
        <f t="shared" si="211"/>
        <v/>
      </c>
      <c r="AG233" s="5" t="str">
        <f t="shared" si="187"/>
        <v/>
      </c>
      <c r="AH233" s="5" t="str">
        <f t="shared" si="201"/>
        <v/>
      </c>
      <c r="AI233" s="5" t="str">
        <f t="shared" si="212"/>
        <v/>
      </c>
      <c r="AJ233" s="5" t="str">
        <f t="shared" si="213"/>
        <v/>
      </c>
      <c r="AK233" s="5" t="str">
        <f t="shared" si="197"/>
        <v/>
      </c>
      <c r="AL233" s="5" t="str">
        <f t="shared" si="198"/>
        <v/>
      </c>
      <c r="AM233" s="13" t="str">
        <f t="shared" si="199"/>
        <v/>
      </c>
    </row>
    <row r="234" spans="1:39" x14ac:dyDescent="0.35">
      <c r="A234" t="str">
        <f t="shared" si="202"/>
        <v/>
      </c>
      <c r="B234" t="str">
        <f t="shared" si="203"/>
        <v/>
      </c>
      <c r="C234" t="str">
        <f t="shared" si="176"/>
        <v/>
      </c>
      <c r="D234" s="5" t="str">
        <f t="shared" si="189"/>
        <v/>
      </c>
      <c r="E234" s="5" t="str">
        <f>IFERROR(IF($A234="", "", _xlfn.XLOOKUP(A234,Offset!A:A,Offset!I:I, 0)), 0)</f>
        <v/>
      </c>
      <c r="F234" s="5" t="str">
        <f t="shared" si="177"/>
        <v/>
      </c>
      <c r="G234" s="5" t="str">
        <f t="shared" si="178"/>
        <v/>
      </c>
      <c r="H234" s="5" t="str">
        <f t="shared" si="179"/>
        <v/>
      </c>
      <c r="I234" s="5" t="str">
        <f t="shared" si="180"/>
        <v/>
      </c>
      <c r="J234" s="5" t="str">
        <f t="shared" si="181"/>
        <v/>
      </c>
      <c r="K234" s="5" t="str">
        <f t="shared" si="182"/>
        <v/>
      </c>
      <c r="L234" s="5" t="str">
        <f t="shared" si="190"/>
        <v/>
      </c>
      <c r="M234" s="5" t="str">
        <f t="shared" si="191"/>
        <v/>
      </c>
      <c r="N234" s="5" t="str">
        <f t="shared" si="192"/>
        <v/>
      </c>
      <c r="O234" s="13" t="str">
        <f t="shared" si="193"/>
        <v/>
      </c>
      <c r="Q234" t="str">
        <f t="shared" si="204"/>
        <v/>
      </c>
      <c r="R234" t="str">
        <f t="shared" si="205"/>
        <v/>
      </c>
      <c r="S234" t="str">
        <f t="shared" si="183"/>
        <v/>
      </c>
      <c r="T234" s="5" t="str">
        <f t="shared" si="208"/>
        <v/>
      </c>
      <c r="U234" s="5" t="str">
        <f t="shared" si="184"/>
        <v/>
      </c>
      <c r="V234" s="5" t="str">
        <f t="shared" si="200"/>
        <v/>
      </c>
      <c r="W234" s="5" t="str">
        <f t="shared" si="209"/>
        <v/>
      </c>
      <c r="X234" s="5" t="str">
        <f t="shared" si="210"/>
        <v/>
      </c>
      <c r="Y234" s="5" t="str">
        <f t="shared" si="194"/>
        <v/>
      </c>
      <c r="Z234" s="5" t="str">
        <f t="shared" si="195"/>
        <v/>
      </c>
      <c r="AA234" s="13" t="str">
        <f t="shared" si="196"/>
        <v/>
      </c>
      <c r="AC234" t="str">
        <f t="shared" si="206"/>
        <v/>
      </c>
      <c r="AD234" t="str">
        <f t="shared" si="207"/>
        <v/>
      </c>
      <c r="AE234" t="str">
        <f t="shared" si="186"/>
        <v/>
      </c>
      <c r="AF234" s="5" t="str">
        <f t="shared" si="211"/>
        <v/>
      </c>
      <c r="AG234" s="5" t="str">
        <f t="shared" si="187"/>
        <v/>
      </c>
      <c r="AH234" s="5" t="str">
        <f t="shared" si="201"/>
        <v/>
      </c>
      <c r="AI234" s="5" t="str">
        <f t="shared" si="212"/>
        <v/>
      </c>
      <c r="AJ234" s="5" t="str">
        <f t="shared" si="213"/>
        <v/>
      </c>
      <c r="AK234" s="5" t="str">
        <f t="shared" si="197"/>
        <v/>
      </c>
      <c r="AL234" s="5" t="str">
        <f t="shared" si="198"/>
        <v/>
      </c>
      <c r="AM234" s="13" t="str">
        <f t="shared" si="199"/>
        <v/>
      </c>
    </row>
    <row r="235" spans="1:39" x14ac:dyDescent="0.35">
      <c r="A235" t="str">
        <f t="shared" si="202"/>
        <v/>
      </c>
      <c r="B235" t="str">
        <f t="shared" si="203"/>
        <v/>
      </c>
      <c r="C235" t="str">
        <f t="shared" si="176"/>
        <v/>
      </c>
      <c r="D235" s="5" t="str">
        <f t="shared" si="189"/>
        <v/>
      </c>
      <c r="E235" s="5" t="str">
        <f>IFERROR(IF($A235="", "", _xlfn.XLOOKUP(A235,Offset!A:A,Offset!I:I, 0)), 0)</f>
        <v/>
      </c>
      <c r="F235" s="5" t="str">
        <f t="shared" si="177"/>
        <v/>
      </c>
      <c r="G235" s="5" t="str">
        <f t="shared" si="178"/>
        <v/>
      </c>
      <c r="H235" s="5" t="str">
        <f t="shared" si="179"/>
        <v/>
      </c>
      <c r="I235" s="5" t="str">
        <f t="shared" si="180"/>
        <v/>
      </c>
      <c r="J235" s="5" t="str">
        <f t="shared" si="181"/>
        <v/>
      </c>
      <c r="K235" s="5" t="str">
        <f t="shared" si="182"/>
        <v/>
      </c>
      <c r="L235" s="5" t="str">
        <f t="shared" si="190"/>
        <v/>
      </c>
      <c r="M235" s="5" t="str">
        <f t="shared" si="191"/>
        <v/>
      </c>
      <c r="N235" s="5" t="str">
        <f t="shared" si="192"/>
        <v/>
      </c>
      <c r="O235" s="13" t="str">
        <f t="shared" si="193"/>
        <v/>
      </c>
      <c r="Q235" t="str">
        <f t="shared" si="204"/>
        <v/>
      </c>
      <c r="R235" t="str">
        <f t="shared" si="205"/>
        <v/>
      </c>
      <c r="S235" t="str">
        <f t="shared" si="183"/>
        <v/>
      </c>
      <c r="T235" s="5" t="str">
        <f t="shared" si="208"/>
        <v/>
      </c>
      <c r="U235" s="5" t="str">
        <f t="shared" si="184"/>
        <v/>
      </c>
      <c r="V235" s="5" t="str">
        <f t="shared" si="200"/>
        <v/>
      </c>
      <c r="W235" s="5" t="str">
        <f t="shared" si="209"/>
        <v/>
      </c>
      <c r="X235" s="5" t="str">
        <f t="shared" si="210"/>
        <v/>
      </c>
      <c r="Y235" s="5" t="str">
        <f t="shared" si="194"/>
        <v/>
      </c>
      <c r="Z235" s="5" t="str">
        <f t="shared" si="195"/>
        <v/>
      </c>
      <c r="AA235" s="13" t="str">
        <f t="shared" si="196"/>
        <v/>
      </c>
      <c r="AC235" t="str">
        <f t="shared" si="206"/>
        <v/>
      </c>
      <c r="AD235" t="str">
        <f t="shared" si="207"/>
        <v/>
      </c>
      <c r="AE235" t="str">
        <f t="shared" si="186"/>
        <v/>
      </c>
      <c r="AF235" s="5" t="str">
        <f t="shared" si="211"/>
        <v/>
      </c>
      <c r="AG235" s="5" t="str">
        <f t="shared" si="187"/>
        <v/>
      </c>
      <c r="AH235" s="5" t="str">
        <f t="shared" si="201"/>
        <v/>
      </c>
      <c r="AI235" s="5" t="str">
        <f t="shared" si="212"/>
        <v/>
      </c>
      <c r="AJ235" s="5" t="str">
        <f t="shared" si="213"/>
        <v/>
      </c>
      <c r="AK235" s="5" t="str">
        <f t="shared" si="197"/>
        <v/>
      </c>
      <c r="AL235" s="5" t="str">
        <f t="shared" si="198"/>
        <v/>
      </c>
      <c r="AM235" s="13" t="str">
        <f t="shared" si="199"/>
        <v/>
      </c>
    </row>
    <row r="236" spans="1:39" x14ac:dyDescent="0.35">
      <c r="A236" t="str">
        <f t="shared" si="202"/>
        <v/>
      </c>
      <c r="B236" t="str">
        <f t="shared" si="203"/>
        <v/>
      </c>
      <c r="C236" t="str">
        <f t="shared" si="176"/>
        <v/>
      </c>
      <c r="D236" s="5" t="str">
        <f t="shared" si="189"/>
        <v/>
      </c>
      <c r="E236" s="5" t="str">
        <f>IFERROR(IF($A236="", "", _xlfn.XLOOKUP(A236,Offset!A:A,Offset!I:I, 0)), 0)</f>
        <v/>
      </c>
      <c r="F236" s="5" t="str">
        <f t="shared" si="177"/>
        <v/>
      </c>
      <c r="G236" s="5" t="str">
        <f t="shared" si="178"/>
        <v/>
      </c>
      <c r="H236" s="5" t="str">
        <f t="shared" si="179"/>
        <v/>
      </c>
      <c r="I236" s="5" t="str">
        <f t="shared" si="180"/>
        <v/>
      </c>
      <c r="J236" s="5" t="str">
        <f t="shared" si="181"/>
        <v/>
      </c>
      <c r="K236" s="5" t="str">
        <f t="shared" si="182"/>
        <v/>
      </c>
      <c r="L236" s="5" t="str">
        <f t="shared" si="190"/>
        <v/>
      </c>
      <c r="M236" s="5" t="str">
        <f t="shared" si="191"/>
        <v/>
      </c>
      <c r="N236" s="5" t="str">
        <f t="shared" si="192"/>
        <v/>
      </c>
      <c r="O236" s="13" t="str">
        <f t="shared" si="193"/>
        <v/>
      </c>
      <c r="Q236" t="str">
        <f t="shared" si="204"/>
        <v/>
      </c>
      <c r="R236" t="str">
        <f t="shared" si="205"/>
        <v/>
      </c>
      <c r="S236" t="str">
        <f t="shared" si="183"/>
        <v/>
      </c>
      <c r="T236" s="5" t="str">
        <f t="shared" si="208"/>
        <v/>
      </c>
      <c r="U236" s="5" t="str">
        <f t="shared" si="184"/>
        <v/>
      </c>
      <c r="V236" s="5" t="str">
        <f t="shared" si="200"/>
        <v/>
      </c>
      <c r="W236" s="5" t="str">
        <f t="shared" si="209"/>
        <v/>
      </c>
      <c r="X236" s="5" t="str">
        <f t="shared" si="210"/>
        <v/>
      </c>
      <c r="Y236" s="5" t="str">
        <f t="shared" si="194"/>
        <v/>
      </c>
      <c r="Z236" s="5" t="str">
        <f t="shared" si="195"/>
        <v/>
      </c>
      <c r="AA236" s="13" t="str">
        <f t="shared" si="196"/>
        <v/>
      </c>
      <c r="AC236" t="str">
        <f t="shared" si="206"/>
        <v/>
      </c>
      <c r="AD236" t="str">
        <f t="shared" si="207"/>
        <v/>
      </c>
      <c r="AE236" t="str">
        <f t="shared" si="186"/>
        <v/>
      </c>
      <c r="AF236" s="5" t="str">
        <f t="shared" si="211"/>
        <v/>
      </c>
      <c r="AG236" s="5" t="str">
        <f t="shared" si="187"/>
        <v/>
      </c>
      <c r="AH236" s="5" t="str">
        <f t="shared" si="201"/>
        <v/>
      </c>
      <c r="AI236" s="5" t="str">
        <f t="shared" si="212"/>
        <v/>
      </c>
      <c r="AJ236" s="5" t="str">
        <f t="shared" si="213"/>
        <v/>
      </c>
      <c r="AK236" s="5" t="str">
        <f t="shared" si="197"/>
        <v/>
      </c>
      <c r="AL236" s="5" t="str">
        <f t="shared" si="198"/>
        <v/>
      </c>
      <c r="AM236" s="13" t="str">
        <f t="shared" si="199"/>
        <v/>
      </c>
    </row>
    <row r="237" spans="1:39" x14ac:dyDescent="0.35">
      <c r="A237" t="str">
        <f t="shared" si="202"/>
        <v/>
      </c>
      <c r="B237" t="str">
        <f t="shared" si="203"/>
        <v/>
      </c>
      <c r="C237" t="str">
        <f t="shared" si="176"/>
        <v/>
      </c>
      <c r="D237" s="5" t="str">
        <f t="shared" si="189"/>
        <v/>
      </c>
      <c r="E237" s="5" t="str">
        <f>IFERROR(IF($A237="", "", _xlfn.XLOOKUP(A237,Offset!A:A,Offset!I:I, 0)), 0)</f>
        <v/>
      </c>
      <c r="F237" s="5" t="str">
        <f t="shared" si="177"/>
        <v/>
      </c>
      <c r="G237" s="5" t="str">
        <f t="shared" si="178"/>
        <v/>
      </c>
      <c r="H237" s="5" t="str">
        <f t="shared" si="179"/>
        <v/>
      </c>
      <c r="I237" s="5" t="str">
        <f t="shared" si="180"/>
        <v/>
      </c>
      <c r="J237" s="5" t="str">
        <f t="shared" si="181"/>
        <v/>
      </c>
      <c r="K237" s="5" t="str">
        <f t="shared" si="182"/>
        <v/>
      </c>
      <c r="L237" s="5" t="str">
        <f t="shared" si="190"/>
        <v/>
      </c>
      <c r="M237" s="5" t="str">
        <f t="shared" si="191"/>
        <v/>
      </c>
      <c r="N237" s="5" t="str">
        <f t="shared" si="192"/>
        <v/>
      </c>
      <c r="O237" s="13" t="str">
        <f t="shared" si="193"/>
        <v/>
      </c>
      <c r="Q237" t="str">
        <f t="shared" si="204"/>
        <v/>
      </c>
      <c r="R237" t="str">
        <f t="shared" si="205"/>
        <v/>
      </c>
      <c r="S237" t="str">
        <f t="shared" si="183"/>
        <v/>
      </c>
      <c r="T237" s="5" t="str">
        <f t="shared" si="208"/>
        <v/>
      </c>
      <c r="U237" s="5" t="str">
        <f t="shared" si="184"/>
        <v/>
      </c>
      <c r="V237" s="5" t="str">
        <f t="shared" si="200"/>
        <v/>
      </c>
      <c r="W237" s="5" t="str">
        <f t="shared" si="209"/>
        <v/>
      </c>
      <c r="X237" s="5" t="str">
        <f t="shared" si="210"/>
        <v/>
      </c>
      <c r="Y237" s="5" t="str">
        <f t="shared" si="194"/>
        <v/>
      </c>
      <c r="Z237" s="5" t="str">
        <f t="shared" si="195"/>
        <v/>
      </c>
      <c r="AA237" s="13" t="str">
        <f t="shared" si="196"/>
        <v/>
      </c>
      <c r="AC237" t="str">
        <f t="shared" si="206"/>
        <v/>
      </c>
      <c r="AD237" t="str">
        <f t="shared" si="207"/>
        <v/>
      </c>
      <c r="AE237" t="str">
        <f t="shared" si="186"/>
        <v/>
      </c>
      <c r="AF237" s="5" t="str">
        <f t="shared" si="211"/>
        <v/>
      </c>
      <c r="AG237" s="5" t="str">
        <f t="shared" si="187"/>
        <v/>
      </c>
      <c r="AH237" s="5" t="str">
        <f t="shared" si="201"/>
        <v/>
      </c>
      <c r="AI237" s="5" t="str">
        <f t="shared" si="212"/>
        <v/>
      </c>
      <c r="AJ237" s="5" t="str">
        <f t="shared" si="213"/>
        <v/>
      </c>
      <c r="AK237" s="5" t="str">
        <f t="shared" si="197"/>
        <v/>
      </c>
      <c r="AL237" s="5" t="str">
        <f t="shared" si="198"/>
        <v/>
      </c>
      <c r="AM237" s="13" t="str">
        <f t="shared" si="199"/>
        <v/>
      </c>
    </row>
    <row r="238" spans="1:39" x14ac:dyDescent="0.35">
      <c r="A238" t="str">
        <f t="shared" si="202"/>
        <v/>
      </c>
      <c r="B238" t="str">
        <f t="shared" si="203"/>
        <v/>
      </c>
      <c r="C238" t="str">
        <f t="shared" si="176"/>
        <v/>
      </c>
      <c r="D238" s="5" t="str">
        <f t="shared" si="189"/>
        <v/>
      </c>
      <c r="E238" s="5" t="str">
        <f>IFERROR(IF($A238="", "", _xlfn.XLOOKUP(A238,Offset!A:A,Offset!I:I, 0)), 0)</f>
        <v/>
      </c>
      <c r="F238" s="5" t="str">
        <f t="shared" si="177"/>
        <v/>
      </c>
      <c r="G238" s="5" t="str">
        <f t="shared" si="178"/>
        <v/>
      </c>
      <c r="H238" s="5" t="str">
        <f t="shared" si="179"/>
        <v/>
      </c>
      <c r="I238" s="5" t="str">
        <f t="shared" si="180"/>
        <v/>
      </c>
      <c r="J238" s="5" t="str">
        <f t="shared" si="181"/>
        <v/>
      </c>
      <c r="K238" s="5" t="str">
        <f t="shared" si="182"/>
        <v/>
      </c>
      <c r="L238" s="5" t="str">
        <f t="shared" si="190"/>
        <v/>
      </c>
      <c r="M238" s="5" t="str">
        <f t="shared" si="191"/>
        <v/>
      </c>
      <c r="N238" s="5" t="str">
        <f t="shared" si="192"/>
        <v/>
      </c>
      <c r="O238" s="13" t="str">
        <f t="shared" si="193"/>
        <v/>
      </c>
      <c r="Q238" t="str">
        <f t="shared" si="204"/>
        <v/>
      </c>
      <c r="R238" t="str">
        <f t="shared" si="205"/>
        <v/>
      </c>
      <c r="S238" t="str">
        <f t="shared" si="183"/>
        <v/>
      </c>
      <c r="T238" s="5" t="str">
        <f t="shared" si="208"/>
        <v/>
      </c>
      <c r="U238" s="5" t="str">
        <f t="shared" si="184"/>
        <v/>
      </c>
      <c r="V238" s="5" t="str">
        <f t="shared" si="200"/>
        <v/>
      </c>
      <c r="W238" s="5" t="str">
        <f t="shared" si="209"/>
        <v/>
      </c>
      <c r="X238" s="5" t="str">
        <f t="shared" si="210"/>
        <v/>
      </c>
      <c r="Y238" s="5" t="str">
        <f t="shared" si="194"/>
        <v/>
      </c>
      <c r="Z238" s="5" t="str">
        <f t="shared" si="195"/>
        <v/>
      </c>
      <c r="AA238" s="13" t="str">
        <f t="shared" si="196"/>
        <v/>
      </c>
      <c r="AC238" t="str">
        <f t="shared" si="206"/>
        <v/>
      </c>
      <c r="AD238" t="str">
        <f t="shared" si="207"/>
        <v/>
      </c>
      <c r="AE238" t="str">
        <f t="shared" si="186"/>
        <v/>
      </c>
      <c r="AF238" s="5" t="str">
        <f t="shared" si="211"/>
        <v/>
      </c>
      <c r="AG238" s="5" t="str">
        <f t="shared" si="187"/>
        <v/>
      </c>
      <c r="AH238" s="5" t="str">
        <f t="shared" si="201"/>
        <v/>
      </c>
      <c r="AI238" s="5" t="str">
        <f t="shared" si="212"/>
        <v/>
      </c>
      <c r="AJ238" s="5" t="str">
        <f t="shared" si="213"/>
        <v/>
      </c>
      <c r="AK238" s="5" t="str">
        <f t="shared" si="197"/>
        <v/>
      </c>
      <c r="AL238" s="5" t="str">
        <f t="shared" si="198"/>
        <v/>
      </c>
      <c r="AM238" s="13" t="str">
        <f t="shared" si="199"/>
        <v/>
      </c>
    </row>
    <row r="239" spans="1:39" x14ac:dyDescent="0.35">
      <c r="A239" t="str">
        <f t="shared" si="202"/>
        <v/>
      </c>
      <c r="B239" t="str">
        <f t="shared" si="203"/>
        <v/>
      </c>
      <c r="C239" t="str">
        <f t="shared" si="176"/>
        <v/>
      </c>
      <c r="D239" s="5" t="str">
        <f t="shared" si="189"/>
        <v/>
      </c>
      <c r="E239" s="5" t="str">
        <f>IFERROR(IF($A239="", "", _xlfn.XLOOKUP(A239,Offset!A:A,Offset!I:I, 0)), 0)</f>
        <v/>
      </c>
      <c r="F239" s="5" t="str">
        <f t="shared" si="177"/>
        <v/>
      </c>
      <c r="G239" s="5" t="str">
        <f t="shared" si="178"/>
        <v/>
      </c>
      <c r="H239" s="5" t="str">
        <f t="shared" si="179"/>
        <v/>
      </c>
      <c r="I239" s="5" t="str">
        <f t="shared" si="180"/>
        <v/>
      </c>
      <c r="J239" s="5" t="str">
        <f t="shared" si="181"/>
        <v/>
      </c>
      <c r="K239" s="5" t="str">
        <f t="shared" si="182"/>
        <v/>
      </c>
      <c r="L239" s="5" t="str">
        <f t="shared" si="190"/>
        <v/>
      </c>
      <c r="M239" s="5" t="str">
        <f t="shared" si="191"/>
        <v/>
      </c>
      <c r="N239" s="5" t="str">
        <f t="shared" si="192"/>
        <v/>
      </c>
      <c r="O239" s="13" t="str">
        <f t="shared" si="193"/>
        <v/>
      </c>
      <c r="Q239" t="str">
        <f t="shared" si="204"/>
        <v/>
      </c>
      <c r="R239" t="str">
        <f t="shared" si="205"/>
        <v/>
      </c>
      <c r="S239" t="str">
        <f t="shared" si="183"/>
        <v/>
      </c>
      <c r="T239" s="5" t="str">
        <f t="shared" si="208"/>
        <v/>
      </c>
      <c r="U239" s="5" t="str">
        <f t="shared" si="184"/>
        <v/>
      </c>
      <c r="V239" s="5" t="str">
        <f t="shared" si="200"/>
        <v/>
      </c>
      <c r="W239" s="5" t="str">
        <f t="shared" si="209"/>
        <v/>
      </c>
      <c r="X239" s="5" t="str">
        <f t="shared" si="210"/>
        <v/>
      </c>
      <c r="Y239" s="5" t="str">
        <f t="shared" si="194"/>
        <v/>
      </c>
      <c r="Z239" s="5" t="str">
        <f t="shared" si="195"/>
        <v/>
      </c>
      <c r="AA239" s="13" t="str">
        <f t="shared" si="196"/>
        <v/>
      </c>
      <c r="AC239" t="str">
        <f t="shared" si="206"/>
        <v/>
      </c>
      <c r="AD239" t="str">
        <f t="shared" si="207"/>
        <v/>
      </c>
      <c r="AE239" t="str">
        <f t="shared" si="186"/>
        <v/>
      </c>
      <c r="AF239" s="5" t="str">
        <f t="shared" si="211"/>
        <v/>
      </c>
      <c r="AG239" s="5" t="str">
        <f t="shared" si="187"/>
        <v/>
      </c>
      <c r="AH239" s="5" t="str">
        <f t="shared" si="201"/>
        <v/>
      </c>
      <c r="AI239" s="5" t="str">
        <f t="shared" si="212"/>
        <v/>
      </c>
      <c r="AJ239" s="5" t="str">
        <f t="shared" si="213"/>
        <v/>
      </c>
      <c r="AK239" s="5" t="str">
        <f t="shared" si="197"/>
        <v/>
      </c>
      <c r="AL239" s="5" t="str">
        <f t="shared" si="198"/>
        <v/>
      </c>
      <c r="AM239" s="13" t="str">
        <f t="shared" si="199"/>
        <v/>
      </c>
    </row>
    <row r="240" spans="1:39" x14ac:dyDescent="0.35">
      <c r="A240" t="str">
        <f t="shared" si="202"/>
        <v/>
      </c>
      <c r="B240" t="str">
        <f t="shared" si="203"/>
        <v/>
      </c>
      <c r="C240" t="str">
        <f t="shared" si="176"/>
        <v/>
      </c>
      <c r="D240" s="5" t="str">
        <f t="shared" si="189"/>
        <v/>
      </c>
      <c r="E240" s="5" t="str">
        <f>IFERROR(IF($A240="", "", _xlfn.XLOOKUP(A240,Offset!A:A,Offset!I:I, 0)), 0)</f>
        <v/>
      </c>
      <c r="F240" s="5" t="str">
        <f t="shared" si="177"/>
        <v/>
      </c>
      <c r="G240" s="5" t="str">
        <f t="shared" si="178"/>
        <v/>
      </c>
      <c r="H240" s="5" t="str">
        <f t="shared" si="179"/>
        <v/>
      </c>
      <c r="I240" s="5" t="str">
        <f t="shared" si="180"/>
        <v/>
      </c>
      <c r="J240" s="5" t="str">
        <f t="shared" si="181"/>
        <v/>
      </c>
      <c r="K240" s="5" t="str">
        <f t="shared" si="182"/>
        <v/>
      </c>
      <c r="L240" s="5" t="str">
        <f t="shared" si="190"/>
        <v/>
      </c>
      <c r="M240" s="5" t="str">
        <f t="shared" si="191"/>
        <v/>
      </c>
      <c r="N240" s="5" t="str">
        <f t="shared" si="192"/>
        <v/>
      </c>
      <c r="O240" s="13" t="str">
        <f t="shared" si="193"/>
        <v/>
      </c>
      <c r="Q240" t="str">
        <f t="shared" si="204"/>
        <v/>
      </c>
      <c r="R240" t="str">
        <f t="shared" si="205"/>
        <v/>
      </c>
      <c r="S240" t="str">
        <f t="shared" si="183"/>
        <v/>
      </c>
      <c r="T240" s="5" t="str">
        <f t="shared" si="208"/>
        <v/>
      </c>
      <c r="U240" s="5" t="str">
        <f t="shared" si="184"/>
        <v/>
      </c>
      <c r="V240" s="5" t="str">
        <f t="shared" si="200"/>
        <v/>
      </c>
      <c r="W240" s="5" t="str">
        <f t="shared" si="209"/>
        <v/>
      </c>
      <c r="X240" s="5" t="str">
        <f t="shared" si="210"/>
        <v/>
      </c>
      <c r="Y240" s="5" t="str">
        <f t="shared" si="194"/>
        <v/>
      </c>
      <c r="Z240" s="5" t="str">
        <f t="shared" si="195"/>
        <v/>
      </c>
      <c r="AA240" s="13" t="str">
        <f t="shared" si="196"/>
        <v/>
      </c>
      <c r="AC240" t="str">
        <f t="shared" si="206"/>
        <v/>
      </c>
      <c r="AD240" t="str">
        <f t="shared" si="207"/>
        <v/>
      </c>
      <c r="AE240" t="str">
        <f t="shared" si="186"/>
        <v/>
      </c>
      <c r="AF240" s="5" t="str">
        <f t="shared" si="211"/>
        <v/>
      </c>
      <c r="AG240" s="5" t="str">
        <f t="shared" si="187"/>
        <v/>
      </c>
      <c r="AH240" s="5" t="str">
        <f t="shared" si="201"/>
        <v/>
      </c>
      <c r="AI240" s="5" t="str">
        <f t="shared" si="212"/>
        <v/>
      </c>
      <c r="AJ240" s="5" t="str">
        <f t="shared" si="213"/>
        <v/>
      </c>
      <c r="AK240" s="5" t="str">
        <f t="shared" si="197"/>
        <v/>
      </c>
      <c r="AL240" s="5" t="str">
        <f t="shared" si="198"/>
        <v/>
      </c>
      <c r="AM240" s="13" t="str">
        <f t="shared" si="199"/>
        <v/>
      </c>
    </row>
    <row r="241" spans="1:39" x14ac:dyDescent="0.35">
      <c r="A241" t="str">
        <f t="shared" si="202"/>
        <v/>
      </c>
      <c r="B241" t="str">
        <f t="shared" si="203"/>
        <v/>
      </c>
      <c r="C241" t="str">
        <f t="shared" si="176"/>
        <v/>
      </c>
      <c r="D241" s="5" t="str">
        <f t="shared" si="189"/>
        <v/>
      </c>
      <c r="E241" s="5" t="str">
        <f>IFERROR(IF($A241="", "", _xlfn.XLOOKUP(A241,Offset!A:A,Offset!I:I, 0)), 0)</f>
        <v/>
      </c>
      <c r="F241" s="5" t="str">
        <f t="shared" si="177"/>
        <v/>
      </c>
      <c r="G241" s="5" t="str">
        <f t="shared" si="178"/>
        <v/>
      </c>
      <c r="H241" s="5" t="str">
        <f t="shared" si="179"/>
        <v/>
      </c>
      <c r="I241" s="5" t="str">
        <f t="shared" si="180"/>
        <v/>
      </c>
      <c r="J241" s="5" t="str">
        <f t="shared" si="181"/>
        <v/>
      </c>
      <c r="K241" s="5" t="str">
        <f t="shared" si="182"/>
        <v/>
      </c>
      <c r="L241" s="5" t="str">
        <f t="shared" si="190"/>
        <v/>
      </c>
      <c r="M241" s="5" t="str">
        <f t="shared" si="191"/>
        <v/>
      </c>
      <c r="N241" s="5" t="str">
        <f t="shared" si="192"/>
        <v/>
      </c>
      <c r="O241" s="13" t="str">
        <f t="shared" si="193"/>
        <v/>
      </c>
      <c r="Q241" t="str">
        <f t="shared" si="204"/>
        <v/>
      </c>
      <c r="R241" t="str">
        <f t="shared" si="205"/>
        <v/>
      </c>
      <c r="S241" t="str">
        <f t="shared" si="183"/>
        <v/>
      </c>
      <c r="T241" s="5" t="str">
        <f t="shared" si="208"/>
        <v/>
      </c>
      <c r="U241" s="5" t="str">
        <f t="shared" si="184"/>
        <v/>
      </c>
      <c r="V241" s="5" t="str">
        <f t="shared" si="200"/>
        <v/>
      </c>
      <c r="W241" s="5" t="str">
        <f t="shared" si="209"/>
        <v/>
      </c>
      <c r="X241" s="5" t="str">
        <f t="shared" si="210"/>
        <v/>
      </c>
      <c r="Y241" s="5" t="str">
        <f t="shared" si="194"/>
        <v/>
      </c>
      <c r="Z241" s="5" t="str">
        <f t="shared" si="195"/>
        <v/>
      </c>
      <c r="AA241" s="13" t="str">
        <f t="shared" si="196"/>
        <v/>
      </c>
      <c r="AC241" t="str">
        <f t="shared" si="206"/>
        <v/>
      </c>
      <c r="AD241" t="str">
        <f t="shared" si="207"/>
        <v/>
      </c>
      <c r="AE241" t="str">
        <f t="shared" si="186"/>
        <v/>
      </c>
      <c r="AF241" s="5" t="str">
        <f t="shared" si="211"/>
        <v/>
      </c>
      <c r="AG241" s="5" t="str">
        <f t="shared" si="187"/>
        <v/>
      </c>
      <c r="AH241" s="5" t="str">
        <f t="shared" si="201"/>
        <v/>
      </c>
      <c r="AI241" s="5" t="str">
        <f t="shared" si="212"/>
        <v/>
      </c>
      <c r="AJ241" s="5" t="str">
        <f t="shared" si="213"/>
        <v/>
      </c>
      <c r="AK241" s="5" t="str">
        <f t="shared" si="197"/>
        <v/>
      </c>
      <c r="AL241" s="5" t="str">
        <f t="shared" si="198"/>
        <v/>
      </c>
      <c r="AM241" s="13" t="str">
        <f t="shared" si="199"/>
        <v/>
      </c>
    </row>
    <row r="242" spans="1:39" x14ac:dyDescent="0.35">
      <c r="A242" t="str">
        <f t="shared" si="202"/>
        <v/>
      </c>
      <c r="B242" t="str">
        <f t="shared" si="203"/>
        <v/>
      </c>
      <c r="C242" t="str">
        <f t="shared" si="176"/>
        <v/>
      </c>
      <c r="D242" s="5" t="str">
        <f t="shared" si="189"/>
        <v/>
      </c>
      <c r="E242" s="5" t="str">
        <f>IFERROR(IF($A242="", "", _xlfn.XLOOKUP(A242,Offset!A:A,Offset!I:I, 0)), 0)</f>
        <v/>
      </c>
      <c r="F242" s="5" t="str">
        <f t="shared" si="177"/>
        <v/>
      </c>
      <c r="G242" s="5" t="str">
        <f t="shared" si="178"/>
        <v/>
      </c>
      <c r="H242" s="5" t="str">
        <f t="shared" si="179"/>
        <v/>
      </c>
      <c r="I242" s="5" t="str">
        <f t="shared" si="180"/>
        <v/>
      </c>
      <c r="J242" s="5" t="str">
        <f t="shared" si="181"/>
        <v/>
      </c>
      <c r="K242" s="5" t="str">
        <f t="shared" si="182"/>
        <v/>
      </c>
      <c r="L242" s="5" t="str">
        <f t="shared" si="190"/>
        <v/>
      </c>
      <c r="M242" s="5" t="str">
        <f t="shared" si="191"/>
        <v/>
      </c>
      <c r="N242" s="5" t="str">
        <f t="shared" si="192"/>
        <v/>
      </c>
      <c r="O242" s="13" t="str">
        <f t="shared" si="193"/>
        <v/>
      </c>
      <c r="Q242" t="str">
        <f t="shared" si="204"/>
        <v/>
      </c>
      <c r="R242" t="str">
        <f t="shared" si="205"/>
        <v/>
      </c>
      <c r="S242" t="str">
        <f t="shared" si="183"/>
        <v/>
      </c>
      <c r="T242" s="5" t="str">
        <f t="shared" si="208"/>
        <v/>
      </c>
      <c r="U242" s="5" t="str">
        <f t="shared" si="184"/>
        <v/>
      </c>
      <c r="V242" s="5" t="str">
        <f t="shared" si="200"/>
        <v/>
      </c>
      <c r="W242" s="5" t="str">
        <f t="shared" si="209"/>
        <v/>
      </c>
      <c r="X242" s="5" t="str">
        <f t="shared" si="210"/>
        <v/>
      </c>
      <c r="Y242" s="5" t="str">
        <f t="shared" si="194"/>
        <v/>
      </c>
      <c r="Z242" s="5" t="str">
        <f t="shared" si="195"/>
        <v/>
      </c>
      <c r="AA242" s="13" t="str">
        <f t="shared" si="196"/>
        <v/>
      </c>
      <c r="AC242" t="str">
        <f t="shared" si="206"/>
        <v/>
      </c>
      <c r="AD242" t="str">
        <f t="shared" si="207"/>
        <v/>
      </c>
      <c r="AE242" t="str">
        <f t="shared" si="186"/>
        <v/>
      </c>
      <c r="AF242" s="5" t="str">
        <f t="shared" si="211"/>
        <v/>
      </c>
      <c r="AG242" s="5" t="str">
        <f t="shared" si="187"/>
        <v/>
      </c>
      <c r="AH242" s="5" t="str">
        <f t="shared" si="201"/>
        <v/>
      </c>
      <c r="AI242" s="5" t="str">
        <f t="shared" si="212"/>
        <v/>
      </c>
      <c r="AJ242" s="5" t="str">
        <f t="shared" si="213"/>
        <v/>
      </c>
      <c r="AK242" s="5" t="str">
        <f t="shared" si="197"/>
        <v/>
      </c>
      <c r="AL242" s="5" t="str">
        <f t="shared" si="198"/>
        <v/>
      </c>
      <c r="AM242" s="13" t="str">
        <f t="shared" si="199"/>
        <v/>
      </c>
    </row>
    <row r="243" spans="1:39" x14ac:dyDescent="0.35">
      <c r="A243" t="str">
        <f t="shared" si="202"/>
        <v/>
      </c>
      <c r="B243" t="str">
        <f t="shared" si="203"/>
        <v/>
      </c>
      <c r="C243" t="str">
        <f t="shared" si="176"/>
        <v/>
      </c>
      <c r="D243" s="5" t="str">
        <f t="shared" si="189"/>
        <v/>
      </c>
      <c r="E243" s="5" t="str">
        <f>IFERROR(IF($A243="", "", _xlfn.XLOOKUP(A243,Offset!A:A,Offset!I:I, 0)), 0)</f>
        <v/>
      </c>
      <c r="F243" s="5" t="str">
        <f t="shared" si="177"/>
        <v/>
      </c>
      <c r="G243" s="5" t="str">
        <f t="shared" si="178"/>
        <v/>
      </c>
      <c r="H243" s="5" t="str">
        <f t="shared" si="179"/>
        <v/>
      </c>
      <c r="I243" s="5" t="str">
        <f t="shared" si="180"/>
        <v/>
      </c>
      <c r="J243" s="5" t="str">
        <f t="shared" si="181"/>
        <v/>
      </c>
      <c r="K243" s="5" t="str">
        <f t="shared" si="182"/>
        <v/>
      </c>
      <c r="L243" s="5" t="str">
        <f t="shared" si="190"/>
        <v/>
      </c>
      <c r="M243" s="5" t="str">
        <f t="shared" si="191"/>
        <v/>
      </c>
      <c r="N243" s="5" t="str">
        <f t="shared" si="192"/>
        <v/>
      </c>
      <c r="O243" s="13" t="str">
        <f t="shared" si="193"/>
        <v/>
      </c>
      <c r="Q243" t="str">
        <f t="shared" si="204"/>
        <v/>
      </c>
      <c r="R243" t="str">
        <f t="shared" si="205"/>
        <v/>
      </c>
      <c r="S243" t="str">
        <f t="shared" si="183"/>
        <v/>
      </c>
      <c r="T243" s="5" t="str">
        <f t="shared" si="208"/>
        <v/>
      </c>
      <c r="U243" s="5" t="str">
        <f t="shared" si="184"/>
        <v/>
      </c>
      <c r="V243" s="5" t="str">
        <f t="shared" si="200"/>
        <v/>
      </c>
      <c r="W243" s="5" t="str">
        <f t="shared" si="209"/>
        <v/>
      </c>
      <c r="X243" s="5" t="str">
        <f t="shared" si="210"/>
        <v/>
      </c>
      <c r="Y243" s="5" t="str">
        <f t="shared" si="194"/>
        <v/>
      </c>
      <c r="Z243" s="5" t="str">
        <f t="shared" si="195"/>
        <v/>
      </c>
      <c r="AA243" s="13" t="str">
        <f t="shared" si="196"/>
        <v/>
      </c>
      <c r="AC243" t="str">
        <f t="shared" si="206"/>
        <v/>
      </c>
      <c r="AD243" t="str">
        <f t="shared" si="207"/>
        <v/>
      </c>
      <c r="AE243" t="str">
        <f t="shared" si="186"/>
        <v/>
      </c>
      <c r="AF243" s="5" t="str">
        <f t="shared" si="211"/>
        <v/>
      </c>
      <c r="AG243" s="5" t="str">
        <f t="shared" si="187"/>
        <v/>
      </c>
      <c r="AH243" s="5" t="str">
        <f t="shared" si="201"/>
        <v/>
      </c>
      <c r="AI243" s="5" t="str">
        <f t="shared" si="212"/>
        <v/>
      </c>
      <c r="AJ243" s="5" t="str">
        <f t="shared" si="213"/>
        <v/>
      </c>
      <c r="AK243" s="5" t="str">
        <f t="shared" si="197"/>
        <v/>
      </c>
      <c r="AL243" s="5" t="str">
        <f t="shared" si="198"/>
        <v/>
      </c>
      <c r="AM243" s="13" t="str">
        <f t="shared" si="199"/>
        <v/>
      </c>
    </row>
    <row r="244" spans="1:39" x14ac:dyDescent="0.35">
      <c r="A244" t="str">
        <f t="shared" si="202"/>
        <v/>
      </c>
      <c r="B244" t="str">
        <f t="shared" si="203"/>
        <v/>
      </c>
      <c r="C244" t="str">
        <f t="shared" si="176"/>
        <v/>
      </c>
      <c r="D244" s="5" t="str">
        <f t="shared" si="189"/>
        <v/>
      </c>
      <c r="E244" s="5" t="str">
        <f>IFERROR(IF($A244="", "", _xlfn.XLOOKUP(A244,Offset!A:A,Offset!I:I, 0)), 0)</f>
        <v/>
      </c>
      <c r="F244" s="5" t="str">
        <f t="shared" si="177"/>
        <v/>
      </c>
      <c r="G244" s="5" t="str">
        <f t="shared" si="178"/>
        <v/>
      </c>
      <c r="H244" s="5" t="str">
        <f t="shared" si="179"/>
        <v/>
      </c>
      <c r="I244" s="5" t="str">
        <f t="shared" si="180"/>
        <v/>
      </c>
      <c r="J244" s="5" t="str">
        <f t="shared" si="181"/>
        <v/>
      </c>
      <c r="K244" s="5" t="str">
        <f t="shared" si="182"/>
        <v/>
      </c>
      <c r="L244" s="5" t="str">
        <f t="shared" si="190"/>
        <v/>
      </c>
      <c r="M244" s="5" t="str">
        <f t="shared" si="191"/>
        <v/>
      </c>
      <c r="N244" s="5" t="str">
        <f t="shared" si="192"/>
        <v/>
      </c>
      <c r="O244" s="13" t="str">
        <f t="shared" si="193"/>
        <v/>
      </c>
      <c r="Q244" t="str">
        <f t="shared" si="204"/>
        <v/>
      </c>
      <c r="R244" t="str">
        <f t="shared" si="205"/>
        <v/>
      </c>
      <c r="S244" t="str">
        <f t="shared" si="183"/>
        <v/>
      </c>
      <c r="T244" s="5" t="str">
        <f t="shared" si="208"/>
        <v/>
      </c>
      <c r="U244" s="5" t="str">
        <f t="shared" si="184"/>
        <v/>
      </c>
      <c r="V244" s="5" t="str">
        <f t="shared" si="200"/>
        <v/>
      </c>
      <c r="W244" s="5" t="str">
        <f t="shared" si="209"/>
        <v/>
      </c>
      <c r="X244" s="5" t="str">
        <f t="shared" si="210"/>
        <v/>
      </c>
      <c r="Y244" s="5" t="str">
        <f t="shared" si="194"/>
        <v/>
      </c>
      <c r="Z244" s="5" t="str">
        <f t="shared" si="195"/>
        <v/>
      </c>
      <c r="AA244" s="13" t="str">
        <f t="shared" si="196"/>
        <v/>
      </c>
      <c r="AC244" t="str">
        <f t="shared" si="206"/>
        <v/>
      </c>
      <c r="AD244" t="str">
        <f t="shared" si="207"/>
        <v/>
      </c>
      <c r="AE244" t="str">
        <f t="shared" si="186"/>
        <v/>
      </c>
      <c r="AF244" s="5" t="str">
        <f t="shared" si="211"/>
        <v/>
      </c>
      <c r="AG244" s="5" t="str">
        <f t="shared" si="187"/>
        <v/>
      </c>
      <c r="AH244" s="5" t="str">
        <f t="shared" si="201"/>
        <v/>
      </c>
      <c r="AI244" s="5" t="str">
        <f t="shared" si="212"/>
        <v/>
      </c>
      <c r="AJ244" s="5" t="str">
        <f t="shared" si="213"/>
        <v/>
      </c>
      <c r="AK244" s="5" t="str">
        <f t="shared" si="197"/>
        <v/>
      </c>
      <c r="AL244" s="5" t="str">
        <f t="shared" si="198"/>
        <v/>
      </c>
      <c r="AM244" s="13" t="str">
        <f t="shared" si="199"/>
        <v/>
      </c>
    </row>
    <row r="245" spans="1:39" x14ac:dyDescent="0.35">
      <c r="A245" t="str">
        <f t="shared" si="202"/>
        <v/>
      </c>
      <c r="B245" t="str">
        <f t="shared" si="203"/>
        <v/>
      </c>
      <c r="C245" t="str">
        <f t="shared" si="176"/>
        <v/>
      </c>
      <c r="D245" s="5" t="str">
        <f t="shared" si="189"/>
        <v/>
      </c>
      <c r="E245" s="5" t="str">
        <f>IFERROR(IF($A245="", "", _xlfn.XLOOKUP(A245,Offset!A:A,Offset!I:I, 0)), 0)</f>
        <v/>
      </c>
      <c r="F245" s="5" t="str">
        <f t="shared" si="177"/>
        <v/>
      </c>
      <c r="G245" s="5" t="str">
        <f t="shared" si="178"/>
        <v/>
      </c>
      <c r="H245" s="5" t="str">
        <f t="shared" si="179"/>
        <v/>
      </c>
      <c r="I245" s="5" t="str">
        <f t="shared" si="180"/>
        <v/>
      </c>
      <c r="J245" s="5" t="str">
        <f t="shared" si="181"/>
        <v/>
      </c>
      <c r="K245" s="5" t="str">
        <f t="shared" si="182"/>
        <v/>
      </c>
      <c r="L245" s="5" t="str">
        <f t="shared" si="190"/>
        <v/>
      </c>
      <c r="M245" s="5" t="str">
        <f t="shared" si="191"/>
        <v/>
      </c>
      <c r="N245" s="5" t="str">
        <f t="shared" si="192"/>
        <v/>
      </c>
      <c r="O245" s="13" t="str">
        <f t="shared" si="193"/>
        <v/>
      </c>
      <c r="Q245" t="str">
        <f t="shared" si="204"/>
        <v/>
      </c>
      <c r="R245" t="str">
        <f t="shared" si="205"/>
        <v/>
      </c>
      <c r="S245" t="str">
        <f t="shared" si="183"/>
        <v/>
      </c>
      <c r="T245" s="5" t="str">
        <f t="shared" si="208"/>
        <v/>
      </c>
      <c r="U245" s="5" t="str">
        <f t="shared" si="184"/>
        <v/>
      </c>
      <c r="V245" s="5" t="str">
        <f t="shared" si="200"/>
        <v/>
      </c>
      <c r="W245" s="5" t="str">
        <f t="shared" si="209"/>
        <v/>
      </c>
      <c r="X245" s="5" t="str">
        <f t="shared" si="210"/>
        <v/>
      </c>
      <c r="Y245" s="5" t="str">
        <f t="shared" si="194"/>
        <v/>
      </c>
      <c r="Z245" s="5" t="str">
        <f t="shared" si="195"/>
        <v/>
      </c>
      <c r="AA245" s="13" t="str">
        <f t="shared" si="196"/>
        <v/>
      </c>
      <c r="AC245" t="str">
        <f t="shared" si="206"/>
        <v/>
      </c>
      <c r="AD245" t="str">
        <f t="shared" si="207"/>
        <v/>
      </c>
      <c r="AE245" t="str">
        <f t="shared" si="186"/>
        <v/>
      </c>
      <c r="AF245" s="5" t="str">
        <f t="shared" si="211"/>
        <v/>
      </c>
      <c r="AG245" s="5" t="str">
        <f t="shared" si="187"/>
        <v/>
      </c>
      <c r="AH245" s="5" t="str">
        <f t="shared" si="201"/>
        <v/>
      </c>
      <c r="AI245" s="5" t="str">
        <f t="shared" si="212"/>
        <v/>
      </c>
      <c r="AJ245" s="5" t="str">
        <f t="shared" si="213"/>
        <v/>
      </c>
      <c r="AK245" s="5" t="str">
        <f t="shared" si="197"/>
        <v/>
      </c>
      <c r="AL245" s="5" t="str">
        <f t="shared" si="198"/>
        <v/>
      </c>
      <c r="AM245" s="13" t="str">
        <f t="shared" si="199"/>
        <v/>
      </c>
    </row>
    <row r="246" spans="1:39" x14ac:dyDescent="0.35">
      <c r="A246" t="str">
        <f t="shared" si="202"/>
        <v/>
      </c>
      <c r="B246" t="str">
        <f t="shared" si="203"/>
        <v/>
      </c>
      <c r="C246" t="str">
        <f t="shared" si="176"/>
        <v/>
      </c>
      <c r="D246" s="5" t="str">
        <f t="shared" si="189"/>
        <v/>
      </c>
      <c r="E246" s="5" t="str">
        <f>IFERROR(IF($A246="", "", _xlfn.XLOOKUP(A246,Offset!A:A,Offset!I:I, 0)), 0)</f>
        <v/>
      </c>
      <c r="F246" s="5" t="str">
        <f t="shared" si="177"/>
        <v/>
      </c>
      <c r="G246" s="5" t="str">
        <f t="shared" si="178"/>
        <v/>
      </c>
      <c r="H246" s="5" t="str">
        <f t="shared" si="179"/>
        <v/>
      </c>
      <c r="I246" s="5" t="str">
        <f t="shared" si="180"/>
        <v/>
      </c>
      <c r="J246" s="5" t="str">
        <f t="shared" si="181"/>
        <v/>
      </c>
      <c r="K246" s="5" t="str">
        <f t="shared" si="182"/>
        <v/>
      </c>
      <c r="L246" s="5" t="str">
        <f t="shared" si="190"/>
        <v/>
      </c>
      <c r="M246" s="5" t="str">
        <f t="shared" si="191"/>
        <v/>
      </c>
      <c r="N246" s="5" t="str">
        <f t="shared" si="192"/>
        <v/>
      </c>
      <c r="O246" s="13" t="str">
        <f t="shared" si="193"/>
        <v/>
      </c>
      <c r="Q246" t="str">
        <f t="shared" si="204"/>
        <v/>
      </c>
      <c r="R246" t="str">
        <f t="shared" si="205"/>
        <v/>
      </c>
      <c r="S246" t="str">
        <f t="shared" si="183"/>
        <v/>
      </c>
      <c r="T246" s="5" t="str">
        <f t="shared" si="208"/>
        <v/>
      </c>
      <c r="U246" s="5" t="str">
        <f t="shared" si="184"/>
        <v/>
      </c>
      <c r="V246" s="5" t="str">
        <f t="shared" si="200"/>
        <v/>
      </c>
      <c r="W246" s="5" t="str">
        <f t="shared" si="209"/>
        <v/>
      </c>
      <c r="X246" s="5" t="str">
        <f t="shared" si="210"/>
        <v/>
      </c>
      <c r="Y246" s="5" t="str">
        <f t="shared" si="194"/>
        <v/>
      </c>
      <c r="Z246" s="5" t="str">
        <f t="shared" si="195"/>
        <v/>
      </c>
      <c r="AA246" s="13" t="str">
        <f t="shared" si="196"/>
        <v/>
      </c>
      <c r="AC246" t="str">
        <f t="shared" si="206"/>
        <v/>
      </c>
      <c r="AD246" t="str">
        <f t="shared" si="207"/>
        <v/>
      </c>
      <c r="AE246" t="str">
        <f t="shared" si="186"/>
        <v/>
      </c>
      <c r="AF246" s="5" t="str">
        <f t="shared" si="211"/>
        <v/>
      </c>
      <c r="AG246" s="5" t="str">
        <f t="shared" si="187"/>
        <v/>
      </c>
      <c r="AH246" s="5" t="str">
        <f t="shared" si="201"/>
        <v/>
      </c>
      <c r="AI246" s="5" t="str">
        <f t="shared" si="212"/>
        <v/>
      </c>
      <c r="AJ246" s="5" t="str">
        <f t="shared" si="213"/>
        <v/>
      </c>
      <c r="AK246" s="5" t="str">
        <f t="shared" si="197"/>
        <v/>
      </c>
      <c r="AL246" s="5" t="str">
        <f t="shared" si="198"/>
        <v/>
      </c>
      <c r="AM246" s="13" t="str">
        <f t="shared" si="199"/>
        <v/>
      </c>
    </row>
    <row r="247" spans="1:39" x14ac:dyDescent="0.35">
      <c r="A247" t="str">
        <f t="shared" si="202"/>
        <v/>
      </c>
      <c r="B247" t="str">
        <f t="shared" si="203"/>
        <v/>
      </c>
      <c r="C247" t="str">
        <f t="shared" si="176"/>
        <v/>
      </c>
      <c r="D247" s="5" t="str">
        <f t="shared" si="189"/>
        <v/>
      </c>
      <c r="E247" s="5" t="str">
        <f>IFERROR(IF($A247="", "", _xlfn.XLOOKUP(A247,Offset!A:A,Offset!I:I, 0)), 0)</f>
        <v/>
      </c>
      <c r="F247" s="5" t="str">
        <f t="shared" si="177"/>
        <v/>
      </c>
      <c r="G247" s="5" t="str">
        <f t="shared" si="178"/>
        <v/>
      </c>
      <c r="H247" s="5" t="str">
        <f t="shared" si="179"/>
        <v/>
      </c>
      <c r="I247" s="5" t="str">
        <f t="shared" si="180"/>
        <v/>
      </c>
      <c r="J247" s="5" t="str">
        <f t="shared" si="181"/>
        <v/>
      </c>
      <c r="K247" s="5" t="str">
        <f t="shared" si="182"/>
        <v/>
      </c>
      <c r="L247" s="5" t="str">
        <f t="shared" si="190"/>
        <v/>
      </c>
      <c r="M247" s="5" t="str">
        <f t="shared" si="191"/>
        <v/>
      </c>
      <c r="N247" s="5" t="str">
        <f t="shared" si="192"/>
        <v/>
      </c>
      <c r="O247" s="13" t="str">
        <f t="shared" si="193"/>
        <v/>
      </c>
      <c r="Q247" t="str">
        <f t="shared" si="204"/>
        <v/>
      </c>
      <c r="R247" t="str">
        <f t="shared" si="205"/>
        <v/>
      </c>
      <c r="S247" t="str">
        <f t="shared" si="183"/>
        <v/>
      </c>
      <c r="T247" s="5" t="str">
        <f t="shared" si="208"/>
        <v/>
      </c>
      <c r="U247" s="5" t="str">
        <f t="shared" si="184"/>
        <v/>
      </c>
      <c r="V247" s="5" t="str">
        <f t="shared" si="200"/>
        <v/>
      </c>
      <c r="W247" s="5" t="str">
        <f t="shared" si="209"/>
        <v/>
      </c>
      <c r="X247" s="5" t="str">
        <f t="shared" si="210"/>
        <v/>
      </c>
      <c r="Y247" s="5" t="str">
        <f t="shared" si="194"/>
        <v/>
      </c>
      <c r="Z247" s="5" t="str">
        <f t="shared" si="195"/>
        <v/>
      </c>
      <c r="AA247" s="13" t="str">
        <f t="shared" si="196"/>
        <v/>
      </c>
      <c r="AC247" t="str">
        <f t="shared" si="206"/>
        <v/>
      </c>
      <c r="AD247" t="str">
        <f t="shared" si="207"/>
        <v/>
      </c>
      <c r="AE247" t="str">
        <f t="shared" si="186"/>
        <v/>
      </c>
      <c r="AF247" s="5" t="str">
        <f t="shared" si="211"/>
        <v/>
      </c>
      <c r="AG247" s="5" t="str">
        <f t="shared" si="187"/>
        <v/>
      </c>
      <c r="AH247" s="5" t="str">
        <f t="shared" si="201"/>
        <v/>
      </c>
      <c r="AI247" s="5" t="str">
        <f t="shared" si="212"/>
        <v/>
      </c>
      <c r="AJ247" s="5" t="str">
        <f t="shared" si="213"/>
        <v/>
      </c>
      <c r="AK247" s="5" t="str">
        <f t="shared" si="197"/>
        <v/>
      </c>
      <c r="AL247" s="5" t="str">
        <f t="shared" si="198"/>
        <v/>
      </c>
      <c r="AM247" s="13" t="str">
        <f t="shared" si="199"/>
        <v/>
      </c>
    </row>
    <row r="248" spans="1:39" x14ac:dyDescent="0.35">
      <c r="A248" t="str">
        <f t="shared" si="202"/>
        <v/>
      </c>
      <c r="B248" t="str">
        <f t="shared" si="203"/>
        <v/>
      </c>
      <c r="C248" t="str">
        <f t="shared" ref="C248:C279" si="214">IF($A248="", "", MOD(A248-1, PPY_Loan)+1)</f>
        <v/>
      </c>
      <c r="D248" s="5" t="str">
        <f t="shared" ref="D248:D279" si="215">IFERROR(IF($A248="", "",IF(J247&lt;=0, 0,J247)), 0)</f>
        <v/>
      </c>
      <c r="E248" s="5" t="str">
        <f>IFERROR(IF($A248="", "", _xlfn.XLOOKUP(A248,Offset!A:A,Offset!I:I, 0)), 0)</f>
        <v/>
      </c>
      <c r="F248" s="5" t="str">
        <f t="shared" ref="F248:F279" si="216">IFERROR(IF($A248="", "", MAX(0, D248 - E248)), 0)</f>
        <v/>
      </c>
      <c r="G248" s="5" t="str">
        <f t="shared" ref="G248:G279" si="217">IFERROR(IF($A248="", "", F248*(LoanRate/PPY_Loan)), 0)</f>
        <v/>
      </c>
      <c r="H248" s="5" t="str">
        <f t="shared" ref="H248:H279" si="218">IFERROR(IF($A248="", "", IF(D248&lt;=0, 0, MIN(StdPayment, D248+G248))), 0)</f>
        <v/>
      </c>
      <c r="I248" s="5" t="str">
        <f t="shared" ref="I248:I279" si="219">IFERROR(IF($A248="", "", IF(D248&lt;=0, 0,H248-G248)), 0)</f>
        <v/>
      </c>
      <c r="J248" s="5" t="str">
        <f t="shared" ref="J248:J279" si="220">IFERROR(IF($A248="", "", IF(D248&lt;=0, 0, MAX(0, D248-I248))), 0)</f>
        <v/>
      </c>
      <c r="K248" s="5" t="str">
        <f t="shared" ref="K248:K279" si="221">IFERROR(IF($A248="", "", IF(D248&lt;=0, 0, E248*(LoanRate/PPY_Loan))), 0)</f>
        <v/>
      </c>
      <c r="L248" s="5" t="str">
        <f t="shared" ref="L248:L279" si="222">IFERROR(IF($A248="", "", L247+K248), 0)</f>
        <v/>
      </c>
      <c r="M248" s="5" t="str">
        <f t="shared" ref="M248:M279" si="223">IF($A248="","",M247+G248)</f>
        <v/>
      </c>
      <c r="N248" s="5" t="str">
        <f t="shared" ref="N248:N279" si="224">IF($A248="","",N247+H248)</f>
        <v/>
      </c>
      <c r="O248" s="13" t="str">
        <f t="shared" ref="O248:O279" si="225">IF($A248="","",IF(B248&lt;&gt;B247,O247+1,O247))</f>
        <v/>
      </c>
      <c r="Q248" t="str">
        <f t="shared" si="204"/>
        <v/>
      </c>
      <c r="R248" t="str">
        <f t="shared" si="205"/>
        <v/>
      </c>
      <c r="S248" t="str">
        <f t="shared" ref="S248:S279" si="226">IF($Q248="", "", MOD(Q248-1, PPY_Loan)+1)</f>
        <v/>
      </c>
      <c r="T248" s="5" t="str">
        <f t="shared" si="208"/>
        <v/>
      </c>
      <c r="U248" s="5" t="str">
        <f t="shared" ref="U248:U279" si="227">IFERROR(IF($Q248="", "", T248*(LoanRate/PPY_Loan)), 0)</f>
        <v/>
      </c>
      <c r="V248" s="5" t="str">
        <f t="shared" si="200"/>
        <v/>
      </c>
      <c r="W248" s="5" t="str">
        <f t="shared" si="209"/>
        <v/>
      </c>
      <c r="X248" s="5" t="str">
        <f t="shared" si="210"/>
        <v/>
      </c>
      <c r="Y248" s="5" t="str">
        <f t="shared" ref="Y248:Y279" si="228">IF($Q248="","",Y247+U248)</f>
        <v/>
      </c>
      <c r="Z248" s="5" t="str">
        <f t="shared" ref="Z248:Z279" si="229">IF($Q248="","",Z247+V248)</f>
        <v/>
      </c>
      <c r="AA248" s="13" t="str">
        <f t="shared" ref="AA248:AA279" si="230">IF($Q248="","",IF(R248&lt;&gt;R247,AA247+1,AA247))</f>
        <v/>
      </c>
      <c r="AC248" t="str">
        <f t="shared" si="206"/>
        <v/>
      </c>
      <c r="AD248" t="str">
        <f t="shared" si="207"/>
        <v/>
      </c>
      <c r="AE248" t="str">
        <f t="shared" ref="AE248:AE279" si="231">IF($AC248="", "", MOD(AC248-1, PPY_Loan)+1)</f>
        <v/>
      </c>
      <c r="AF248" s="5" t="str">
        <f t="shared" si="211"/>
        <v/>
      </c>
      <c r="AG248" s="5" t="str">
        <f t="shared" ref="AG248:AG279" si="232">IFERROR(IF($AC248="", "", AF248*(LoanRate/PPY_Loan)), 0)</f>
        <v/>
      </c>
      <c r="AH248" s="5" t="str">
        <f t="shared" si="201"/>
        <v/>
      </c>
      <c r="AI248" s="5" t="str">
        <f t="shared" si="212"/>
        <v/>
      </c>
      <c r="AJ248" s="5" t="str">
        <f t="shared" si="213"/>
        <v/>
      </c>
      <c r="AK248" s="5" t="str">
        <f t="shared" ref="AK248:AK279" si="233">IF($AC248="","",AK247+AG248)</f>
        <v/>
      </c>
      <c r="AL248" s="5" t="str">
        <f t="shared" ref="AL248:AL279" si="234">IF($AC248="","",AL247+AH248)</f>
        <v/>
      </c>
      <c r="AM248" s="13" t="str">
        <f t="shared" ref="AM248:AM279" si="235">IF($AC248="","",IF(AD248&lt;&gt;AD247,AM247+1,AM247))</f>
        <v/>
      </c>
    </row>
    <row r="249" spans="1:39" x14ac:dyDescent="0.35">
      <c r="A249" t="str">
        <f t="shared" si="202"/>
        <v/>
      </c>
      <c r="B249" t="str">
        <f t="shared" si="203"/>
        <v/>
      </c>
      <c r="C249" t="str">
        <f t="shared" si="214"/>
        <v/>
      </c>
      <c r="D249" s="5" t="str">
        <f t="shared" si="215"/>
        <v/>
      </c>
      <c r="E249" s="5" t="str">
        <f>IFERROR(IF($A249="", "", _xlfn.XLOOKUP(A249,Offset!A:A,Offset!I:I, 0)), 0)</f>
        <v/>
      </c>
      <c r="F249" s="5" t="str">
        <f t="shared" si="216"/>
        <v/>
      </c>
      <c r="G249" s="5" t="str">
        <f t="shared" si="217"/>
        <v/>
      </c>
      <c r="H249" s="5" t="str">
        <f t="shared" si="218"/>
        <v/>
      </c>
      <c r="I249" s="5" t="str">
        <f t="shared" si="219"/>
        <v/>
      </c>
      <c r="J249" s="5" t="str">
        <f t="shared" si="220"/>
        <v/>
      </c>
      <c r="K249" s="5" t="str">
        <f t="shared" si="221"/>
        <v/>
      </c>
      <c r="L249" s="5" t="str">
        <f t="shared" si="222"/>
        <v/>
      </c>
      <c r="M249" s="5" t="str">
        <f t="shared" si="223"/>
        <v/>
      </c>
      <c r="N249" s="5" t="str">
        <f t="shared" si="224"/>
        <v/>
      </c>
      <c r="O249" s="13" t="str">
        <f t="shared" si="225"/>
        <v/>
      </c>
      <c r="Q249" t="str">
        <f t="shared" si="204"/>
        <v/>
      </c>
      <c r="R249" t="str">
        <f t="shared" si="205"/>
        <v/>
      </c>
      <c r="S249" t="str">
        <f t="shared" si="226"/>
        <v/>
      </c>
      <c r="T249" s="5" t="str">
        <f t="shared" si="208"/>
        <v/>
      </c>
      <c r="U249" s="5" t="str">
        <f t="shared" si="227"/>
        <v/>
      </c>
      <c r="V249" s="5" t="str">
        <f t="shared" si="200"/>
        <v/>
      </c>
      <c r="W249" s="5" t="str">
        <f t="shared" si="209"/>
        <v/>
      </c>
      <c r="X249" s="5" t="str">
        <f t="shared" si="210"/>
        <v/>
      </c>
      <c r="Y249" s="5" t="str">
        <f t="shared" si="228"/>
        <v/>
      </c>
      <c r="Z249" s="5" t="str">
        <f t="shared" si="229"/>
        <v/>
      </c>
      <c r="AA249" s="13" t="str">
        <f t="shared" si="230"/>
        <v/>
      </c>
      <c r="AC249" t="str">
        <f t="shared" si="206"/>
        <v/>
      </c>
      <c r="AD249" t="str">
        <f t="shared" si="207"/>
        <v/>
      </c>
      <c r="AE249" t="str">
        <f t="shared" si="231"/>
        <v/>
      </c>
      <c r="AF249" s="5" t="str">
        <f t="shared" si="211"/>
        <v/>
      </c>
      <c r="AG249" s="5" t="str">
        <f t="shared" si="232"/>
        <v/>
      </c>
      <c r="AH249" s="5" t="str">
        <f t="shared" si="201"/>
        <v/>
      </c>
      <c r="AI249" s="5" t="str">
        <f t="shared" si="212"/>
        <v/>
      </c>
      <c r="AJ249" s="5" t="str">
        <f t="shared" si="213"/>
        <v/>
      </c>
      <c r="AK249" s="5" t="str">
        <f t="shared" si="233"/>
        <v/>
      </c>
      <c r="AL249" s="5" t="str">
        <f t="shared" si="234"/>
        <v/>
      </c>
      <c r="AM249" s="13" t="str">
        <f t="shared" si="235"/>
        <v/>
      </c>
    </row>
    <row r="250" spans="1:39" x14ac:dyDescent="0.35">
      <c r="A250" t="str">
        <f t="shared" si="202"/>
        <v/>
      </c>
      <c r="B250" t="str">
        <f t="shared" si="203"/>
        <v/>
      </c>
      <c r="C250" t="str">
        <f t="shared" si="214"/>
        <v/>
      </c>
      <c r="D250" s="5" t="str">
        <f t="shared" si="215"/>
        <v/>
      </c>
      <c r="E250" s="5" t="str">
        <f>IFERROR(IF($A250="", "", _xlfn.XLOOKUP(A250,Offset!A:A,Offset!I:I, 0)), 0)</f>
        <v/>
      </c>
      <c r="F250" s="5" t="str">
        <f t="shared" si="216"/>
        <v/>
      </c>
      <c r="G250" s="5" t="str">
        <f t="shared" si="217"/>
        <v/>
      </c>
      <c r="H250" s="5" t="str">
        <f t="shared" si="218"/>
        <v/>
      </c>
      <c r="I250" s="5" t="str">
        <f t="shared" si="219"/>
        <v/>
      </c>
      <c r="J250" s="5" t="str">
        <f t="shared" si="220"/>
        <v/>
      </c>
      <c r="K250" s="5" t="str">
        <f t="shared" si="221"/>
        <v/>
      </c>
      <c r="L250" s="5" t="str">
        <f t="shared" si="222"/>
        <v/>
      </c>
      <c r="M250" s="5" t="str">
        <f t="shared" si="223"/>
        <v/>
      </c>
      <c r="N250" s="5" t="str">
        <f t="shared" si="224"/>
        <v/>
      </c>
      <c r="O250" s="13" t="str">
        <f t="shared" si="225"/>
        <v/>
      </c>
      <c r="Q250" t="str">
        <f t="shared" si="204"/>
        <v/>
      </c>
      <c r="R250" t="str">
        <f t="shared" si="205"/>
        <v/>
      </c>
      <c r="S250" t="str">
        <f t="shared" si="226"/>
        <v/>
      </c>
      <c r="T250" s="5" t="str">
        <f t="shared" si="208"/>
        <v/>
      </c>
      <c r="U250" s="5" t="str">
        <f t="shared" si="227"/>
        <v/>
      </c>
      <c r="V250" s="5" t="str">
        <f t="shared" si="200"/>
        <v/>
      </c>
      <c r="W250" s="5" t="str">
        <f t="shared" si="209"/>
        <v/>
      </c>
      <c r="X250" s="5" t="str">
        <f t="shared" si="210"/>
        <v/>
      </c>
      <c r="Y250" s="5" t="str">
        <f t="shared" si="228"/>
        <v/>
      </c>
      <c r="Z250" s="5" t="str">
        <f t="shared" si="229"/>
        <v/>
      </c>
      <c r="AA250" s="13" t="str">
        <f t="shared" si="230"/>
        <v/>
      </c>
      <c r="AC250" t="str">
        <f t="shared" si="206"/>
        <v/>
      </c>
      <c r="AD250" t="str">
        <f t="shared" si="207"/>
        <v/>
      </c>
      <c r="AE250" t="str">
        <f t="shared" si="231"/>
        <v/>
      </c>
      <c r="AF250" s="5" t="str">
        <f t="shared" si="211"/>
        <v/>
      </c>
      <c r="AG250" s="5" t="str">
        <f t="shared" si="232"/>
        <v/>
      </c>
      <c r="AH250" s="5" t="str">
        <f t="shared" si="201"/>
        <v/>
      </c>
      <c r="AI250" s="5" t="str">
        <f t="shared" si="212"/>
        <v/>
      </c>
      <c r="AJ250" s="5" t="str">
        <f t="shared" si="213"/>
        <v/>
      </c>
      <c r="AK250" s="5" t="str">
        <f t="shared" si="233"/>
        <v/>
      </c>
      <c r="AL250" s="5" t="str">
        <f t="shared" si="234"/>
        <v/>
      </c>
      <c r="AM250" s="13" t="str">
        <f t="shared" si="235"/>
        <v/>
      </c>
    </row>
    <row r="251" spans="1:39" x14ac:dyDescent="0.35">
      <c r="A251" t="str">
        <f t="shared" si="202"/>
        <v/>
      </c>
      <c r="B251" t="str">
        <f t="shared" si="203"/>
        <v/>
      </c>
      <c r="C251" t="str">
        <f t="shared" si="214"/>
        <v/>
      </c>
      <c r="D251" s="5" t="str">
        <f t="shared" si="215"/>
        <v/>
      </c>
      <c r="E251" s="5" t="str">
        <f>IFERROR(IF($A251="", "", _xlfn.XLOOKUP(A251,Offset!A:A,Offset!I:I, 0)), 0)</f>
        <v/>
      </c>
      <c r="F251" s="5" t="str">
        <f t="shared" si="216"/>
        <v/>
      </c>
      <c r="G251" s="5" t="str">
        <f t="shared" si="217"/>
        <v/>
      </c>
      <c r="H251" s="5" t="str">
        <f t="shared" si="218"/>
        <v/>
      </c>
      <c r="I251" s="5" t="str">
        <f t="shared" si="219"/>
        <v/>
      </c>
      <c r="J251" s="5" t="str">
        <f t="shared" si="220"/>
        <v/>
      </c>
      <c r="K251" s="5" t="str">
        <f t="shared" si="221"/>
        <v/>
      </c>
      <c r="L251" s="5" t="str">
        <f t="shared" si="222"/>
        <v/>
      </c>
      <c r="M251" s="5" t="str">
        <f t="shared" si="223"/>
        <v/>
      </c>
      <c r="N251" s="5" t="str">
        <f t="shared" si="224"/>
        <v/>
      </c>
      <c r="O251" s="13" t="str">
        <f t="shared" si="225"/>
        <v/>
      </c>
      <c r="Q251" t="str">
        <f t="shared" si="204"/>
        <v/>
      </c>
      <c r="R251" t="str">
        <f t="shared" si="205"/>
        <v/>
      </c>
      <c r="S251" t="str">
        <f t="shared" si="226"/>
        <v/>
      </c>
      <c r="T251" s="5" t="str">
        <f t="shared" si="208"/>
        <v/>
      </c>
      <c r="U251" s="5" t="str">
        <f t="shared" si="227"/>
        <v/>
      </c>
      <c r="V251" s="5" t="str">
        <f t="shared" si="200"/>
        <v/>
      </c>
      <c r="W251" s="5" t="str">
        <f t="shared" si="209"/>
        <v/>
      </c>
      <c r="X251" s="5" t="str">
        <f t="shared" si="210"/>
        <v/>
      </c>
      <c r="Y251" s="5" t="str">
        <f t="shared" si="228"/>
        <v/>
      </c>
      <c r="Z251" s="5" t="str">
        <f t="shared" si="229"/>
        <v/>
      </c>
      <c r="AA251" s="13" t="str">
        <f t="shared" si="230"/>
        <v/>
      </c>
      <c r="AC251" t="str">
        <f t="shared" si="206"/>
        <v/>
      </c>
      <c r="AD251" t="str">
        <f t="shared" si="207"/>
        <v/>
      </c>
      <c r="AE251" t="str">
        <f t="shared" si="231"/>
        <v/>
      </c>
      <c r="AF251" s="5" t="str">
        <f t="shared" si="211"/>
        <v/>
      </c>
      <c r="AG251" s="5" t="str">
        <f t="shared" si="232"/>
        <v/>
      </c>
      <c r="AH251" s="5" t="str">
        <f t="shared" si="201"/>
        <v/>
      </c>
      <c r="AI251" s="5" t="str">
        <f t="shared" si="212"/>
        <v/>
      </c>
      <c r="AJ251" s="5" t="str">
        <f t="shared" si="213"/>
        <v/>
      </c>
      <c r="AK251" s="5" t="str">
        <f t="shared" si="233"/>
        <v/>
      </c>
      <c r="AL251" s="5" t="str">
        <f t="shared" si="234"/>
        <v/>
      </c>
      <c r="AM251" s="13" t="str">
        <f t="shared" si="235"/>
        <v/>
      </c>
    </row>
    <row r="252" spans="1:39" x14ac:dyDescent="0.35">
      <c r="A252" t="str">
        <f t="shared" si="202"/>
        <v/>
      </c>
      <c r="B252" t="str">
        <f t="shared" si="203"/>
        <v/>
      </c>
      <c r="C252" t="str">
        <f t="shared" si="214"/>
        <v/>
      </c>
      <c r="D252" s="5" t="str">
        <f t="shared" si="215"/>
        <v/>
      </c>
      <c r="E252" s="5" t="str">
        <f>IFERROR(IF($A252="", "", _xlfn.XLOOKUP(A252,Offset!A:A,Offset!I:I, 0)), 0)</f>
        <v/>
      </c>
      <c r="F252" s="5" t="str">
        <f t="shared" si="216"/>
        <v/>
      </c>
      <c r="G252" s="5" t="str">
        <f t="shared" si="217"/>
        <v/>
      </c>
      <c r="H252" s="5" t="str">
        <f t="shared" si="218"/>
        <v/>
      </c>
      <c r="I252" s="5" t="str">
        <f t="shared" si="219"/>
        <v/>
      </c>
      <c r="J252" s="5" t="str">
        <f t="shared" si="220"/>
        <v/>
      </c>
      <c r="K252" s="5" t="str">
        <f t="shared" si="221"/>
        <v/>
      </c>
      <c r="L252" s="5" t="str">
        <f t="shared" si="222"/>
        <v/>
      </c>
      <c r="M252" s="5" t="str">
        <f t="shared" si="223"/>
        <v/>
      </c>
      <c r="N252" s="5" t="str">
        <f t="shared" si="224"/>
        <v/>
      </c>
      <c r="O252" s="13" t="str">
        <f t="shared" si="225"/>
        <v/>
      </c>
      <c r="Q252" t="str">
        <f t="shared" si="204"/>
        <v/>
      </c>
      <c r="R252" t="str">
        <f t="shared" si="205"/>
        <v/>
      </c>
      <c r="S252" t="str">
        <f t="shared" si="226"/>
        <v/>
      </c>
      <c r="T252" s="5" t="str">
        <f t="shared" si="208"/>
        <v/>
      </c>
      <c r="U252" s="5" t="str">
        <f t="shared" si="227"/>
        <v/>
      </c>
      <c r="V252" s="5" t="str">
        <f t="shared" ref="V252:V279" si="236">IFERROR(IF($Q252="", "", IF(T252&lt;=0, 0, MIN(StdPayment, T252+U252))), 0)</f>
        <v/>
      </c>
      <c r="W252" s="5" t="str">
        <f t="shared" si="209"/>
        <v/>
      </c>
      <c r="X252" s="5" t="str">
        <f t="shared" si="210"/>
        <v/>
      </c>
      <c r="Y252" s="5" t="str">
        <f t="shared" si="228"/>
        <v/>
      </c>
      <c r="Z252" s="5" t="str">
        <f t="shared" si="229"/>
        <v/>
      </c>
      <c r="AA252" s="13" t="str">
        <f t="shared" si="230"/>
        <v/>
      </c>
      <c r="AC252" t="str">
        <f t="shared" si="206"/>
        <v/>
      </c>
      <c r="AD252" t="str">
        <f t="shared" si="207"/>
        <v/>
      </c>
      <c r="AE252" t="str">
        <f t="shared" si="231"/>
        <v/>
      </c>
      <c r="AF252" s="5" t="str">
        <f t="shared" si="211"/>
        <v/>
      </c>
      <c r="AG252" s="5" t="str">
        <f t="shared" si="232"/>
        <v/>
      </c>
      <c r="AH252" s="5" t="str">
        <f t="shared" ref="AH252:AH279" si="237">IFERROR(IF($AC252="", "", IF(AF252&lt;=0, 0, MIN(StdPayment+IF(ISBLANK(ExtraRepay),0,ExtraRepay), AF252+AG252))), 0)</f>
        <v/>
      </c>
      <c r="AI252" s="5" t="str">
        <f t="shared" si="212"/>
        <v/>
      </c>
      <c r="AJ252" s="5" t="str">
        <f t="shared" si="213"/>
        <v/>
      </c>
      <c r="AK252" s="5" t="str">
        <f t="shared" si="233"/>
        <v/>
      </c>
      <c r="AL252" s="5" t="str">
        <f t="shared" si="234"/>
        <v/>
      </c>
      <c r="AM252" s="13" t="str">
        <f t="shared" si="235"/>
        <v/>
      </c>
    </row>
    <row r="253" spans="1:39" x14ac:dyDescent="0.35">
      <c r="A253" t="str">
        <f t="shared" si="202"/>
        <v/>
      </c>
      <c r="B253" t="str">
        <f t="shared" si="203"/>
        <v/>
      </c>
      <c r="C253" t="str">
        <f t="shared" si="214"/>
        <v/>
      </c>
      <c r="D253" s="5" t="str">
        <f t="shared" si="215"/>
        <v/>
      </c>
      <c r="E253" s="5" t="str">
        <f>IFERROR(IF($A253="", "", _xlfn.XLOOKUP(A253,Offset!A:A,Offset!I:I, 0)), 0)</f>
        <v/>
      </c>
      <c r="F253" s="5" t="str">
        <f t="shared" si="216"/>
        <v/>
      </c>
      <c r="G253" s="5" t="str">
        <f t="shared" si="217"/>
        <v/>
      </c>
      <c r="H253" s="5" t="str">
        <f t="shared" si="218"/>
        <v/>
      </c>
      <c r="I253" s="5" t="str">
        <f t="shared" si="219"/>
        <v/>
      </c>
      <c r="J253" s="5" t="str">
        <f t="shared" si="220"/>
        <v/>
      </c>
      <c r="K253" s="5" t="str">
        <f t="shared" si="221"/>
        <v/>
      </c>
      <c r="L253" s="5" t="str">
        <f t="shared" si="222"/>
        <v/>
      </c>
      <c r="M253" s="5" t="str">
        <f t="shared" si="223"/>
        <v/>
      </c>
      <c r="N253" s="5" t="str">
        <f t="shared" si="224"/>
        <v/>
      </c>
      <c r="O253" s="13" t="str">
        <f t="shared" si="225"/>
        <v/>
      </c>
      <c r="Q253" t="str">
        <f t="shared" si="204"/>
        <v/>
      </c>
      <c r="R253" t="str">
        <f t="shared" si="205"/>
        <v/>
      </c>
      <c r="S253" t="str">
        <f t="shared" si="226"/>
        <v/>
      </c>
      <c r="T253" s="5" t="str">
        <f t="shared" si="208"/>
        <v/>
      </c>
      <c r="U253" s="5" t="str">
        <f t="shared" si="227"/>
        <v/>
      </c>
      <c r="V253" s="5" t="str">
        <f t="shared" si="236"/>
        <v/>
      </c>
      <c r="W253" s="5" t="str">
        <f t="shared" si="209"/>
        <v/>
      </c>
      <c r="X253" s="5" t="str">
        <f t="shared" si="210"/>
        <v/>
      </c>
      <c r="Y253" s="5" t="str">
        <f t="shared" si="228"/>
        <v/>
      </c>
      <c r="Z253" s="5" t="str">
        <f t="shared" si="229"/>
        <v/>
      </c>
      <c r="AA253" s="13" t="str">
        <f t="shared" si="230"/>
        <v/>
      </c>
      <c r="AC253" t="str">
        <f t="shared" si="206"/>
        <v/>
      </c>
      <c r="AD253" t="str">
        <f t="shared" si="207"/>
        <v/>
      </c>
      <c r="AE253" t="str">
        <f t="shared" si="231"/>
        <v/>
      </c>
      <c r="AF253" s="5" t="str">
        <f t="shared" si="211"/>
        <v/>
      </c>
      <c r="AG253" s="5" t="str">
        <f t="shared" si="232"/>
        <v/>
      </c>
      <c r="AH253" s="5" t="str">
        <f t="shared" si="237"/>
        <v/>
      </c>
      <c r="AI253" s="5" t="str">
        <f t="shared" si="212"/>
        <v/>
      </c>
      <c r="AJ253" s="5" t="str">
        <f t="shared" si="213"/>
        <v/>
      </c>
      <c r="AK253" s="5" t="str">
        <f t="shared" si="233"/>
        <v/>
      </c>
      <c r="AL253" s="5" t="str">
        <f t="shared" si="234"/>
        <v/>
      </c>
      <c r="AM253" s="13" t="str">
        <f t="shared" si="235"/>
        <v/>
      </c>
    </row>
    <row r="254" spans="1:39" x14ac:dyDescent="0.35">
      <c r="A254" t="str">
        <f t="shared" si="202"/>
        <v/>
      </c>
      <c r="B254" t="str">
        <f t="shared" si="203"/>
        <v/>
      </c>
      <c r="C254" t="str">
        <f t="shared" si="214"/>
        <v/>
      </c>
      <c r="D254" s="5" t="str">
        <f t="shared" si="215"/>
        <v/>
      </c>
      <c r="E254" s="5" t="str">
        <f>IFERROR(IF($A254="", "", _xlfn.XLOOKUP(A254,Offset!A:A,Offset!I:I, 0)), 0)</f>
        <v/>
      </c>
      <c r="F254" s="5" t="str">
        <f t="shared" si="216"/>
        <v/>
      </c>
      <c r="G254" s="5" t="str">
        <f t="shared" si="217"/>
        <v/>
      </c>
      <c r="H254" s="5" t="str">
        <f t="shared" si="218"/>
        <v/>
      </c>
      <c r="I254" s="5" t="str">
        <f t="shared" si="219"/>
        <v/>
      </c>
      <c r="J254" s="5" t="str">
        <f t="shared" si="220"/>
        <v/>
      </c>
      <c r="K254" s="5" t="str">
        <f t="shared" si="221"/>
        <v/>
      </c>
      <c r="L254" s="5" t="str">
        <f t="shared" si="222"/>
        <v/>
      </c>
      <c r="M254" s="5" t="str">
        <f t="shared" si="223"/>
        <v/>
      </c>
      <c r="N254" s="5" t="str">
        <f t="shared" si="224"/>
        <v/>
      </c>
      <c r="O254" s="13" t="str">
        <f t="shared" si="225"/>
        <v/>
      </c>
      <c r="Q254" t="str">
        <f t="shared" si="204"/>
        <v/>
      </c>
      <c r="R254" t="str">
        <f t="shared" si="205"/>
        <v/>
      </c>
      <c r="S254" t="str">
        <f t="shared" si="226"/>
        <v/>
      </c>
      <c r="T254" s="5" t="str">
        <f t="shared" si="208"/>
        <v/>
      </c>
      <c r="U254" s="5" t="str">
        <f t="shared" si="227"/>
        <v/>
      </c>
      <c r="V254" s="5" t="str">
        <f t="shared" si="236"/>
        <v/>
      </c>
      <c r="W254" s="5" t="str">
        <f t="shared" si="209"/>
        <v/>
      </c>
      <c r="X254" s="5" t="str">
        <f t="shared" si="210"/>
        <v/>
      </c>
      <c r="Y254" s="5" t="str">
        <f t="shared" si="228"/>
        <v/>
      </c>
      <c r="Z254" s="5" t="str">
        <f t="shared" si="229"/>
        <v/>
      </c>
      <c r="AA254" s="13" t="str">
        <f t="shared" si="230"/>
        <v/>
      </c>
      <c r="AC254" t="str">
        <f t="shared" si="206"/>
        <v/>
      </c>
      <c r="AD254" t="str">
        <f t="shared" si="207"/>
        <v/>
      </c>
      <c r="AE254" t="str">
        <f t="shared" si="231"/>
        <v/>
      </c>
      <c r="AF254" s="5" t="str">
        <f t="shared" si="211"/>
        <v/>
      </c>
      <c r="AG254" s="5" t="str">
        <f t="shared" si="232"/>
        <v/>
      </c>
      <c r="AH254" s="5" t="str">
        <f t="shared" si="237"/>
        <v/>
      </c>
      <c r="AI254" s="5" t="str">
        <f t="shared" si="212"/>
        <v/>
      </c>
      <c r="AJ254" s="5" t="str">
        <f t="shared" si="213"/>
        <v/>
      </c>
      <c r="AK254" s="5" t="str">
        <f t="shared" si="233"/>
        <v/>
      </c>
      <c r="AL254" s="5" t="str">
        <f t="shared" si="234"/>
        <v/>
      </c>
      <c r="AM254" s="13" t="str">
        <f t="shared" si="235"/>
        <v/>
      </c>
    </row>
    <row r="255" spans="1:39" x14ac:dyDescent="0.35">
      <c r="A255" t="str">
        <f t="shared" si="202"/>
        <v/>
      </c>
      <c r="B255" t="str">
        <f t="shared" si="203"/>
        <v/>
      </c>
      <c r="C255" t="str">
        <f t="shared" si="214"/>
        <v/>
      </c>
      <c r="D255" s="5" t="str">
        <f t="shared" si="215"/>
        <v/>
      </c>
      <c r="E255" s="5" t="str">
        <f>IFERROR(IF($A255="", "", _xlfn.XLOOKUP(A255,Offset!A:A,Offset!I:I, 0)), 0)</f>
        <v/>
      </c>
      <c r="F255" s="5" t="str">
        <f t="shared" si="216"/>
        <v/>
      </c>
      <c r="G255" s="5" t="str">
        <f t="shared" si="217"/>
        <v/>
      </c>
      <c r="H255" s="5" t="str">
        <f t="shared" si="218"/>
        <v/>
      </c>
      <c r="I255" s="5" t="str">
        <f t="shared" si="219"/>
        <v/>
      </c>
      <c r="J255" s="5" t="str">
        <f t="shared" si="220"/>
        <v/>
      </c>
      <c r="K255" s="5" t="str">
        <f t="shared" si="221"/>
        <v/>
      </c>
      <c r="L255" s="5" t="str">
        <f t="shared" si="222"/>
        <v/>
      </c>
      <c r="M255" s="5" t="str">
        <f t="shared" si="223"/>
        <v/>
      </c>
      <c r="N255" s="5" t="str">
        <f t="shared" si="224"/>
        <v/>
      </c>
      <c r="O255" s="13" t="str">
        <f t="shared" si="225"/>
        <v/>
      </c>
      <c r="Q255" t="str">
        <f t="shared" si="204"/>
        <v/>
      </c>
      <c r="R255" t="str">
        <f t="shared" si="205"/>
        <v/>
      </c>
      <c r="S255" t="str">
        <f t="shared" si="226"/>
        <v/>
      </c>
      <c r="T255" s="5" t="str">
        <f t="shared" si="208"/>
        <v/>
      </c>
      <c r="U255" s="5" t="str">
        <f t="shared" si="227"/>
        <v/>
      </c>
      <c r="V255" s="5" t="str">
        <f t="shared" si="236"/>
        <v/>
      </c>
      <c r="W255" s="5" t="str">
        <f t="shared" si="209"/>
        <v/>
      </c>
      <c r="X255" s="5" t="str">
        <f t="shared" si="210"/>
        <v/>
      </c>
      <c r="Y255" s="5" t="str">
        <f t="shared" si="228"/>
        <v/>
      </c>
      <c r="Z255" s="5" t="str">
        <f t="shared" si="229"/>
        <v/>
      </c>
      <c r="AA255" s="13" t="str">
        <f t="shared" si="230"/>
        <v/>
      </c>
      <c r="AC255" t="str">
        <f t="shared" si="206"/>
        <v/>
      </c>
      <c r="AD255" t="str">
        <f t="shared" si="207"/>
        <v/>
      </c>
      <c r="AE255" t="str">
        <f t="shared" si="231"/>
        <v/>
      </c>
      <c r="AF255" s="5" t="str">
        <f t="shared" si="211"/>
        <v/>
      </c>
      <c r="AG255" s="5" t="str">
        <f t="shared" si="232"/>
        <v/>
      </c>
      <c r="AH255" s="5" t="str">
        <f t="shared" si="237"/>
        <v/>
      </c>
      <c r="AI255" s="5" t="str">
        <f t="shared" si="212"/>
        <v/>
      </c>
      <c r="AJ255" s="5" t="str">
        <f t="shared" si="213"/>
        <v/>
      </c>
      <c r="AK255" s="5" t="str">
        <f t="shared" si="233"/>
        <v/>
      </c>
      <c r="AL255" s="5" t="str">
        <f t="shared" si="234"/>
        <v/>
      </c>
      <c r="AM255" s="13" t="str">
        <f t="shared" si="235"/>
        <v/>
      </c>
    </row>
    <row r="256" spans="1:39" x14ac:dyDescent="0.35">
      <c r="A256" t="str">
        <f t="shared" si="202"/>
        <v/>
      </c>
      <c r="B256" t="str">
        <f t="shared" si="203"/>
        <v/>
      </c>
      <c r="C256" t="str">
        <f t="shared" si="214"/>
        <v/>
      </c>
      <c r="D256" s="5" t="str">
        <f t="shared" si="215"/>
        <v/>
      </c>
      <c r="E256" s="5" t="str">
        <f>IFERROR(IF($A256="", "", _xlfn.XLOOKUP(A256,Offset!A:A,Offset!I:I, 0)), 0)</f>
        <v/>
      </c>
      <c r="F256" s="5" t="str">
        <f t="shared" si="216"/>
        <v/>
      </c>
      <c r="G256" s="5" t="str">
        <f t="shared" si="217"/>
        <v/>
      </c>
      <c r="H256" s="5" t="str">
        <f t="shared" si="218"/>
        <v/>
      </c>
      <c r="I256" s="5" t="str">
        <f t="shared" si="219"/>
        <v/>
      </c>
      <c r="J256" s="5" t="str">
        <f t="shared" si="220"/>
        <v/>
      </c>
      <c r="K256" s="5" t="str">
        <f t="shared" si="221"/>
        <v/>
      </c>
      <c r="L256" s="5" t="str">
        <f t="shared" si="222"/>
        <v/>
      </c>
      <c r="M256" s="5" t="str">
        <f t="shared" si="223"/>
        <v/>
      </c>
      <c r="N256" s="5" t="str">
        <f t="shared" si="224"/>
        <v/>
      </c>
      <c r="O256" s="13" t="str">
        <f t="shared" si="225"/>
        <v/>
      </c>
      <c r="Q256" t="str">
        <f t="shared" si="204"/>
        <v/>
      </c>
      <c r="R256" t="str">
        <f t="shared" si="205"/>
        <v/>
      </c>
      <c r="S256" t="str">
        <f t="shared" si="226"/>
        <v/>
      </c>
      <c r="T256" s="5" t="str">
        <f t="shared" si="208"/>
        <v/>
      </c>
      <c r="U256" s="5" t="str">
        <f t="shared" si="227"/>
        <v/>
      </c>
      <c r="V256" s="5" t="str">
        <f t="shared" si="236"/>
        <v/>
      </c>
      <c r="W256" s="5" t="str">
        <f t="shared" si="209"/>
        <v/>
      </c>
      <c r="X256" s="5" t="str">
        <f t="shared" si="210"/>
        <v/>
      </c>
      <c r="Y256" s="5" t="str">
        <f t="shared" si="228"/>
        <v/>
      </c>
      <c r="Z256" s="5" t="str">
        <f t="shared" si="229"/>
        <v/>
      </c>
      <c r="AA256" s="13" t="str">
        <f t="shared" si="230"/>
        <v/>
      </c>
      <c r="AC256" t="str">
        <f t="shared" si="206"/>
        <v/>
      </c>
      <c r="AD256" t="str">
        <f t="shared" si="207"/>
        <v/>
      </c>
      <c r="AE256" t="str">
        <f t="shared" si="231"/>
        <v/>
      </c>
      <c r="AF256" s="5" t="str">
        <f t="shared" si="211"/>
        <v/>
      </c>
      <c r="AG256" s="5" t="str">
        <f t="shared" si="232"/>
        <v/>
      </c>
      <c r="AH256" s="5" t="str">
        <f t="shared" si="237"/>
        <v/>
      </c>
      <c r="AI256" s="5" t="str">
        <f t="shared" si="212"/>
        <v/>
      </c>
      <c r="AJ256" s="5" t="str">
        <f t="shared" si="213"/>
        <v/>
      </c>
      <c r="AK256" s="5" t="str">
        <f t="shared" si="233"/>
        <v/>
      </c>
      <c r="AL256" s="5" t="str">
        <f t="shared" si="234"/>
        <v/>
      </c>
      <c r="AM256" s="13" t="str">
        <f t="shared" si="235"/>
        <v/>
      </c>
    </row>
    <row r="257" spans="1:39" x14ac:dyDescent="0.35">
      <c r="A257" t="str">
        <f t="shared" si="202"/>
        <v/>
      </c>
      <c r="B257" t="str">
        <f t="shared" si="203"/>
        <v/>
      </c>
      <c r="C257" t="str">
        <f t="shared" si="214"/>
        <v/>
      </c>
      <c r="D257" s="5" t="str">
        <f t="shared" si="215"/>
        <v/>
      </c>
      <c r="E257" s="5" t="str">
        <f>IFERROR(IF($A257="", "", _xlfn.XLOOKUP(A257,Offset!A:A,Offset!I:I, 0)), 0)</f>
        <v/>
      </c>
      <c r="F257" s="5" t="str">
        <f t="shared" si="216"/>
        <v/>
      </c>
      <c r="G257" s="5" t="str">
        <f t="shared" si="217"/>
        <v/>
      </c>
      <c r="H257" s="5" t="str">
        <f t="shared" si="218"/>
        <v/>
      </c>
      <c r="I257" s="5" t="str">
        <f t="shared" si="219"/>
        <v/>
      </c>
      <c r="J257" s="5" t="str">
        <f t="shared" si="220"/>
        <v/>
      </c>
      <c r="K257" s="5" t="str">
        <f t="shared" si="221"/>
        <v/>
      </c>
      <c r="L257" s="5" t="str">
        <f t="shared" si="222"/>
        <v/>
      </c>
      <c r="M257" s="5" t="str">
        <f t="shared" si="223"/>
        <v/>
      </c>
      <c r="N257" s="5" t="str">
        <f t="shared" si="224"/>
        <v/>
      </c>
      <c r="O257" s="13" t="str">
        <f t="shared" si="225"/>
        <v/>
      </c>
      <c r="Q257" t="str">
        <f t="shared" si="204"/>
        <v/>
      </c>
      <c r="R257" t="str">
        <f t="shared" si="205"/>
        <v/>
      </c>
      <c r="S257" t="str">
        <f t="shared" si="226"/>
        <v/>
      </c>
      <c r="T257" s="5" t="str">
        <f t="shared" si="208"/>
        <v/>
      </c>
      <c r="U257" s="5" t="str">
        <f t="shared" si="227"/>
        <v/>
      </c>
      <c r="V257" s="5" t="str">
        <f t="shared" si="236"/>
        <v/>
      </c>
      <c r="W257" s="5" t="str">
        <f t="shared" si="209"/>
        <v/>
      </c>
      <c r="X257" s="5" t="str">
        <f t="shared" si="210"/>
        <v/>
      </c>
      <c r="Y257" s="5" t="str">
        <f t="shared" si="228"/>
        <v/>
      </c>
      <c r="Z257" s="5" t="str">
        <f t="shared" si="229"/>
        <v/>
      </c>
      <c r="AA257" s="13" t="str">
        <f t="shared" si="230"/>
        <v/>
      </c>
      <c r="AC257" t="str">
        <f t="shared" si="206"/>
        <v/>
      </c>
      <c r="AD257" t="str">
        <f t="shared" si="207"/>
        <v/>
      </c>
      <c r="AE257" t="str">
        <f t="shared" si="231"/>
        <v/>
      </c>
      <c r="AF257" s="5" t="str">
        <f t="shared" si="211"/>
        <v/>
      </c>
      <c r="AG257" s="5" t="str">
        <f t="shared" si="232"/>
        <v/>
      </c>
      <c r="AH257" s="5" t="str">
        <f t="shared" si="237"/>
        <v/>
      </c>
      <c r="AI257" s="5" t="str">
        <f t="shared" si="212"/>
        <v/>
      </c>
      <c r="AJ257" s="5" t="str">
        <f t="shared" si="213"/>
        <v/>
      </c>
      <c r="AK257" s="5" t="str">
        <f t="shared" si="233"/>
        <v/>
      </c>
      <c r="AL257" s="5" t="str">
        <f t="shared" si="234"/>
        <v/>
      </c>
      <c r="AM257" s="13" t="str">
        <f t="shared" si="235"/>
        <v/>
      </c>
    </row>
    <row r="258" spans="1:39" x14ac:dyDescent="0.35">
      <c r="A258" t="str">
        <f t="shared" si="202"/>
        <v/>
      </c>
      <c r="B258" t="str">
        <f t="shared" si="203"/>
        <v/>
      </c>
      <c r="C258" t="str">
        <f t="shared" si="214"/>
        <v/>
      </c>
      <c r="D258" s="5" t="str">
        <f t="shared" si="215"/>
        <v/>
      </c>
      <c r="E258" s="5" t="str">
        <f>IFERROR(IF($A258="", "", _xlfn.XLOOKUP(A258,Offset!A:A,Offset!I:I, 0)), 0)</f>
        <v/>
      </c>
      <c r="F258" s="5" t="str">
        <f t="shared" si="216"/>
        <v/>
      </c>
      <c r="G258" s="5" t="str">
        <f t="shared" si="217"/>
        <v/>
      </c>
      <c r="H258" s="5" t="str">
        <f t="shared" si="218"/>
        <v/>
      </c>
      <c r="I258" s="5" t="str">
        <f t="shared" si="219"/>
        <v/>
      </c>
      <c r="J258" s="5" t="str">
        <f t="shared" si="220"/>
        <v/>
      </c>
      <c r="K258" s="5" t="str">
        <f t="shared" si="221"/>
        <v/>
      </c>
      <c r="L258" s="5" t="str">
        <f t="shared" si="222"/>
        <v/>
      </c>
      <c r="M258" s="5" t="str">
        <f t="shared" si="223"/>
        <v/>
      </c>
      <c r="N258" s="5" t="str">
        <f t="shared" si="224"/>
        <v/>
      </c>
      <c r="O258" s="13" t="str">
        <f t="shared" si="225"/>
        <v/>
      </c>
      <c r="Q258" t="str">
        <f t="shared" si="204"/>
        <v/>
      </c>
      <c r="R258" t="str">
        <f t="shared" si="205"/>
        <v/>
      </c>
      <c r="S258" t="str">
        <f t="shared" si="226"/>
        <v/>
      </c>
      <c r="T258" s="5" t="str">
        <f t="shared" si="208"/>
        <v/>
      </c>
      <c r="U258" s="5" t="str">
        <f t="shared" si="227"/>
        <v/>
      </c>
      <c r="V258" s="5" t="str">
        <f t="shared" si="236"/>
        <v/>
      </c>
      <c r="W258" s="5" t="str">
        <f t="shared" si="209"/>
        <v/>
      </c>
      <c r="X258" s="5" t="str">
        <f t="shared" si="210"/>
        <v/>
      </c>
      <c r="Y258" s="5" t="str">
        <f t="shared" si="228"/>
        <v/>
      </c>
      <c r="Z258" s="5" t="str">
        <f t="shared" si="229"/>
        <v/>
      </c>
      <c r="AA258" s="13" t="str">
        <f t="shared" si="230"/>
        <v/>
      </c>
      <c r="AC258" t="str">
        <f t="shared" si="206"/>
        <v/>
      </c>
      <c r="AD258" t="str">
        <f t="shared" si="207"/>
        <v/>
      </c>
      <c r="AE258" t="str">
        <f t="shared" si="231"/>
        <v/>
      </c>
      <c r="AF258" s="5" t="str">
        <f t="shared" si="211"/>
        <v/>
      </c>
      <c r="AG258" s="5" t="str">
        <f t="shared" si="232"/>
        <v/>
      </c>
      <c r="AH258" s="5" t="str">
        <f t="shared" si="237"/>
        <v/>
      </c>
      <c r="AI258" s="5" t="str">
        <f t="shared" si="212"/>
        <v/>
      </c>
      <c r="AJ258" s="5" t="str">
        <f t="shared" si="213"/>
        <v/>
      </c>
      <c r="AK258" s="5" t="str">
        <f t="shared" si="233"/>
        <v/>
      </c>
      <c r="AL258" s="5" t="str">
        <f t="shared" si="234"/>
        <v/>
      </c>
      <c r="AM258" s="13" t="str">
        <f t="shared" si="235"/>
        <v/>
      </c>
    </row>
    <row r="259" spans="1:39" x14ac:dyDescent="0.35">
      <c r="A259" t="str">
        <f t="shared" si="202"/>
        <v/>
      </c>
      <c r="B259" t="str">
        <f t="shared" si="203"/>
        <v/>
      </c>
      <c r="C259" t="str">
        <f t="shared" si="214"/>
        <v/>
      </c>
      <c r="D259" s="5" t="str">
        <f t="shared" si="215"/>
        <v/>
      </c>
      <c r="E259" s="5" t="str">
        <f>IFERROR(IF($A259="", "", _xlfn.XLOOKUP(A259,Offset!A:A,Offset!I:I, 0)), 0)</f>
        <v/>
      </c>
      <c r="F259" s="5" t="str">
        <f t="shared" si="216"/>
        <v/>
      </c>
      <c r="G259" s="5" t="str">
        <f t="shared" si="217"/>
        <v/>
      </c>
      <c r="H259" s="5" t="str">
        <f t="shared" si="218"/>
        <v/>
      </c>
      <c r="I259" s="5" t="str">
        <f t="shared" si="219"/>
        <v/>
      </c>
      <c r="J259" s="5" t="str">
        <f t="shared" si="220"/>
        <v/>
      </c>
      <c r="K259" s="5" t="str">
        <f t="shared" si="221"/>
        <v/>
      </c>
      <c r="L259" s="5" t="str">
        <f t="shared" si="222"/>
        <v/>
      </c>
      <c r="M259" s="5" t="str">
        <f t="shared" si="223"/>
        <v/>
      </c>
      <c r="N259" s="5" t="str">
        <f t="shared" si="224"/>
        <v/>
      </c>
      <c r="O259" s="13" t="str">
        <f t="shared" si="225"/>
        <v/>
      </c>
      <c r="Q259" t="str">
        <f t="shared" si="204"/>
        <v/>
      </c>
      <c r="R259" t="str">
        <f t="shared" si="205"/>
        <v/>
      </c>
      <c r="S259" t="str">
        <f t="shared" si="226"/>
        <v/>
      </c>
      <c r="T259" s="5" t="str">
        <f t="shared" si="208"/>
        <v/>
      </c>
      <c r="U259" s="5" t="str">
        <f t="shared" si="227"/>
        <v/>
      </c>
      <c r="V259" s="5" t="str">
        <f t="shared" si="236"/>
        <v/>
      </c>
      <c r="W259" s="5" t="str">
        <f t="shared" si="209"/>
        <v/>
      </c>
      <c r="X259" s="5" t="str">
        <f t="shared" si="210"/>
        <v/>
      </c>
      <c r="Y259" s="5" t="str">
        <f t="shared" si="228"/>
        <v/>
      </c>
      <c r="Z259" s="5" t="str">
        <f t="shared" si="229"/>
        <v/>
      </c>
      <c r="AA259" s="13" t="str">
        <f t="shared" si="230"/>
        <v/>
      </c>
      <c r="AC259" t="str">
        <f t="shared" si="206"/>
        <v/>
      </c>
      <c r="AD259" t="str">
        <f t="shared" si="207"/>
        <v/>
      </c>
      <c r="AE259" t="str">
        <f t="shared" si="231"/>
        <v/>
      </c>
      <c r="AF259" s="5" t="str">
        <f t="shared" si="211"/>
        <v/>
      </c>
      <c r="AG259" s="5" t="str">
        <f t="shared" si="232"/>
        <v/>
      </c>
      <c r="AH259" s="5" t="str">
        <f t="shared" si="237"/>
        <v/>
      </c>
      <c r="AI259" s="5" t="str">
        <f t="shared" si="212"/>
        <v/>
      </c>
      <c r="AJ259" s="5" t="str">
        <f t="shared" si="213"/>
        <v/>
      </c>
      <c r="AK259" s="5" t="str">
        <f t="shared" si="233"/>
        <v/>
      </c>
      <c r="AL259" s="5" t="str">
        <f t="shared" si="234"/>
        <v/>
      </c>
      <c r="AM259" s="13" t="str">
        <f t="shared" si="235"/>
        <v/>
      </c>
    </row>
    <row r="260" spans="1:39" x14ac:dyDescent="0.35">
      <c r="A260" t="str">
        <f t="shared" si="202"/>
        <v/>
      </c>
      <c r="B260" t="str">
        <f t="shared" si="203"/>
        <v/>
      </c>
      <c r="C260" t="str">
        <f t="shared" si="214"/>
        <v/>
      </c>
      <c r="D260" s="5" t="str">
        <f t="shared" si="215"/>
        <v/>
      </c>
      <c r="E260" s="5" t="str">
        <f>IFERROR(IF($A260="", "", _xlfn.XLOOKUP(A260,Offset!A:A,Offset!I:I, 0)), 0)</f>
        <v/>
      </c>
      <c r="F260" s="5" t="str">
        <f t="shared" si="216"/>
        <v/>
      </c>
      <c r="G260" s="5" t="str">
        <f t="shared" si="217"/>
        <v/>
      </c>
      <c r="H260" s="5" t="str">
        <f t="shared" si="218"/>
        <v/>
      </c>
      <c r="I260" s="5" t="str">
        <f t="shared" si="219"/>
        <v/>
      </c>
      <c r="J260" s="5" t="str">
        <f t="shared" si="220"/>
        <v/>
      </c>
      <c r="K260" s="5" t="str">
        <f t="shared" si="221"/>
        <v/>
      </c>
      <c r="L260" s="5" t="str">
        <f t="shared" si="222"/>
        <v/>
      </c>
      <c r="M260" s="5" t="str">
        <f t="shared" si="223"/>
        <v/>
      </c>
      <c r="N260" s="5" t="str">
        <f t="shared" si="224"/>
        <v/>
      </c>
      <c r="O260" s="13" t="str">
        <f t="shared" si="225"/>
        <v/>
      </c>
      <c r="Q260" t="str">
        <f t="shared" si="204"/>
        <v/>
      </c>
      <c r="R260" t="str">
        <f t="shared" si="205"/>
        <v/>
      </c>
      <c r="S260" t="str">
        <f t="shared" si="226"/>
        <v/>
      </c>
      <c r="T260" s="5" t="str">
        <f t="shared" si="208"/>
        <v/>
      </c>
      <c r="U260" s="5" t="str">
        <f t="shared" si="227"/>
        <v/>
      </c>
      <c r="V260" s="5" t="str">
        <f t="shared" si="236"/>
        <v/>
      </c>
      <c r="W260" s="5" t="str">
        <f t="shared" si="209"/>
        <v/>
      </c>
      <c r="X260" s="5" t="str">
        <f t="shared" si="210"/>
        <v/>
      </c>
      <c r="Y260" s="5" t="str">
        <f t="shared" si="228"/>
        <v/>
      </c>
      <c r="Z260" s="5" t="str">
        <f t="shared" si="229"/>
        <v/>
      </c>
      <c r="AA260" s="13" t="str">
        <f t="shared" si="230"/>
        <v/>
      </c>
      <c r="AC260" t="str">
        <f t="shared" si="206"/>
        <v/>
      </c>
      <c r="AD260" t="str">
        <f t="shared" si="207"/>
        <v/>
      </c>
      <c r="AE260" t="str">
        <f t="shared" si="231"/>
        <v/>
      </c>
      <c r="AF260" s="5" t="str">
        <f t="shared" si="211"/>
        <v/>
      </c>
      <c r="AG260" s="5" t="str">
        <f t="shared" si="232"/>
        <v/>
      </c>
      <c r="AH260" s="5" t="str">
        <f t="shared" si="237"/>
        <v/>
      </c>
      <c r="AI260" s="5" t="str">
        <f t="shared" si="212"/>
        <v/>
      </c>
      <c r="AJ260" s="5" t="str">
        <f t="shared" si="213"/>
        <v/>
      </c>
      <c r="AK260" s="5" t="str">
        <f t="shared" si="233"/>
        <v/>
      </c>
      <c r="AL260" s="5" t="str">
        <f t="shared" si="234"/>
        <v/>
      </c>
      <c r="AM260" s="13" t="str">
        <f t="shared" si="235"/>
        <v/>
      </c>
    </row>
    <row r="261" spans="1:39" x14ac:dyDescent="0.35">
      <c r="A261" t="str">
        <f t="shared" si="202"/>
        <v/>
      </c>
      <c r="B261" t="str">
        <f t="shared" si="203"/>
        <v/>
      </c>
      <c r="C261" t="str">
        <f t="shared" si="214"/>
        <v/>
      </c>
      <c r="D261" s="5" t="str">
        <f t="shared" si="215"/>
        <v/>
      </c>
      <c r="E261" s="5" t="str">
        <f>IFERROR(IF($A261="", "", _xlfn.XLOOKUP(A261,Offset!A:A,Offset!I:I, 0)), 0)</f>
        <v/>
      </c>
      <c r="F261" s="5" t="str">
        <f t="shared" si="216"/>
        <v/>
      </c>
      <c r="G261" s="5" t="str">
        <f t="shared" si="217"/>
        <v/>
      </c>
      <c r="H261" s="5" t="str">
        <f t="shared" si="218"/>
        <v/>
      </c>
      <c r="I261" s="5" t="str">
        <f t="shared" si="219"/>
        <v/>
      </c>
      <c r="J261" s="5" t="str">
        <f t="shared" si="220"/>
        <v/>
      </c>
      <c r="K261" s="5" t="str">
        <f t="shared" si="221"/>
        <v/>
      </c>
      <c r="L261" s="5" t="str">
        <f t="shared" si="222"/>
        <v/>
      </c>
      <c r="M261" s="5" t="str">
        <f t="shared" si="223"/>
        <v/>
      </c>
      <c r="N261" s="5" t="str">
        <f t="shared" si="224"/>
        <v/>
      </c>
      <c r="O261" s="13" t="str">
        <f t="shared" si="225"/>
        <v/>
      </c>
      <c r="Q261" t="str">
        <f t="shared" si="204"/>
        <v/>
      </c>
      <c r="R261" t="str">
        <f t="shared" si="205"/>
        <v/>
      </c>
      <c r="S261" t="str">
        <f t="shared" si="226"/>
        <v/>
      </c>
      <c r="T261" s="5" t="str">
        <f t="shared" si="208"/>
        <v/>
      </c>
      <c r="U261" s="5" t="str">
        <f t="shared" si="227"/>
        <v/>
      </c>
      <c r="V261" s="5" t="str">
        <f t="shared" si="236"/>
        <v/>
      </c>
      <c r="W261" s="5" t="str">
        <f t="shared" si="209"/>
        <v/>
      </c>
      <c r="X261" s="5" t="str">
        <f t="shared" si="210"/>
        <v/>
      </c>
      <c r="Y261" s="5" t="str">
        <f t="shared" si="228"/>
        <v/>
      </c>
      <c r="Z261" s="5" t="str">
        <f t="shared" si="229"/>
        <v/>
      </c>
      <c r="AA261" s="13" t="str">
        <f t="shared" si="230"/>
        <v/>
      </c>
      <c r="AC261" t="str">
        <f t="shared" si="206"/>
        <v/>
      </c>
      <c r="AD261" t="str">
        <f t="shared" si="207"/>
        <v/>
      </c>
      <c r="AE261" t="str">
        <f t="shared" si="231"/>
        <v/>
      </c>
      <c r="AF261" s="5" t="str">
        <f t="shared" si="211"/>
        <v/>
      </c>
      <c r="AG261" s="5" t="str">
        <f t="shared" si="232"/>
        <v/>
      </c>
      <c r="AH261" s="5" t="str">
        <f t="shared" si="237"/>
        <v/>
      </c>
      <c r="AI261" s="5" t="str">
        <f t="shared" si="212"/>
        <v/>
      </c>
      <c r="AJ261" s="5" t="str">
        <f t="shared" si="213"/>
        <v/>
      </c>
      <c r="AK261" s="5" t="str">
        <f t="shared" si="233"/>
        <v/>
      </c>
      <c r="AL261" s="5" t="str">
        <f t="shared" si="234"/>
        <v/>
      </c>
      <c r="AM261" s="13" t="str">
        <f t="shared" si="235"/>
        <v/>
      </c>
    </row>
    <row r="262" spans="1:39" x14ac:dyDescent="0.35">
      <c r="A262" t="str">
        <f t="shared" si="202"/>
        <v/>
      </c>
      <c r="B262" t="str">
        <f t="shared" si="203"/>
        <v/>
      </c>
      <c r="C262" t="str">
        <f t="shared" si="214"/>
        <v/>
      </c>
      <c r="D262" s="5" t="str">
        <f t="shared" si="215"/>
        <v/>
      </c>
      <c r="E262" s="5" t="str">
        <f>IFERROR(IF($A262="", "", _xlfn.XLOOKUP(A262,Offset!A:A,Offset!I:I, 0)), 0)</f>
        <v/>
      </c>
      <c r="F262" s="5" t="str">
        <f t="shared" si="216"/>
        <v/>
      </c>
      <c r="G262" s="5" t="str">
        <f t="shared" si="217"/>
        <v/>
      </c>
      <c r="H262" s="5" t="str">
        <f t="shared" si="218"/>
        <v/>
      </c>
      <c r="I262" s="5" t="str">
        <f t="shared" si="219"/>
        <v/>
      </c>
      <c r="J262" s="5" t="str">
        <f t="shared" si="220"/>
        <v/>
      </c>
      <c r="K262" s="5" t="str">
        <f t="shared" si="221"/>
        <v/>
      </c>
      <c r="L262" s="5" t="str">
        <f t="shared" si="222"/>
        <v/>
      </c>
      <c r="M262" s="5" t="str">
        <f t="shared" si="223"/>
        <v/>
      </c>
      <c r="N262" s="5" t="str">
        <f t="shared" si="224"/>
        <v/>
      </c>
      <c r="O262" s="13" t="str">
        <f t="shared" si="225"/>
        <v/>
      </c>
      <c r="Q262" t="str">
        <f t="shared" si="204"/>
        <v/>
      </c>
      <c r="R262" t="str">
        <f t="shared" si="205"/>
        <v/>
      </c>
      <c r="S262" t="str">
        <f t="shared" si="226"/>
        <v/>
      </c>
      <c r="T262" s="5" t="str">
        <f t="shared" si="208"/>
        <v/>
      </c>
      <c r="U262" s="5" t="str">
        <f t="shared" si="227"/>
        <v/>
      </c>
      <c r="V262" s="5" t="str">
        <f t="shared" si="236"/>
        <v/>
      </c>
      <c r="W262" s="5" t="str">
        <f t="shared" si="209"/>
        <v/>
      </c>
      <c r="X262" s="5" t="str">
        <f t="shared" si="210"/>
        <v/>
      </c>
      <c r="Y262" s="5" t="str">
        <f t="shared" si="228"/>
        <v/>
      </c>
      <c r="Z262" s="5" t="str">
        <f t="shared" si="229"/>
        <v/>
      </c>
      <c r="AA262" s="13" t="str">
        <f t="shared" si="230"/>
        <v/>
      </c>
      <c r="AC262" t="str">
        <f t="shared" si="206"/>
        <v/>
      </c>
      <c r="AD262" t="str">
        <f t="shared" si="207"/>
        <v/>
      </c>
      <c r="AE262" t="str">
        <f t="shared" si="231"/>
        <v/>
      </c>
      <c r="AF262" s="5" t="str">
        <f t="shared" si="211"/>
        <v/>
      </c>
      <c r="AG262" s="5" t="str">
        <f t="shared" si="232"/>
        <v/>
      </c>
      <c r="AH262" s="5" t="str">
        <f t="shared" si="237"/>
        <v/>
      </c>
      <c r="AI262" s="5" t="str">
        <f t="shared" si="212"/>
        <v/>
      </c>
      <c r="AJ262" s="5" t="str">
        <f t="shared" si="213"/>
        <v/>
      </c>
      <c r="AK262" s="5" t="str">
        <f t="shared" si="233"/>
        <v/>
      </c>
      <c r="AL262" s="5" t="str">
        <f t="shared" si="234"/>
        <v/>
      </c>
      <c r="AM262" s="13" t="str">
        <f t="shared" si="235"/>
        <v/>
      </c>
    </row>
    <row r="263" spans="1:39" x14ac:dyDescent="0.35">
      <c r="A263" t="str">
        <f t="shared" si="202"/>
        <v/>
      </c>
      <c r="B263" t="str">
        <f t="shared" si="203"/>
        <v/>
      </c>
      <c r="C263" t="str">
        <f t="shared" si="214"/>
        <v/>
      </c>
      <c r="D263" s="5" t="str">
        <f t="shared" si="215"/>
        <v/>
      </c>
      <c r="E263" s="5" t="str">
        <f>IFERROR(IF($A263="", "", _xlfn.XLOOKUP(A263,Offset!A:A,Offset!I:I, 0)), 0)</f>
        <v/>
      </c>
      <c r="F263" s="5" t="str">
        <f t="shared" si="216"/>
        <v/>
      </c>
      <c r="G263" s="5" t="str">
        <f t="shared" si="217"/>
        <v/>
      </c>
      <c r="H263" s="5" t="str">
        <f t="shared" si="218"/>
        <v/>
      </c>
      <c r="I263" s="5" t="str">
        <f t="shared" si="219"/>
        <v/>
      </c>
      <c r="J263" s="5" t="str">
        <f t="shared" si="220"/>
        <v/>
      </c>
      <c r="K263" s="5" t="str">
        <f t="shared" si="221"/>
        <v/>
      </c>
      <c r="L263" s="5" t="str">
        <f t="shared" si="222"/>
        <v/>
      </c>
      <c r="M263" s="5" t="str">
        <f t="shared" si="223"/>
        <v/>
      </c>
      <c r="N263" s="5" t="str">
        <f t="shared" si="224"/>
        <v/>
      </c>
      <c r="O263" s="13" t="str">
        <f t="shared" si="225"/>
        <v/>
      </c>
      <c r="Q263" t="str">
        <f t="shared" si="204"/>
        <v/>
      </c>
      <c r="R263" t="str">
        <f t="shared" si="205"/>
        <v/>
      </c>
      <c r="S263" t="str">
        <f t="shared" si="226"/>
        <v/>
      </c>
      <c r="T263" s="5" t="str">
        <f t="shared" si="208"/>
        <v/>
      </c>
      <c r="U263" s="5" t="str">
        <f t="shared" si="227"/>
        <v/>
      </c>
      <c r="V263" s="5" t="str">
        <f t="shared" si="236"/>
        <v/>
      </c>
      <c r="W263" s="5" t="str">
        <f t="shared" si="209"/>
        <v/>
      </c>
      <c r="X263" s="5" t="str">
        <f t="shared" si="210"/>
        <v/>
      </c>
      <c r="Y263" s="5" t="str">
        <f t="shared" si="228"/>
        <v/>
      </c>
      <c r="Z263" s="5" t="str">
        <f t="shared" si="229"/>
        <v/>
      </c>
      <c r="AA263" s="13" t="str">
        <f t="shared" si="230"/>
        <v/>
      </c>
      <c r="AC263" t="str">
        <f t="shared" si="206"/>
        <v/>
      </c>
      <c r="AD263" t="str">
        <f t="shared" si="207"/>
        <v/>
      </c>
      <c r="AE263" t="str">
        <f t="shared" si="231"/>
        <v/>
      </c>
      <c r="AF263" s="5" t="str">
        <f t="shared" si="211"/>
        <v/>
      </c>
      <c r="AG263" s="5" t="str">
        <f t="shared" si="232"/>
        <v/>
      </c>
      <c r="AH263" s="5" t="str">
        <f t="shared" si="237"/>
        <v/>
      </c>
      <c r="AI263" s="5" t="str">
        <f t="shared" si="212"/>
        <v/>
      </c>
      <c r="AJ263" s="5" t="str">
        <f t="shared" si="213"/>
        <v/>
      </c>
      <c r="AK263" s="5" t="str">
        <f t="shared" si="233"/>
        <v/>
      </c>
      <c r="AL263" s="5" t="str">
        <f t="shared" si="234"/>
        <v/>
      </c>
      <c r="AM263" s="13" t="str">
        <f t="shared" si="235"/>
        <v/>
      </c>
    </row>
    <row r="264" spans="1:39" x14ac:dyDescent="0.35">
      <c r="A264" t="str">
        <f t="shared" si="202"/>
        <v/>
      </c>
      <c r="B264" t="str">
        <f t="shared" si="203"/>
        <v/>
      </c>
      <c r="C264" t="str">
        <f t="shared" si="214"/>
        <v/>
      </c>
      <c r="D264" s="5" t="str">
        <f t="shared" si="215"/>
        <v/>
      </c>
      <c r="E264" s="5" t="str">
        <f>IFERROR(IF($A264="", "", _xlfn.XLOOKUP(A264,Offset!A:A,Offset!I:I, 0)), 0)</f>
        <v/>
      </c>
      <c r="F264" s="5" t="str">
        <f t="shared" si="216"/>
        <v/>
      </c>
      <c r="G264" s="5" t="str">
        <f t="shared" si="217"/>
        <v/>
      </c>
      <c r="H264" s="5" t="str">
        <f t="shared" si="218"/>
        <v/>
      </c>
      <c r="I264" s="5" t="str">
        <f t="shared" si="219"/>
        <v/>
      </c>
      <c r="J264" s="5" t="str">
        <f t="shared" si="220"/>
        <v/>
      </c>
      <c r="K264" s="5" t="str">
        <f t="shared" si="221"/>
        <v/>
      </c>
      <c r="L264" s="5" t="str">
        <f t="shared" si="222"/>
        <v/>
      </c>
      <c r="M264" s="5" t="str">
        <f t="shared" si="223"/>
        <v/>
      </c>
      <c r="N264" s="5" t="str">
        <f t="shared" si="224"/>
        <v/>
      </c>
      <c r="O264" s="13" t="str">
        <f t="shared" si="225"/>
        <v/>
      </c>
      <c r="Q264" t="str">
        <f t="shared" si="204"/>
        <v/>
      </c>
      <c r="R264" t="str">
        <f t="shared" si="205"/>
        <v/>
      </c>
      <c r="S264" t="str">
        <f t="shared" si="226"/>
        <v/>
      </c>
      <c r="T264" s="5" t="str">
        <f t="shared" si="208"/>
        <v/>
      </c>
      <c r="U264" s="5" t="str">
        <f t="shared" si="227"/>
        <v/>
      </c>
      <c r="V264" s="5" t="str">
        <f t="shared" si="236"/>
        <v/>
      </c>
      <c r="W264" s="5" t="str">
        <f t="shared" si="209"/>
        <v/>
      </c>
      <c r="X264" s="5" t="str">
        <f t="shared" si="210"/>
        <v/>
      </c>
      <c r="Y264" s="5" t="str">
        <f t="shared" si="228"/>
        <v/>
      </c>
      <c r="Z264" s="5" t="str">
        <f t="shared" si="229"/>
        <v/>
      </c>
      <c r="AA264" s="13" t="str">
        <f t="shared" si="230"/>
        <v/>
      </c>
      <c r="AC264" t="str">
        <f t="shared" si="206"/>
        <v/>
      </c>
      <c r="AD264" t="str">
        <f t="shared" si="207"/>
        <v/>
      </c>
      <c r="AE264" t="str">
        <f t="shared" si="231"/>
        <v/>
      </c>
      <c r="AF264" s="5" t="str">
        <f t="shared" si="211"/>
        <v/>
      </c>
      <c r="AG264" s="5" t="str">
        <f t="shared" si="232"/>
        <v/>
      </c>
      <c r="AH264" s="5" t="str">
        <f t="shared" si="237"/>
        <v/>
      </c>
      <c r="AI264" s="5" t="str">
        <f t="shared" si="212"/>
        <v/>
      </c>
      <c r="AJ264" s="5" t="str">
        <f t="shared" si="213"/>
        <v/>
      </c>
      <c r="AK264" s="5" t="str">
        <f t="shared" si="233"/>
        <v/>
      </c>
      <c r="AL264" s="5" t="str">
        <f t="shared" si="234"/>
        <v/>
      </c>
      <c r="AM264" s="13" t="str">
        <f t="shared" si="235"/>
        <v/>
      </c>
    </row>
    <row r="265" spans="1:39" x14ac:dyDescent="0.35">
      <c r="A265" t="str">
        <f t="shared" si="202"/>
        <v/>
      </c>
      <c r="B265" t="str">
        <f t="shared" si="203"/>
        <v/>
      </c>
      <c r="C265" t="str">
        <f t="shared" si="214"/>
        <v/>
      </c>
      <c r="D265" s="5" t="str">
        <f t="shared" si="215"/>
        <v/>
      </c>
      <c r="E265" s="5" t="str">
        <f>IFERROR(IF($A265="", "", _xlfn.XLOOKUP(A265,Offset!A:A,Offset!I:I, 0)), 0)</f>
        <v/>
      </c>
      <c r="F265" s="5" t="str">
        <f t="shared" si="216"/>
        <v/>
      </c>
      <c r="G265" s="5" t="str">
        <f t="shared" si="217"/>
        <v/>
      </c>
      <c r="H265" s="5" t="str">
        <f t="shared" si="218"/>
        <v/>
      </c>
      <c r="I265" s="5" t="str">
        <f t="shared" si="219"/>
        <v/>
      </c>
      <c r="J265" s="5" t="str">
        <f t="shared" si="220"/>
        <v/>
      </c>
      <c r="K265" s="5" t="str">
        <f t="shared" si="221"/>
        <v/>
      </c>
      <c r="L265" s="5" t="str">
        <f t="shared" si="222"/>
        <v/>
      </c>
      <c r="M265" s="5" t="str">
        <f t="shared" si="223"/>
        <v/>
      </c>
      <c r="N265" s="5" t="str">
        <f t="shared" si="224"/>
        <v/>
      </c>
      <c r="O265" s="13" t="str">
        <f t="shared" si="225"/>
        <v/>
      </c>
      <c r="Q265" t="str">
        <f t="shared" si="204"/>
        <v/>
      </c>
      <c r="R265" t="str">
        <f t="shared" si="205"/>
        <v/>
      </c>
      <c r="S265" t="str">
        <f t="shared" si="226"/>
        <v/>
      </c>
      <c r="T265" s="5" t="str">
        <f t="shared" si="208"/>
        <v/>
      </c>
      <c r="U265" s="5" t="str">
        <f t="shared" si="227"/>
        <v/>
      </c>
      <c r="V265" s="5" t="str">
        <f t="shared" si="236"/>
        <v/>
      </c>
      <c r="W265" s="5" t="str">
        <f t="shared" si="209"/>
        <v/>
      </c>
      <c r="X265" s="5" t="str">
        <f t="shared" si="210"/>
        <v/>
      </c>
      <c r="Y265" s="5" t="str">
        <f t="shared" si="228"/>
        <v/>
      </c>
      <c r="Z265" s="5" t="str">
        <f t="shared" si="229"/>
        <v/>
      </c>
      <c r="AA265" s="13" t="str">
        <f t="shared" si="230"/>
        <v/>
      </c>
      <c r="AC265" t="str">
        <f t="shared" si="206"/>
        <v/>
      </c>
      <c r="AD265" t="str">
        <f t="shared" si="207"/>
        <v/>
      </c>
      <c r="AE265" t="str">
        <f t="shared" si="231"/>
        <v/>
      </c>
      <c r="AF265" s="5" t="str">
        <f t="shared" si="211"/>
        <v/>
      </c>
      <c r="AG265" s="5" t="str">
        <f t="shared" si="232"/>
        <v/>
      </c>
      <c r="AH265" s="5" t="str">
        <f t="shared" si="237"/>
        <v/>
      </c>
      <c r="AI265" s="5" t="str">
        <f t="shared" si="212"/>
        <v/>
      </c>
      <c r="AJ265" s="5" t="str">
        <f t="shared" si="213"/>
        <v/>
      </c>
      <c r="AK265" s="5" t="str">
        <f t="shared" si="233"/>
        <v/>
      </c>
      <c r="AL265" s="5" t="str">
        <f t="shared" si="234"/>
        <v/>
      </c>
      <c r="AM265" s="13" t="str">
        <f t="shared" si="235"/>
        <v/>
      </c>
    </row>
    <row r="266" spans="1:39" x14ac:dyDescent="0.35">
      <c r="A266" t="str">
        <f t="shared" si="202"/>
        <v/>
      </c>
      <c r="B266" t="str">
        <f t="shared" si="203"/>
        <v/>
      </c>
      <c r="C266" t="str">
        <f t="shared" si="214"/>
        <v/>
      </c>
      <c r="D266" s="5" t="str">
        <f t="shared" si="215"/>
        <v/>
      </c>
      <c r="E266" s="5" t="str">
        <f>IFERROR(IF($A266="", "", _xlfn.XLOOKUP(A266,Offset!A:A,Offset!I:I, 0)), 0)</f>
        <v/>
      </c>
      <c r="F266" s="5" t="str">
        <f t="shared" si="216"/>
        <v/>
      </c>
      <c r="G266" s="5" t="str">
        <f t="shared" si="217"/>
        <v/>
      </c>
      <c r="H266" s="5" t="str">
        <f t="shared" si="218"/>
        <v/>
      </c>
      <c r="I266" s="5" t="str">
        <f t="shared" si="219"/>
        <v/>
      </c>
      <c r="J266" s="5" t="str">
        <f t="shared" si="220"/>
        <v/>
      </c>
      <c r="K266" s="5" t="str">
        <f t="shared" si="221"/>
        <v/>
      </c>
      <c r="L266" s="5" t="str">
        <f t="shared" si="222"/>
        <v/>
      </c>
      <c r="M266" s="5" t="str">
        <f t="shared" si="223"/>
        <v/>
      </c>
      <c r="N266" s="5" t="str">
        <f t="shared" si="224"/>
        <v/>
      </c>
      <c r="O266" s="13" t="str">
        <f t="shared" si="225"/>
        <v/>
      </c>
      <c r="Q266" t="str">
        <f t="shared" si="204"/>
        <v/>
      </c>
      <c r="R266" t="str">
        <f t="shared" si="205"/>
        <v/>
      </c>
      <c r="S266" t="str">
        <f t="shared" si="226"/>
        <v/>
      </c>
      <c r="T266" s="5" t="str">
        <f t="shared" si="208"/>
        <v/>
      </c>
      <c r="U266" s="5" t="str">
        <f t="shared" si="227"/>
        <v/>
      </c>
      <c r="V266" s="5" t="str">
        <f t="shared" si="236"/>
        <v/>
      </c>
      <c r="W266" s="5" t="str">
        <f t="shared" si="209"/>
        <v/>
      </c>
      <c r="X266" s="5" t="str">
        <f t="shared" si="210"/>
        <v/>
      </c>
      <c r="Y266" s="5" t="str">
        <f t="shared" si="228"/>
        <v/>
      </c>
      <c r="Z266" s="5" t="str">
        <f t="shared" si="229"/>
        <v/>
      </c>
      <c r="AA266" s="13" t="str">
        <f t="shared" si="230"/>
        <v/>
      </c>
      <c r="AC266" t="str">
        <f t="shared" si="206"/>
        <v/>
      </c>
      <c r="AD266" t="str">
        <f t="shared" si="207"/>
        <v/>
      </c>
      <c r="AE266" t="str">
        <f t="shared" si="231"/>
        <v/>
      </c>
      <c r="AF266" s="5" t="str">
        <f t="shared" si="211"/>
        <v/>
      </c>
      <c r="AG266" s="5" t="str">
        <f t="shared" si="232"/>
        <v/>
      </c>
      <c r="AH266" s="5" t="str">
        <f t="shared" si="237"/>
        <v/>
      </c>
      <c r="AI266" s="5" t="str">
        <f t="shared" si="212"/>
        <v/>
      </c>
      <c r="AJ266" s="5" t="str">
        <f t="shared" si="213"/>
        <v/>
      </c>
      <c r="AK266" s="5" t="str">
        <f t="shared" si="233"/>
        <v/>
      </c>
      <c r="AL266" s="5" t="str">
        <f t="shared" si="234"/>
        <v/>
      </c>
      <c r="AM266" s="13" t="str">
        <f t="shared" si="235"/>
        <v/>
      </c>
    </row>
    <row r="267" spans="1:39" x14ac:dyDescent="0.35">
      <c r="A267" t="str">
        <f t="shared" si="202"/>
        <v/>
      </c>
      <c r="B267" t="str">
        <f t="shared" si="203"/>
        <v/>
      </c>
      <c r="C267" t="str">
        <f t="shared" si="214"/>
        <v/>
      </c>
      <c r="D267" s="5" t="str">
        <f t="shared" si="215"/>
        <v/>
      </c>
      <c r="E267" s="5" t="str">
        <f>IFERROR(IF($A267="", "", _xlfn.XLOOKUP(A267,Offset!A:A,Offset!I:I, 0)), 0)</f>
        <v/>
      </c>
      <c r="F267" s="5" t="str">
        <f t="shared" si="216"/>
        <v/>
      </c>
      <c r="G267" s="5" t="str">
        <f t="shared" si="217"/>
        <v/>
      </c>
      <c r="H267" s="5" t="str">
        <f t="shared" si="218"/>
        <v/>
      </c>
      <c r="I267" s="5" t="str">
        <f t="shared" si="219"/>
        <v/>
      </c>
      <c r="J267" s="5" t="str">
        <f t="shared" si="220"/>
        <v/>
      </c>
      <c r="K267" s="5" t="str">
        <f t="shared" si="221"/>
        <v/>
      </c>
      <c r="L267" s="5" t="str">
        <f t="shared" si="222"/>
        <v/>
      </c>
      <c r="M267" s="5" t="str">
        <f t="shared" si="223"/>
        <v/>
      </c>
      <c r="N267" s="5" t="str">
        <f t="shared" si="224"/>
        <v/>
      </c>
      <c r="O267" s="13" t="str">
        <f t="shared" si="225"/>
        <v/>
      </c>
      <c r="Q267" t="str">
        <f t="shared" si="204"/>
        <v/>
      </c>
      <c r="R267" t="str">
        <f t="shared" si="205"/>
        <v/>
      </c>
      <c r="S267" t="str">
        <f t="shared" si="226"/>
        <v/>
      </c>
      <c r="T267" s="5" t="str">
        <f t="shared" si="208"/>
        <v/>
      </c>
      <c r="U267" s="5" t="str">
        <f t="shared" si="227"/>
        <v/>
      </c>
      <c r="V267" s="5" t="str">
        <f t="shared" si="236"/>
        <v/>
      </c>
      <c r="W267" s="5" t="str">
        <f t="shared" si="209"/>
        <v/>
      </c>
      <c r="X267" s="5" t="str">
        <f t="shared" si="210"/>
        <v/>
      </c>
      <c r="Y267" s="5" t="str">
        <f t="shared" si="228"/>
        <v/>
      </c>
      <c r="Z267" s="5" t="str">
        <f t="shared" si="229"/>
        <v/>
      </c>
      <c r="AA267" s="13" t="str">
        <f t="shared" si="230"/>
        <v/>
      </c>
      <c r="AC267" t="str">
        <f t="shared" si="206"/>
        <v/>
      </c>
      <c r="AD267" t="str">
        <f t="shared" si="207"/>
        <v/>
      </c>
      <c r="AE267" t="str">
        <f t="shared" si="231"/>
        <v/>
      </c>
      <c r="AF267" s="5" t="str">
        <f t="shared" si="211"/>
        <v/>
      </c>
      <c r="AG267" s="5" t="str">
        <f t="shared" si="232"/>
        <v/>
      </c>
      <c r="AH267" s="5" t="str">
        <f t="shared" si="237"/>
        <v/>
      </c>
      <c r="AI267" s="5" t="str">
        <f t="shared" si="212"/>
        <v/>
      </c>
      <c r="AJ267" s="5" t="str">
        <f t="shared" si="213"/>
        <v/>
      </c>
      <c r="AK267" s="5" t="str">
        <f t="shared" si="233"/>
        <v/>
      </c>
      <c r="AL267" s="5" t="str">
        <f t="shared" si="234"/>
        <v/>
      </c>
      <c r="AM267" s="13" t="str">
        <f t="shared" si="235"/>
        <v/>
      </c>
    </row>
    <row r="268" spans="1:39" x14ac:dyDescent="0.35">
      <c r="A268" t="str">
        <f t="shared" si="202"/>
        <v/>
      </c>
      <c r="B268" t="str">
        <f t="shared" si="203"/>
        <v/>
      </c>
      <c r="C268" t="str">
        <f t="shared" si="214"/>
        <v/>
      </c>
      <c r="D268" s="5" t="str">
        <f t="shared" si="215"/>
        <v/>
      </c>
      <c r="E268" s="5" t="str">
        <f>IFERROR(IF($A268="", "", _xlfn.XLOOKUP(A268,Offset!A:A,Offset!I:I, 0)), 0)</f>
        <v/>
      </c>
      <c r="F268" s="5" t="str">
        <f t="shared" si="216"/>
        <v/>
      </c>
      <c r="G268" s="5" t="str">
        <f t="shared" si="217"/>
        <v/>
      </c>
      <c r="H268" s="5" t="str">
        <f t="shared" si="218"/>
        <v/>
      </c>
      <c r="I268" s="5" t="str">
        <f t="shared" si="219"/>
        <v/>
      </c>
      <c r="J268" s="5" t="str">
        <f t="shared" si="220"/>
        <v/>
      </c>
      <c r="K268" s="5" t="str">
        <f t="shared" si="221"/>
        <v/>
      </c>
      <c r="L268" s="5" t="str">
        <f t="shared" si="222"/>
        <v/>
      </c>
      <c r="M268" s="5" t="str">
        <f t="shared" si="223"/>
        <v/>
      </c>
      <c r="N268" s="5" t="str">
        <f t="shared" si="224"/>
        <v/>
      </c>
      <c r="O268" s="13" t="str">
        <f t="shared" si="225"/>
        <v/>
      </c>
      <c r="Q268" t="str">
        <f t="shared" si="204"/>
        <v/>
      </c>
      <c r="R268" t="str">
        <f t="shared" si="205"/>
        <v/>
      </c>
      <c r="S268" t="str">
        <f t="shared" si="226"/>
        <v/>
      </c>
      <c r="T268" s="5" t="str">
        <f t="shared" si="208"/>
        <v/>
      </c>
      <c r="U268" s="5" t="str">
        <f t="shared" si="227"/>
        <v/>
      </c>
      <c r="V268" s="5" t="str">
        <f t="shared" si="236"/>
        <v/>
      </c>
      <c r="W268" s="5" t="str">
        <f t="shared" si="209"/>
        <v/>
      </c>
      <c r="X268" s="5" t="str">
        <f t="shared" si="210"/>
        <v/>
      </c>
      <c r="Y268" s="5" t="str">
        <f t="shared" si="228"/>
        <v/>
      </c>
      <c r="Z268" s="5" t="str">
        <f t="shared" si="229"/>
        <v/>
      </c>
      <c r="AA268" s="13" t="str">
        <f t="shared" si="230"/>
        <v/>
      </c>
      <c r="AC268" t="str">
        <f t="shared" si="206"/>
        <v/>
      </c>
      <c r="AD268" t="str">
        <f t="shared" si="207"/>
        <v/>
      </c>
      <c r="AE268" t="str">
        <f t="shared" si="231"/>
        <v/>
      </c>
      <c r="AF268" s="5" t="str">
        <f t="shared" si="211"/>
        <v/>
      </c>
      <c r="AG268" s="5" t="str">
        <f t="shared" si="232"/>
        <v/>
      </c>
      <c r="AH268" s="5" t="str">
        <f t="shared" si="237"/>
        <v/>
      </c>
      <c r="AI268" s="5" t="str">
        <f t="shared" si="212"/>
        <v/>
      </c>
      <c r="AJ268" s="5" t="str">
        <f t="shared" si="213"/>
        <v/>
      </c>
      <c r="AK268" s="5" t="str">
        <f t="shared" si="233"/>
        <v/>
      </c>
      <c r="AL268" s="5" t="str">
        <f t="shared" si="234"/>
        <v/>
      </c>
      <c r="AM268" s="13" t="str">
        <f t="shared" si="235"/>
        <v/>
      </c>
    </row>
    <row r="269" spans="1:39" x14ac:dyDescent="0.35">
      <c r="A269" t="str">
        <f t="shared" si="202"/>
        <v/>
      </c>
      <c r="B269" t="str">
        <f t="shared" si="203"/>
        <v/>
      </c>
      <c r="C269" t="str">
        <f t="shared" si="214"/>
        <v/>
      </c>
      <c r="D269" s="5" t="str">
        <f t="shared" si="215"/>
        <v/>
      </c>
      <c r="E269" s="5" t="str">
        <f>IFERROR(IF($A269="", "", _xlfn.XLOOKUP(A269,Offset!A:A,Offset!I:I, 0)), 0)</f>
        <v/>
      </c>
      <c r="F269" s="5" t="str">
        <f t="shared" si="216"/>
        <v/>
      </c>
      <c r="G269" s="5" t="str">
        <f t="shared" si="217"/>
        <v/>
      </c>
      <c r="H269" s="5" t="str">
        <f t="shared" si="218"/>
        <v/>
      </c>
      <c r="I269" s="5" t="str">
        <f t="shared" si="219"/>
        <v/>
      </c>
      <c r="J269" s="5" t="str">
        <f t="shared" si="220"/>
        <v/>
      </c>
      <c r="K269" s="5" t="str">
        <f t="shared" si="221"/>
        <v/>
      </c>
      <c r="L269" s="5" t="str">
        <f t="shared" si="222"/>
        <v/>
      </c>
      <c r="M269" s="5" t="str">
        <f t="shared" si="223"/>
        <v/>
      </c>
      <c r="N269" s="5" t="str">
        <f t="shared" si="224"/>
        <v/>
      </c>
      <c r="O269" s="13" t="str">
        <f t="shared" si="225"/>
        <v/>
      </c>
      <c r="Q269" t="str">
        <f t="shared" si="204"/>
        <v/>
      </c>
      <c r="R269" t="str">
        <f t="shared" si="205"/>
        <v/>
      </c>
      <c r="S269" t="str">
        <f t="shared" si="226"/>
        <v/>
      </c>
      <c r="T269" s="5" t="str">
        <f t="shared" si="208"/>
        <v/>
      </c>
      <c r="U269" s="5" t="str">
        <f t="shared" si="227"/>
        <v/>
      </c>
      <c r="V269" s="5" t="str">
        <f t="shared" si="236"/>
        <v/>
      </c>
      <c r="W269" s="5" t="str">
        <f t="shared" si="209"/>
        <v/>
      </c>
      <c r="X269" s="5" t="str">
        <f t="shared" si="210"/>
        <v/>
      </c>
      <c r="Y269" s="5" t="str">
        <f t="shared" si="228"/>
        <v/>
      </c>
      <c r="Z269" s="5" t="str">
        <f t="shared" si="229"/>
        <v/>
      </c>
      <c r="AA269" s="13" t="str">
        <f t="shared" si="230"/>
        <v/>
      </c>
      <c r="AC269" t="str">
        <f t="shared" si="206"/>
        <v/>
      </c>
      <c r="AD269" t="str">
        <f t="shared" si="207"/>
        <v/>
      </c>
      <c r="AE269" t="str">
        <f t="shared" si="231"/>
        <v/>
      </c>
      <c r="AF269" s="5" t="str">
        <f t="shared" si="211"/>
        <v/>
      </c>
      <c r="AG269" s="5" t="str">
        <f t="shared" si="232"/>
        <v/>
      </c>
      <c r="AH269" s="5" t="str">
        <f t="shared" si="237"/>
        <v/>
      </c>
      <c r="AI269" s="5" t="str">
        <f t="shared" si="212"/>
        <v/>
      </c>
      <c r="AJ269" s="5" t="str">
        <f t="shared" si="213"/>
        <v/>
      </c>
      <c r="AK269" s="5" t="str">
        <f t="shared" si="233"/>
        <v/>
      </c>
      <c r="AL269" s="5" t="str">
        <f t="shared" si="234"/>
        <v/>
      </c>
      <c r="AM269" s="13" t="str">
        <f t="shared" si="235"/>
        <v/>
      </c>
    </row>
    <row r="270" spans="1:39" x14ac:dyDescent="0.35">
      <c r="A270" t="str">
        <f t="shared" si="202"/>
        <v/>
      </c>
      <c r="B270" t="str">
        <f t="shared" si="203"/>
        <v/>
      </c>
      <c r="C270" t="str">
        <f t="shared" si="214"/>
        <v/>
      </c>
      <c r="D270" s="5" t="str">
        <f t="shared" si="215"/>
        <v/>
      </c>
      <c r="E270" s="5" t="str">
        <f>IFERROR(IF($A270="", "", _xlfn.XLOOKUP(A270,Offset!A:A,Offset!I:I, 0)), 0)</f>
        <v/>
      </c>
      <c r="F270" s="5" t="str">
        <f t="shared" si="216"/>
        <v/>
      </c>
      <c r="G270" s="5" t="str">
        <f t="shared" si="217"/>
        <v/>
      </c>
      <c r="H270" s="5" t="str">
        <f t="shared" si="218"/>
        <v/>
      </c>
      <c r="I270" s="5" t="str">
        <f t="shared" si="219"/>
        <v/>
      </c>
      <c r="J270" s="5" t="str">
        <f t="shared" si="220"/>
        <v/>
      </c>
      <c r="K270" s="5" t="str">
        <f t="shared" si="221"/>
        <v/>
      </c>
      <c r="L270" s="5" t="str">
        <f t="shared" si="222"/>
        <v/>
      </c>
      <c r="M270" s="5" t="str">
        <f t="shared" si="223"/>
        <v/>
      </c>
      <c r="N270" s="5" t="str">
        <f t="shared" si="224"/>
        <v/>
      </c>
      <c r="O270" s="13" t="str">
        <f t="shared" si="225"/>
        <v/>
      </c>
      <c r="Q270" t="str">
        <f t="shared" si="204"/>
        <v/>
      </c>
      <c r="R270" t="str">
        <f t="shared" si="205"/>
        <v/>
      </c>
      <c r="S270" t="str">
        <f t="shared" si="226"/>
        <v/>
      </c>
      <c r="T270" s="5" t="str">
        <f t="shared" si="208"/>
        <v/>
      </c>
      <c r="U270" s="5" t="str">
        <f t="shared" si="227"/>
        <v/>
      </c>
      <c r="V270" s="5" t="str">
        <f t="shared" si="236"/>
        <v/>
      </c>
      <c r="W270" s="5" t="str">
        <f t="shared" si="209"/>
        <v/>
      </c>
      <c r="X270" s="5" t="str">
        <f t="shared" si="210"/>
        <v/>
      </c>
      <c r="Y270" s="5" t="str">
        <f t="shared" si="228"/>
        <v/>
      </c>
      <c r="Z270" s="5" t="str">
        <f t="shared" si="229"/>
        <v/>
      </c>
      <c r="AA270" s="13" t="str">
        <f t="shared" si="230"/>
        <v/>
      </c>
      <c r="AC270" t="str">
        <f t="shared" si="206"/>
        <v/>
      </c>
      <c r="AD270" t="str">
        <f t="shared" si="207"/>
        <v/>
      </c>
      <c r="AE270" t="str">
        <f t="shared" si="231"/>
        <v/>
      </c>
      <c r="AF270" s="5" t="str">
        <f t="shared" si="211"/>
        <v/>
      </c>
      <c r="AG270" s="5" t="str">
        <f t="shared" si="232"/>
        <v/>
      </c>
      <c r="AH270" s="5" t="str">
        <f t="shared" si="237"/>
        <v/>
      </c>
      <c r="AI270" s="5" t="str">
        <f t="shared" si="212"/>
        <v/>
      </c>
      <c r="AJ270" s="5" t="str">
        <f t="shared" si="213"/>
        <v/>
      </c>
      <c r="AK270" s="5" t="str">
        <f t="shared" si="233"/>
        <v/>
      </c>
      <c r="AL270" s="5" t="str">
        <f t="shared" si="234"/>
        <v/>
      </c>
      <c r="AM270" s="13" t="str">
        <f t="shared" si="235"/>
        <v/>
      </c>
    </row>
    <row r="271" spans="1:39" x14ac:dyDescent="0.35">
      <c r="A271" t="str">
        <f t="shared" si="202"/>
        <v/>
      </c>
      <c r="B271" t="str">
        <f t="shared" si="203"/>
        <v/>
      </c>
      <c r="C271" t="str">
        <f t="shared" si="214"/>
        <v/>
      </c>
      <c r="D271" s="5" t="str">
        <f t="shared" si="215"/>
        <v/>
      </c>
      <c r="E271" s="5" t="str">
        <f>IFERROR(IF($A271="", "", _xlfn.XLOOKUP(A271,Offset!A:A,Offset!I:I, 0)), 0)</f>
        <v/>
      </c>
      <c r="F271" s="5" t="str">
        <f t="shared" si="216"/>
        <v/>
      </c>
      <c r="G271" s="5" t="str">
        <f t="shared" si="217"/>
        <v/>
      </c>
      <c r="H271" s="5" t="str">
        <f t="shared" si="218"/>
        <v/>
      </c>
      <c r="I271" s="5" t="str">
        <f t="shared" si="219"/>
        <v/>
      </c>
      <c r="J271" s="5" t="str">
        <f t="shared" si="220"/>
        <v/>
      </c>
      <c r="K271" s="5" t="str">
        <f t="shared" si="221"/>
        <v/>
      </c>
      <c r="L271" s="5" t="str">
        <f t="shared" si="222"/>
        <v/>
      </c>
      <c r="M271" s="5" t="str">
        <f t="shared" si="223"/>
        <v/>
      </c>
      <c r="N271" s="5" t="str">
        <f t="shared" si="224"/>
        <v/>
      </c>
      <c r="O271" s="13" t="str">
        <f t="shared" si="225"/>
        <v/>
      </c>
      <c r="Q271" t="str">
        <f t="shared" si="204"/>
        <v/>
      </c>
      <c r="R271" t="str">
        <f t="shared" si="205"/>
        <v/>
      </c>
      <c r="S271" t="str">
        <f t="shared" si="226"/>
        <v/>
      </c>
      <c r="T271" s="5" t="str">
        <f t="shared" si="208"/>
        <v/>
      </c>
      <c r="U271" s="5" t="str">
        <f t="shared" si="227"/>
        <v/>
      </c>
      <c r="V271" s="5" t="str">
        <f t="shared" si="236"/>
        <v/>
      </c>
      <c r="W271" s="5" t="str">
        <f t="shared" si="209"/>
        <v/>
      </c>
      <c r="X271" s="5" t="str">
        <f t="shared" si="210"/>
        <v/>
      </c>
      <c r="Y271" s="5" t="str">
        <f t="shared" si="228"/>
        <v/>
      </c>
      <c r="Z271" s="5" t="str">
        <f t="shared" si="229"/>
        <v/>
      </c>
      <c r="AA271" s="13" t="str">
        <f t="shared" si="230"/>
        <v/>
      </c>
      <c r="AC271" t="str">
        <f t="shared" si="206"/>
        <v/>
      </c>
      <c r="AD271" t="str">
        <f t="shared" si="207"/>
        <v/>
      </c>
      <c r="AE271" t="str">
        <f t="shared" si="231"/>
        <v/>
      </c>
      <c r="AF271" s="5" t="str">
        <f t="shared" si="211"/>
        <v/>
      </c>
      <c r="AG271" s="5" t="str">
        <f t="shared" si="232"/>
        <v/>
      </c>
      <c r="AH271" s="5" t="str">
        <f t="shared" si="237"/>
        <v/>
      </c>
      <c r="AI271" s="5" t="str">
        <f t="shared" si="212"/>
        <v/>
      </c>
      <c r="AJ271" s="5" t="str">
        <f t="shared" si="213"/>
        <v/>
      </c>
      <c r="AK271" s="5" t="str">
        <f t="shared" si="233"/>
        <v/>
      </c>
      <c r="AL271" s="5" t="str">
        <f t="shared" si="234"/>
        <v/>
      </c>
      <c r="AM271" s="13" t="str">
        <f t="shared" si="235"/>
        <v/>
      </c>
    </row>
    <row r="272" spans="1:39" x14ac:dyDescent="0.35">
      <c r="A272" t="str">
        <f t="shared" si="202"/>
        <v/>
      </c>
      <c r="B272" t="str">
        <f t="shared" si="203"/>
        <v/>
      </c>
      <c r="C272" t="str">
        <f t="shared" si="214"/>
        <v/>
      </c>
      <c r="D272" s="5" t="str">
        <f t="shared" si="215"/>
        <v/>
      </c>
      <c r="E272" s="5" t="str">
        <f>IFERROR(IF($A272="", "", _xlfn.XLOOKUP(A272,Offset!A:A,Offset!I:I, 0)), 0)</f>
        <v/>
      </c>
      <c r="F272" s="5" t="str">
        <f t="shared" si="216"/>
        <v/>
      </c>
      <c r="G272" s="5" t="str">
        <f t="shared" si="217"/>
        <v/>
      </c>
      <c r="H272" s="5" t="str">
        <f t="shared" si="218"/>
        <v/>
      </c>
      <c r="I272" s="5" t="str">
        <f t="shared" si="219"/>
        <v/>
      </c>
      <c r="J272" s="5" t="str">
        <f t="shared" si="220"/>
        <v/>
      </c>
      <c r="K272" s="5" t="str">
        <f t="shared" si="221"/>
        <v/>
      </c>
      <c r="L272" s="5" t="str">
        <f t="shared" si="222"/>
        <v/>
      </c>
      <c r="M272" s="5" t="str">
        <f t="shared" si="223"/>
        <v/>
      </c>
      <c r="N272" s="5" t="str">
        <f t="shared" si="224"/>
        <v/>
      </c>
      <c r="O272" s="13" t="str">
        <f t="shared" si="225"/>
        <v/>
      </c>
      <c r="Q272" t="str">
        <f t="shared" si="204"/>
        <v/>
      </c>
      <c r="R272" t="str">
        <f t="shared" si="205"/>
        <v/>
      </c>
      <c r="S272" t="str">
        <f t="shared" si="226"/>
        <v/>
      </c>
      <c r="T272" s="5" t="str">
        <f t="shared" si="208"/>
        <v/>
      </c>
      <c r="U272" s="5" t="str">
        <f t="shared" si="227"/>
        <v/>
      </c>
      <c r="V272" s="5" t="str">
        <f t="shared" si="236"/>
        <v/>
      </c>
      <c r="W272" s="5" t="str">
        <f t="shared" si="209"/>
        <v/>
      </c>
      <c r="X272" s="5" t="str">
        <f t="shared" si="210"/>
        <v/>
      </c>
      <c r="Y272" s="5" t="str">
        <f t="shared" si="228"/>
        <v/>
      </c>
      <c r="Z272" s="5" t="str">
        <f t="shared" si="229"/>
        <v/>
      </c>
      <c r="AA272" s="13" t="str">
        <f t="shared" si="230"/>
        <v/>
      </c>
      <c r="AC272" t="str">
        <f t="shared" si="206"/>
        <v/>
      </c>
      <c r="AD272" t="str">
        <f t="shared" si="207"/>
        <v/>
      </c>
      <c r="AE272" t="str">
        <f t="shared" si="231"/>
        <v/>
      </c>
      <c r="AF272" s="5" t="str">
        <f t="shared" si="211"/>
        <v/>
      </c>
      <c r="AG272" s="5" t="str">
        <f t="shared" si="232"/>
        <v/>
      </c>
      <c r="AH272" s="5" t="str">
        <f t="shared" si="237"/>
        <v/>
      </c>
      <c r="AI272" s="5" t="str">
        <f t="shared" si="212"/>
        <v/>
      </c>
      <c r="AJ272" s="5" t="str">
        <f t="shared" si="213"/>
        <v/>
      </c>
      <c r="AK272" s="5" t="str">
        <f t="shared" si="233"/>
        <v/>
      </c>
      <c r="AL272" s="5" t="str">
        <f t="shared" si="234"/>
        <v/>
      </c>
      <c r="AM272" s="13" t="str">
        <f t="shared" si="235"/>
        <v/>
      </c>
    </row>
    <row r="273" spans="1:39" x14ac:dyDescent="0.35">
      <c r="A273" t="str">
        <f t="shared" si="202"/>
        <v/>
      </c>
      <c r="B273" t="str">
        <f t="shared" si="203"/>
        <v/>
      </c>
      <c r="C273" t="str">
        <f t="shared" si="214"/>
        <v/>
      </c>
      <c r="D273" s="5" t="str">
        <f t="shared" si="215"/>
        <v/>
      </c>
      <c r="E273" s="5" t="str">
        <f>IFERROR(IF($A273="", "", _xlfn.XLOOKUP(A273,Offset!A:A,Offset!I:I, 0)), 0)</f>
        <v/>
      </c>
      <c r="F273" s="5" t="str">
        <f t="shared" si="216"/>
        <v/>
      </c>
      <c r="G273" s="5" t="str">
        <f t="shared" si="217"/>
        <v/>
      </c>
      <c r="H273" s="5" t="str">
        <f t="shared" si="218"/>
        <v/>
      </c>
      <c r="I273" s="5" t="str">
        <f t="shared" si="219"/>
        <v/>
      </c>
      <c r="J273" s="5" t="str">
        <f t="shared" si="220"/>
        <v/>
      </c>
      <c r="K273" s="5" t="str">
        <f t="shared" si="221"/>
        <v/>
      </c>
      <c r="L273" s="5" t="str">
        <f t="shared" si="222"/>
        <v/>
      </c>
      <c r="M273" s="5" t="str">
        <f t="shared" si="223"/>
        <v/>
      </c>
      <c r="N273" s="5" t="str">
        <f t="shared" si="224"/>
        <v/>
      </c>
      <c r="O273" s="13" t="str">
        <f t="shared" si="225"/>
        <v/>
      </c>
      <c r="Q273" t="str">
        <f t="shared" si="204"/>
        <v/>
      </c>
      <c r="R273" t="str">
        <f t="shared" si="205"/>
        <v/>
      </c>
      <c r="S273" t="str">
        <f t="shared" si="226"/>
        <v/>
      </c>
      <c r="T273" s="5" t="str">
        <f t="shared" si="208"/>
        <v/>
      </c>
      <c r="U273" s="5" t="str">
        <f t="shared" si="227"/>
        <v/>
      </c>
      <c r="V273" s="5" t="str">
        <f t="shared" si="236"/>
        <v/>
      </c>
      <c r="W273" s="5" t="str">
        <f t="shared" si="209"/>
        <v/>
      </c>
      <c r="X273" s="5" t="str">
        <f t="shared" si="210"/>
        <v/>
      </c>
      <c r="Y273" s="5" t="str">
        <f t="shared" si="228"/>
        <v/>
      </c>
      <c r="Z273" s="5" t="str">
        <f t="shared" si="229"/>
        <v/>
      </c>
      <c r="AA273" s="13" t="str">
        <f t="shared" si="230"/>
        <v/>
      </c>
      <c r="AC273" t="str">
        <f t="shared" si="206"/>
        <v/>
      </c>
      <c r="AD273" t="str">
        <f t="shared" si="207"/>
        <v/>
      </c>
      <c r="AE273" t="str">
        <f t="shared" si="231"/>
        <v/>
      </c>
      <c r="AF273" s="5" t="str">
        <f t="shared" si="211"/>
        <v/>
      </c>
      <c r="AG273" s="5" t="str">
        <f t="shared" si="232"/>
        <v/>
      </c>
      <c r="AH273" s="5" t="str">
        <f t="shared" si="237"/>
        <v/>
      </c>
      <c r="AI273" s="5" t="str">
        <f t="shared" si="212"/>
        <v/>
      </c>
      <c r="AJ273" s="5" t="str">
        <f t="shared" si="213"/>
        <v/>
      </c>
      <c r="AK273" s="5" t="str">
        <f t="shared" si="233"/>
        <v/>
      </c>
      <c r="AL273" s="5" t="str">
        <f t="shared" si="234"/>
        <v/>
      </c>
      <c r="AM273" s="13" t="str">
        <f t="shared" si="235"/>
        <v/>
      </c>
    </row>
    <row r="274" spans="1:39" x14ac:dyDescent="0.35">
      <c r="A274" t="str">
        <f t="shared" si="202"/>
        <v/>
      </c>
      <c r="B274" t="str">
        <f t="shared" si="203"/>
        <v/>
      </c>
      <c r="C274" t="str">
        <f t="shared" si="214"/>
        <v/>
      </c>
      <c r="D274" s="5" t="str">
        <f t="shared" si="215"/>
        <v/>
      </c>
      <c r="E274" s="5" t="str">
        <f>IFERROR(IF($A274="", "", _xlfn.XLOOKUP(A274,Offset!A:A,Offset!I:I, 0)), 0)</f>
        <v/>
      </c>
      <c r="F274" s="5" t="str">
        <f t="shared" si="216"/>
        <v/>
      </c>
      <c r="G274" s="5" t="str">
        <f t="shared" si="217"/>
        <v/>
      </c>
      <c r="H274" s="5" t="str">
        <f t="shared" si="218"/>
        <v/>
      </c>
      <c r="I274" s="5" t="str">
        <f t="shared" si="219"/>
        <v/>
      </c>
      <c r="J274" s="5" t="str">
        <f t="shared" si="220"/>
        <v/>
      </c>
      <c r="K274" s="5" t="str">
        <f t="shared" si="221"/>
        <v/>
      </c>
      <c r="L274" s="5" t="str">
        <f t="shared" si="222"/>
        <v/>
      </c>
      <c r="M274" s="5" t="str">
        <f t="shared" si="223"/>
        <v/>
      </c>
      <c r="N274" s="5" t="str">
        <f t="shared" si="224"/>
        <v/>
      </c>
      <c r="O274" s="13" t="str">
        <f t="shared" si="225"/>
        <v/>
      </c>
      <c r="Q274" t="str">
        <f t="shared" si="204"/>
        <v/>
      </c>
      <c r="R274" t="str">
        <f t="shared" si="205"/>
        <v/>
      </c>
      <c r="S274" t="str">
        <f t="shared" si="226"/>
        <v/>
      </c>
      <c r="T274" s="5" t="str">
        <f t="shared" si="208"/>
        <v/>
      </c>
      <c r="U274" s="5" t="str">
        <f t="shared" si="227"/>
        <v/>
      </c>
      <c r="V274" s="5" t="str">
        <f t="shared" si="236"/>
        <v/>
      </c>
      <c r="W274" s="5" t="str">
        <f t="shared" si="209"/>
        <v/>
      </c>
      <c r="X274" s="5" t="str">
        <f t="shared" si="210"/>
        <v/>
      </c>
      <c r="Y274" s="5" t="str">
        <f t="shared" si="228"/>
        <v/>
      </c>
      <c r="Z274" s="5" t="str">
        <f t="shared" si="229"/>
        <v/>
      </c>
      <c r="AA274" s="13" t="str">
        <f t="shared" si="230"/>
        <v/>
      </c>
      <c r="AC274" t="str">
        <f t="shared" si="206"/>
        <v/>
      </c>
      <c r="AD274" t="str">
        <f t="shared" si="207"/>
        <v/>
      </c>
      <c r="AE274" t="str">
        <f t="shared" si="231"/>
        <v/>
      </c>
      <c r="AF274" s="5" t="str">
        <f t="shared" si="211"/>
        <v/>
      </c>
      <c r="AG274" s="5" t="str">
        <f t="shared" si="232"/>
        <v/>
      </c>
      <c r="AH274" s="5" t="str">
        <f t="shared" si="237"/>
        <v/>
      </c>
      <c r="AI274" s="5" t="str">
        <f t="shared" si="212"/>
        <v/>
      </c>
      <c r="AJ274" s="5" t="str">
        <f t="shared" si="213"/>
        <v/>
      </c>
      <c r="AK274" s="5" t="str">
        <f t="shared" si="233"/>
        <v/>
      </c>
      <c r="AL274" s="5" t="str">
        <f t="shared" si="234"/>
        <v/>
      </c>
      <c r="AM274" s="13" t="str">
        <f t="shared" si="235"/>
        <v/>
      </c>
    </row>
    <row r="275" spans="1:39" x14ac:dyDescent="0.35">
      <c r="A275" t="str">
        <f t="shared" si="202"/>
        <v/>
      </c>
      <c r="B275" t="str">
        <f t="shared" si="203"/>
        <v/>
      </c>
      <c r="C275" t="str">
        <f t="shared" si="214"/>
        <v/>
      </c>
      <c r="D275" s="5" t="str">
        <f t="shared" si="215"/>
        <v/>
      </c>
      <c r="E275" s="5" t="str">
        <f>IFERROR(IF($A275="", "", _xlfn.XLOOKUP(A275,Offset!A:A,Offset!I:I, 0)), 0)</f>
        <v/>
      </c>
      <c r="F275" s="5" t="str">
        <f t="shared" si="216"/>
        <v/>
      </c>
      <c r="G275" s="5" t="str">
        <f t="shared" si="217"/>
        <v/>
      </c>
      <c r="H275" s="5" t="str">
        <f t="shared" si="218"/>
        <v/>
      </c>
      <c r="I275" s="5" t="str">
        <f t="shared" si="219"/>
        <v/>
      </c>
      <c r="J275" s="5" t="str">
        <f t="shared" si="220"/>
        <v/>
      </c>
      <c r="K275" s="5" t="str">
        <f t="shared" si="221"/>
        <v/>
      </c>
      <c r="L275" s="5" t="str">
        <f t="shared" si="222"/>
        <v/>
      </c>
      <c r="M275" s="5" t="str">
        <f t="shared" si="223"/>
        <v/>
      </c>
      <c r="N275" s="5" t="str">
        <f t="shared" si="224"/>
        <v/>
      </c>
      <c r="O275" s="13" t="str">
        <f t="shared" si="225"/>
        <v/>
      </c>
      <c r="Q275" t="str">
        <f t="shared" si="204"/>
        <v/>
      </c>
      <c r="R275" t="str">
        <f t="shared" si="205"/>
        <v/>
      </c>
      <c r="S275" t="str">
        <f t="shared" si="226"/>
        <v/>
      </c>
      <c r="T275" s="5" t="str">
        <f t="shared" si="208"/>
        <v/>
      </c>
      <c r="U275" s="5" t="str">
        <f t="shared" si="227"/>
        <v/>
      </c>
      <c r="V275" s="5" t="str">
        <f t="shared" si="236"/>
        <v/>
      </c>
      <c r="W275" s="5" t="str">
        <f t="shared" si="209"/>
        <v/>
      </c>
      <c r="X275" s="5" t="str">
        <f t="shared" si="210"/>
        <v/>
      </c>
      <c r="Y275" s="5" t="str">
        <f t="shared" si="228"/>
        <v/>
      </c>
      <c r="Z275" s="5" t="str">
        <f t="shared" si="229"/>
        <v/>
      </c>
      <c r="AA275" s="13" t="str">
        <f t="shared" si="230"/>
        <v/>
      </c>
      <c r="AC275" t="str">
        <f t="shared" si="206"/>
        <v/>
      </c>
      <c r="AD275" t="str">
        <f t="shared" si="207"/>
        <v/>
      </c>
      <c r="AE275" t="str">
        <f t="shared" si="231"/>
        <v/>
      </c>
      <c r="AF275" s="5" t="str">
        <f t="shared" si="211"/>
        <v/>
      </c>
      <c r="AG275" s="5" t="str">
        <f t="shared" si="232"/>
        <v/>
      </c>
      <c r="AH275" s="5" t="str">
        <f t="shared" si="237"/>
        <v/>
      </c>
      <c r="AI275" s="5" t="str">
        <f t="shared" si="212"/>
        <v/>
      </c>
      <c r="AJ275" s="5" t="str">
        <f t="shared" si="213"/>
        <v/>
      </c>
      <c r="AK275" s="5" t="str">
        <f t="shared" si="233"/>
        <v/>
      </c>
      <c r="AL275" s="5" t="str">
        <f t="shared" si="234"/>
        <v/>
      </c>
      <c r="AM275" s="13" t="str">
        <f t="shared" si="235"/>
        <v/>
      </c>
    </row>
    <row r="276" spans="1:39" x14ac:dyDescent="0.35">
      <c r="A276" t="str">
        <f t="shared" si="202"/>
        <v/>
      </c>
      <c r="B276" t="str">
        <f t="shared" si="203"/>
        <v/>
      </c>
      <c r="C276" t="str">
        <f t="shared" si="214"/>
        <v/>
      </c>
      <c r="D276" s="5" t="str">
        <f t="shared" si="215"/>
        <v/>
      </c>
      <c r="E276" s="5" t="str">
        <f>IFERROR(IF($A276="", "", _xlfn.XLOOKUP(A276,Offset!A:A,Offset!I:I, 0)), 0)</f>
        <v/>
      </c>
      <c r="F276" s="5" t="str">
        <f t="shared" si="216"/>
        <v/>
      </c>
      <c r="G276" s="5" t="str">
        <f t="shared" si="217"/>
        <v/>
      </c>
      <c r="H276" s="5" t="str">
        <f t="shared" si="218"/>
        <v/>
      </c>
      <c r="I276" s="5" t="str">
        <f t="shared" si="219"/>
        <v/>
      </c>
      <c r="J276" s="5" t="str">
        <f t="shared" si="220"/>
        <v/>
      </c>
      <c r="K276" s="5" t="str">
        <f t="shared" si="221"/>
        <v/>
      </c>
      <c r="L276" s="5" t="str">
        <f t="shared" si="222"/>
        <v/>
      </c>
      <c r="M276" s="5" t="str">
        <f t="shared" si="223"/>
        <v/>
      </c>
      <c r="N276" s="5" t="str">
        <f t="shared" si="224"/>
        <v/>
      </c>
      <c r="O276" s="13" t="str">
        <f t="shared" si="225"/>
        <v/>
      </c>
      <c r="Q276" t="str">
        <f t="shared" si="204"/>
        <v/>
      </c>
      <c r="R276" t="str">
        <f t="shared" si="205"/>
        <v/>
      </c>
      <c r="S276" t="str">
        <f t="shared" si="226"/>
        <v/>
      </c>
      <c r="T276" s="5" t="str">
        <f t="shared" si="208"/>
        <v/>
      </c>
      <c r="U276" s="5" t="str">
        <f t="shared" si="227"/>
        <v/>
      </c>
      <c r="V276" s="5" t="str">
        <f t="shared" si="236"/>
        <v/>
      </c>
      <c r="W276" s="5" t="str">
        <f t="shared" si="209"/>
        <v/>
      </c>
      <c r="X276" s="5" t="str">
        <f t="shared" si="210"/>
        <v/>
      </c>
      <c r="Y276" s="5" t="str">
        <f t="shared" si="228"/>
        <v/>
      </c>
      <c r="Z276" s="5" t="str">
        <f t="shared" si="229"/>
        <v/>
      </c>
      <c r="AA276" s="13" t="str">
        <f t="shared" si="230"/>
        <v/>
      </c>
      <c r="AC276" t="str">
        <f t="shared" si="206"/>
        <v/>
      </c>
      <c r="AD276" t="str">
        <f t="shared" si="207"/>
        <v/>
      </c>
      <c r="AE276" t="str">
        <f t="shared" si="231"/>
        <v/>
      </c>
      <c r="AF276" s="5" t="str">
        <f t="shared" si="211"/>
        <v/>
      </c>
      <c r="AG276" s="5" t="str">
        <f t="shared" si="232"/>
        <v/>
      </c>
      <c r="AH276" s="5" t="str">
        <f t="shared" si="237"/>
        <v/>
      </c>
      <c r="AI276" s="5" t="str">
        <f t="shared" si="212"/>
        <v/>
      </c>
      <c r="AJ276" s="5" t="str">
        <f t="shared" si="213"/>
        <v/>
      </c>
      <c r="AK276" s="5" t="str">
        <f t="shared" si="233"/>
        <v/>
      </c>
      <c r="AL276" s="5" t="str">
        <f t="shared" si="234"/>
        <v/>
      </c>
      <c r="AM276" s="13" t="str">
        <f t="shared" si="235"/>
        <v/>
      </c>
    </row>
    <row r="277" spans="1:39" x14ac:dyDescent="0.35">
      <c r="A277" t="str">
        <f t="shared" si="202"/>
        <v/>
      </c>
      <c r="B277" t="str">
        <f t="shared" si="203"/>
        <v/>
      </c>
      <c r="C277" t="str">
        <f t="shared" si="214"/>
        <v/>
      </c>
      <c r="D277" s="5" t="str">
        <f t="shared" si="215"/>
        <v/>
      </c>
      <c r="E277" s="5" t="str">
        <f>IFERROR(IF($A277="", "", _xlfn.XLOOKUP(A277,Offset!A:A,Offset!I:I, 0)), 0)</f>
        <v/>
      </c>
      <c r="F277" s="5" t="str">
        <f t="shared" si="216"/>
        <v/>
      </c>
      <c r="G277" s="5" t="str">
        <f t="shared" si="217"/>
        <v/>
      </c>
      <c r="H277" s="5" t="str">
        <f t="shared" si="218"/>
        <v/>
      </c>
      <c r="I277" s="5" t="str">
        <f t="shared" si="219"/>
        <v/>
      </c>
      <c r="J277" s="5" t="str">
        <f t="shared" si="220"/>
        <v/>
      </c>
      <c r="K277" s="5" t="str">
        <f t="shared" si="221"/>
        <v/>
      </c>
      <c r="L277" s="5" t="str">
        <f t="shared" si="222"/>
        <v/>
      </c>
      <c r="M277" s="5" t="str">
        <f t="shared" si="223"/>
        <v/>
      </c>
      <c r="N277" s="5" t="str">
        <f t="shared" si="224"/>
        <v/>
      </c>
      <c r="O277" s="13" t="str">
        <f t="shared" si="225"/>
        <v/>
      </c>
      <c r="Q277" t="str">
        <f t="shared" si="204"/>
        <v/>
      </c>
      <c r="R277" t="str">
        <f t="shared" si="205"/>
        <v/>
      </c>
      <c r="S277" t="str">
        <f t="shared" si="226"/>
        <v/>
      </c>
      <c r="T277" s="5" t="str">
        <f t="shared" si="208"/>
        <v/>
      </c>
      <c r="U277" s="5" t="str">
        <f t="shared" si="227"/>
        <v/>
      </c>
      <c r="V277" s="5" t="str">
        <f t="shared" si="236"/>
        <v/>
      </c>
      <c r="W277" s="5" t="str">
        <f t="shared" si="209"/>
        <v/>
      </c>
      <c r="X277" s="5" t="str">
        <f t="shared" si="210"/>
        <v/>
      </c>
      <c r="Y277" s="5" t="str">
        <f t="shared" si="228"/>
        <v/>
      </c>
      <c r="Z277" s="5" t="str">
        <f t="shared" si="229"/>
        <v/>
      </c>
      <c r="AA277" s="13" t="str">
        <f t="shared" si="230"/>
        <v/>
      </c>
      <c r="AC277" t="str">
        <f t="shared" si="206"/>
        <v/>
      </c>
      <c r="AD277" t="str">
        <f t="shared" si="207"/>
        <v/>
      </c>
      <c r="AE277" t="str">
        <f t="shared" si="231"/>
        <v/>
      </c>
      <c r="AF277" s="5" t="str">
        <f t="shared" si="211"/>
        <v/>
      </c>
      <c r="AG277" s="5" t="str">
        <f t="shared" si="232"/>
        <v/>
      </c>
      <c r="AH277" s="5" t="str">
        <f t="shared" si="237"/>
        <v/>
      </c>
      <c r="AI277" s="5" t="str">
        <f t="shared" si="212"/>
        <v/>
      </c>
      <c r="AJ277" s="5" t="str">
        <f t="shared" si="213"/>
        <v/>
      </c>
      <c r="AK277" s="5" t="str">
        <f t="shared" si="233"/>
        <v/>
      </c>
      <c r="AL277" s="5" t="str">
        <f t="shared" si="234"/>
        <v/>
      </c>
      <c r="AM277" s="13" t="str">
        <f t="shared" si="235"/>
        <v/>
      </c>
    </row>
    <row r="278" spans="1:39" x14ac:dyDescent="0.35">
      <c r="A278" t="str">
        <f t="shared" si="202"/>
        <v/>
      </c>
      <c r="B278" t="str">
        <f t="shared" si="203"/>
        <v/>
      </c>
      <c r="C278" t="str">
        <f t="shared" si="214"/>
        <v/>
      </c>
      <c r="D278" s="5" t="str">
        <f t="shared" si="215"/>
        <v/>
      </c>
      <c r="E278" s="5" t="str">
        <f>IFERROR(IF($A278="", "", _xlfn.XLOOKUP(A278,Offset!A:A,Offset!I:I, 0)), 0)</f>
        <v/>
      </c>
      <c r="F278" s="5" t="str">
        <f t="shared" si="216"/>
        <v/>
      </c>
      <c r="G278" s="5" t="str">
        <f t="shared" si="217"/>
        <v/>
      </c>
      <c r="H278" s="5" t="str">
        <f t="shared" si="218"/>
        <v/>
      </c>
      <c r="I278" s="5" t="str">
        <f t="shared" si="219"/>
        <v/>
      </c>
      <c r="J278" s="5" t="str">
        <f t="shared" si="220"/>
        <v/>
      </c>
      <c r="K278" s="5" t="str">
        <f t="shared" si="221"/>
        <v/>
      </c>
      <c r="L278" s="5" t="str">
        <f t="shared" si="222"/>
        <v/>
      </c>
      <c r="M278" s="5" t="str">
        <f t="shared" si="223"/>
        <v/>
      </c>
      <c r="N278" s="5" t="str">
        <f t="shared" si="224"/>
        <v/>
      </c>
      <c r="O278" s="13" t="str">
        <f t="shared" si="225"/>
        <v/>
      </c>
      <c r="Q278" t="str">
        <f t="shared" si="204"/>
        <v/>
      </c>
      <c r="R278" t="str">
        <f t="shared" si="205"/>
        <v/>
      </c>
      <c r="S278" t="str">
        <f t="shared" si="226"/>
        <v/>
      </c>
      <c r="T278" s="5" t="str">
        <f t="shared" si="208"/>
        <v/>
      </c>
      <c r="U278" s="5" t="str">
        <f t="shared" si="227"/>
        <v/>
      </c>
      <c r="V278" s="5" t="str">
        <f t="shared" si="236"/>
        <v/>
      </c>
      <c r="W278" s="5" t="str">
        <f t="shared" si="209"/>
        <v/>
      </c>
      <c r="X278" s="5" t="str">
        <f t="shared" si="210"/>
        <v/>
      </c>
      <c r="Y278" s="5" t="str">
        <f t="shared" si="228"/>
        <v/>
      </c>
      <c r="Z278" s="5" t="str">
        <f t="shared" si="229"/>
        <v/>
      </c>
      <c r="AA278" s="13" t="str">
        <f t="shared" si="230"/>
        <v/>
      </c>
      <c r="AC278" t="str">
        <f t="shared" si="206"/>
        <v/>
      </c>
      <c r="AD278" t="str">
        <f t="shared" si="207"/>
        <v/>
      </c>
      <c r="AE278" t="str">
        <f t="shared" si="231"/>
        <v/>
      </c>
      <c r="AF278" s="5" t="str">
        <f t="shared" si="211"/>
        <v/>
      </c>
      <c r="AG278" s="5" t="str">
        <f t="shared" si="232"/>
        <v/>
      </c>
      <c r="AH278" s="5" t="str">
        <f t="shared" si="237"/>
        <v/>
      </c>
      <c r="AI278" s="5" t="str">
        <f t="shared" si="212"/>
        <v/>
      </c>
      <c r="AJ278" s="5" t="str">
        <f t="shared" si="213"/>
        <v/>
      </c>
      <c r="AK278" s="5" t="str">
        <f t="shared" si="233"/>
        <v/>
      </c>
      <c r="AL278" s="5" t="str">
        <f t="shared" si="234"/>
        <v/>
      </c>
      <c r="AM278" s="13" t="str">
        <f t="shared" si="235"/>
        <v/>
      </c>
    </row>
    <row r="279" spans="1:39" x14ac:dyDescent="0.35">
      <c r="A279" t="str">
        <f t="shared" si="202"/>
        <v/>
      </c>
      <c r="B279" t="str">
        <f t="shared" si="203"/>
        <v/>
      </c>
      <c r="C279" t="str">
        <f t="shared" si="214"/>
        <v/>
      </c>
      <c r="D279" s="5" t="str">
        <f t="shared" si="215"/>
        <v/>
      </c>
      <c r="E279" s="5" t="str">
        <f>IFERROR(IF($A279="", "", _xlfn.XLOOKUP(A279,Offset!A:A,Offset!I:I, 0)), 0)</f>
        <v/>
      </c>
      <c r="F279" s="5" t="str">
        <f t="shared" si="216"/>
        <v/>
      </c>
      <c r="G279" s="5" t="str">
        <f t="shared" si="217"/>
        <v/>
      </c>
      <c r="H279" s="5" t="str">
        <f t="shared" si="218"/>
        <v/>
      </c>
      <c r="I279" s="5" t="str">
        <f t="shared" si="219"/>
        <v/>
      </c>
      <c r="J279" s="5" t="str">
        <f t="shared" si="220"/>
        <v/>
      </c>
      <c r="K279" s="5" t="str">
        <f t="shared" si="221"/>
        <v/>
      </c>
      <c r="L279" s="5" t="str">
        <f t="shared" si="222"/>
        <v/>
      </c>
      <c r="M279" s="5" t="str">
        <f t="shared" si="223"/>
        <v/>
      </c>
      <c r="N279" s="5" t="str">
        <f t="shared" si="224"/>
        <v/>
      </c>
      <c r="O279" s="13" t="str">
        <f t="shared" si="225"/>
        <v/>
      </c>
      <c r="Q279" t="str">
        <f t="shared" si="204"/>
        <v/>
      </c>
      <c r="R279" t="str">
        <f t="shared" si="205"/>
        <v/>
      </c>
      <c r="S279" t="str">
        <f t="shared" si="226"/>
        <v/>
      </c>
      <c r="T279" s="5" t="str">
        <f t="shared" si="208"/>
        <v/>
      </c>
      <c r="U279" s="5" t="str">
        <f t="shared" si="227"/>
        <v/>
      </c>
      <c r="V279" s="5" t="str">
        <f t="shared" si="236"/>
        <v/>
      </c>
      <c r="W279" s="5" t="str">
        <f t="shared" si="209"/>
        <v/>
      </c>
      <c r="X279" s="5" t="str">
        <f t="shared" si="210"/>
        <v/>
      </c>
      <c r="Y279" s="5" t="str">
        <f t="shared" si="228"/>
        <v/>
      </c>
      <c r="Z279" s="5" t="str">
        <f t="shared" si="229"/>
        <v/>
      </c>
      <c r="AA279" s="13" t="str">
        <f t="shared" si="230"/>
        <v/>
      </c>
      <c r="AC279" t="str">
        <f t="shared" si="206"/>
        <v/>
      </c>
      <c r="AD279" t="str">
        <f t="shared" si="207"/>
        <v/>
      </c>
      <c r="AE279" t="str">
        <f t="shared" si="231"/>
        <v/>
      </c>
      <c r="AF279" s="5" t="str">
        <f t="shared" si="211"/>
        <v/>
      </c>
      <c r="AG279" s="5" t="str">
        <f t="shared" si="232"/>
        <v/>
      </c>
      <c r="AH279" s="5" t="str">
        <f t="shared" si="237"/>
        <v/>
      </c>
      <c r="AI279" s="5" t="str">
        <f t="shared" si="212"/>
        <v/>
      </c>
      <c r="AJ279" s="5" t="str">
        <f t="shared" si="213"/>
        <v/>
      </c>
      <c r="AK279" s="5" t="str">
        <f t="shared" si="233"/>
        <v/>
      </c>
      <c r="AL279" s="5" t="str">
        <f t="shared" si="234"/>
        <v/>
      </c>
      <c r="AM279" s="13" t="str">
        <f t="shared" si="235"/>
        <v/>
      </c>
    </row>
  </sheetData>
  <mergeCells count="3">
    <mergeCell ref="A1:E1"/>
    <mergeCell ref="Q2:T2"/>
    <mergeCell ref="AC2:AF2"/>
  </mergeCells>
  <conditionalFormatting sqref="J4:J279">
    <cfRule type="dataBar" priority="28">
      <dataBar>
        <cfvo type="min"/>
        <cfvo type="max"/>
        <color rgb="FFE74C3C"/>
      </dataBar>
      <extLst>
        <ext xmlns:x14="http://schemas.microsoft.com/office/spreadsheetml/2009/9/main" uri="{B025F937-C7B1-47D3-B67F-A62EFF666E3E}">
          <x14:id>{2335E8A3-CEB5-4056-81BA-C74DA202D3D8}</x14:id>
        </ext>
      </extLst>
    </cfRule>
  </conditionalFormatting>
  <conditionalFormatting sqref="L4:L279">
    <cfRule type="dataBar" priority="30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{BA3D6773-BFB3-40C3-86D3-C0D1158EA30E}</x14:id>
        </ext>
      </extLst>
    </cfRule>
  </conditionalFormatting>
  <conditionalFormatting sqref="X4:X279">
    <cfRule type="dataBar" priority="31">
      <dataBar>
        <cfvo type="min"/>
        <cfvo type="max"/>
        <color rgb="FF95A5A6"/>
      </dataBar>
      <extLst>
        <ext xmlns:x14="http://schemas.microsoft.com/office/spreadsheetml/2009/9/main" uri="{B025F937-C7B1-47D3-B67F-A62EFF666E3E}">
          <x14:id>{D829A98A-2B14-4345-A642-AF9BBF85ED98}</x14:id>
        </ext>
      </extLst>
    </cfRule>
  </conditionalFormatting>
  <conditionalFormatting sqref="AJ4:AJ279">
    <cfRule type="dataBar" priority="32">
      <dataBar>
        <cfvo type="min"/>
        <cfvo type="max"/>
        <color rgb="FFF39C12"/>
      </dataBar>
      <extLst>
        <ext xmlns:x14="http://schemas.microsoft.com/office/spreadsheetml/2009/9/main" uri="{B025F937-C7B1-47D3-B67F-A62EFF666E3E}">
          <x14:id>{59E55DDA-5F65-47D5-B2F8-DCC379A36237}</x14:id>
        </ext>
      </extLst>
    </cfRule>
  </conditionalFormatting>
  <pageMargins left="0.7" right="0.7" top="0.75" bottom="0.75" header="0.3" footer="0.3"/>
  <legacyDrawing r:id="rId1"/>
  <tableParts count="3">
    <tablePart r:id="rId2"/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35E8A3-CEB5-4056-81BA-C74DA202D3D8}">
            <x14:dataBar minLength="0" maxLength="100" border="1" direction="leftToRight" negativeBarColorSameAsPositive="1" axisPosition="none">
              <x14:cfvo type="min"/>
              <x14:cfvo type="max"/>
              <x14:borderColor rgb="FFE74C3C"/>
            </x14:dataBar>
          </x14:cfRule>
          <xm:sqref>J4:J279</xm:sqref>
        </x14:conditionalFormatting>
        <x14:conditionalFormatting xmlns:xm="http://schemas.microsoft.com/office/excel/2006/main">
          <x14:cfRule type="dataBar" id="{BA3D6773-BFB3-40C3-86D3-C0D1158EA30E}">
            <x14:dataBar minLength="0" maxLength="100" border="1" direction="leftToRight" negativeBarColorSameAsPositive="1" axisPosition="none">
              <x14:cfvo type="min"/>
              <x14:cfvo type="max"/>
              <x14:borderColor rgb="FF00B894"/>
            </x14:dataBar>
          </x14:cfRule>
          <xm:sqref>L4:L279</xm:sqref>
        </x14:conditionalFormatting>
        <x14:conditionalFormatting xmlns:xm="http://schemas.microsoft.com/office/excel/2006/main">
          <x14:cfRule type="dataBar" id="{D829A98A-2B14-4345-A642-AF9BBF85ED98}">
            <x14:dataBar minLength="0" maxLength="100" border="1" direction="leftToRight" negativeBarColorSameAsPositive="1" axisPosition="none">
              <x14:cfvo type="min"/>
              <x14:cfvo type="max"/>
              <x14:borderColor rgb="FF95A5A6"/>
            </x14:dataBar>
          </x14:cfRule>
          <xm:sqref>X4:X279</xm:sqref>
        </x14:conditionalFormatting>
        <x14:conditionalFormatting xmlns:xm="http://schemas.microsoft.com/office/excel/2006/main">
          <x14:cfRule type="dataBar" id="{59E55DDA-5F65-47D5-B2F8-DCC379A36237}">
            <x14:dataBar minLength="0" maxLength="100" border="1" direction="leftToRight" negativeBarColorSameAsPositive="1" axisPosition="none">
              <x14:cfvo type="min"/>
              <x14:cfvo type="max"/>
              <x14:borderColor rgb="FFF39C12"/>
            </x14:dataBar>
          </x14:cfRule>
          <xm:sqref>AJ4:AJ279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C93F-9673-4293-86DD-05299BAC3486}">
  <sheetPr>
    <tabColor rgb="FFF59E0B"/>
  </sheetPr>
  <dimension ref="A1:V182"/>
  <sheetViews>
    <sheetView workbookViewId="0">
      <pane ySplit="2" topLeftCell="A141" activePane="bottomLeft" state="frozen"/>
      <selection activeCell="F54" sqref="F54"/>
      <selection pane="bottomLeft" activeCell="I99" sqref="I99"/>
    </sheetView>
  </sheetViews>
  <sheetFormatPr defaultRowHeight="14.5" x14ac:dyDescent="0.35"/>
  <cols>
    <col min="1" max="1" width="8.453125" bestFit="1" customWidth="1"/>
    <col min="2" max="2" width="6.81640625" bestFit="1" customWidth="1"/>
    <col min="3" max="3" width="13.81640625" bestFit="1" customWidth="1"/>
    <col min="4" max="4" width="15.453125" bestFit="1" customWidth="1"/>
    <col min="5" max="6" width="10.6328125" style="5" bestFit="1" customWidth="1"/>
    <col min="7" max="7" width="13.6328125" style="5" bestFit="1" customWidth="1"/>
    <col min="8" max="8" width="12.1796875" style="5" bestFit="1" customWidth="1"/>
    <col min="9" max="9" width="19.26953125" style="5" bestFit="1" customWidth="1"/>
    <col min="10" max="10" width="15.26953125" style="5" bestFit="1" customWidth="1"/>
    <col min="11" max="11" width="11.36328125" style="5" bestFit="1" customWidth="1"/>
    <col min="12" max="13" width="12.08984375" style="5" bestFit="1" customWidth="1"/>
    <col min="14" max="14" width="14.6328125" bestFit="1" customWidth="1"/>
    <col min="15" max="15" width="24.6328125" bestFit="1" customWidth="1"/>
    <col min="21" max="21" width="13.36328125" bestFit="1" customWidth="1"/>
    <col min="22" max="22" width="3.81640625" bestFit="1" customWidth="1"/>
  </cols>
  <sheetData>
    <row r="1" spans="1:22" ht="16" x14ac:dyDescent="0.4">
      <c r="A1" s="274" t="s">
        <v>92</v>
      </c>
      <c r="B1" s="275"/>
      <c r="C1" s="275"/>
      <c r="D1" s="275"/>
      <c r="E1" s="275"/>
      <c r="F1" s="275"/>
      <c r="G1" s="275"/>
      <c r="H1" s="275"/>
      <c r="I1" s="275"/>
      <c r="J1" s="11"/>
      <c r="K1" s="11"/>
    </row>
    <row r="2" spans="1:22" s="80" customFormat="1" ht="24" customHeight="1" x14ac:dyDescent="0.3">
      <c r="A2" s="109" t="s">
        <v>22</v>
      </c>
      <c r="B2" s="109" t="s">
        <v>23</v>
      </c>
      <c r="C2" s="109" t="s">
        <v>24</v>
      </c>
      <c r="D2" s="109" t="s">
        <v>34</v>
      </c>
      <c r="E2" s="113" t="s">
        <v>47</v>
      </c>
      <c r="F2" s="113" t="s">
        <v>48</v>
      </c>
      <c r="G2" s="113" t="s">
        <v>49</v>
      </c>
      <c r="H2" s="114" t="s">
        <v>50</v>
      </c>
      <c r="I2" s="114" t="s">
        <v>51</v>
      </c>
      <c r="J2" s="114" t="s">
        <v>52</v>
      </c>
      <c r="K2" s="114" t="s">
        <v>53</v>
      </c>
      <c r="L2" s="115" t="s">
        <v>93</v>
      </c>
      <c r="M2" s="115" t="s">
        <v>94</v>
      </c>
      <c r="N2" s="116" t="s">
        <v>61</v>
      </c>
      <c r="O2" s="116" t="s">
        <v>81</v>
      </c>
    </row>
    <row r="3" spans="1:22" x14ac:dyDescent="0.35">
      <c r="A3">
        <f t="shared" ref="A3:A34" si="0">IF(ROW()-2 &lt;= TotalPeriodsOffset, ROW()-2, "")</f>
        <v>1</v>
      </c>
      <c r="B3">
        <f t="shared" ref="B3:B34" si="1">IF($A3="", "", YEAR(StartYear) + INT(($A3-1)/PPY))</f>
        <v>2027</v>
      </c>
      <c r="C3">
        <f t="shared" ref="C3:C34" si="2">IF(A3="", "",MOD(A3-1, PPY)+1)</f>
        <v>1</v>
      </c>
      <c r="D3" t="b">
        <f t="shared" ref="D3:D34" si="3">IF(A3="", "",C3=PPY)</f>
        <v>0</v>
      </c>
      <c r="E3" s="5">
        <f>IF($A3="", "", IFERROR(SUMIF(PersonaA!$B:$B, $B3, PersonaA!$O:$O) / PPY, 0))</f>
        <v>6604.7777916900004</v>
      </c>
      <c r="F3" s="5">
        <f>IF($A3="", "", IFERROR(SUMIF(PersonaB!$B:$B, $B3, PersonaB!$O:$O) / PPY, 0))</f>
        <v>8647.7987421383659</v>
      </c>
      <c r="G3" s="5">
        <f>IF(A3="", "", E3+F3+L3+M3)</f>
        <v>25157.666666666672</v>
      </c>
      <c r="H3" s="5">
        <f>OffsetStart</f>
        <v>0</v>
      </c>
      <c r="I3" s="5">
        <f>IF(A3="", "",H3+G3)</f>
        <v>25157.666666666672</v>
      </c>
      <c r="J3" s="5">
        <f>IF(A3="", "",IF(D3,I3,0))</f>
        <v>0</v>
      </c>
      <c r="K3" s="5">
        <f>IF(A3="", "",IF(D3,0,I3-J3))</f>
        <v>25157.666666666672</v>
      </c>
      <c r="L3" s="5">
        <f>IF($A3="", "", IFERROR(SUMIF(PersonaA!$B:$B, $B3, PersonaA!$P:$P) / PPY, 0))</f>
        <v>3252.6388749766661</v>
      </c>
      <c r="M3" s="5">
        <f>IF($A3="", "", IFERROR(SUMIF(PersonaB!$B:$B, $B3, PersonaB!$P:$P) / PPY, 0))</f>
        <v>6652.4512578616368</v>
      </c>
      <c r="N3" s="17">
        <f t="shared" ref="N3:N34" si="4">IF($A3="", "", I3*(LoanRate/PPY))</f>
        <v>167.71777777777783</v>
      </c>
      <c r="O3" s="17">
        <f>IF($A3="", "", N3)</f>
        <v>167.71777777777783</v>
      </c>
      <c r="U3" s="1" t="s">
        <v>35</v>
      </c>
      <c r="V3" s="1">
        <f>_xlfn.XLOOKUP(FreqA,FreqLookup[Frequency],FreqLookup[PeriodsPerYear])</f>
        <v>12</v>
      </c>
    </row>
    <row r="4" spans="1:22" x14ac:dyDescent="0.35">
      <c r="A4">
        <f t="shared" si="0"/>
        <v>2</v>
      </c>
      <c r="B4">
        <f t="shared" si="1"/>
        <v>2027</v>
      </c>
      <c r="C4">
        <f t="shared" si="2"/>
        <v>2</v>
      </c>
      <c r="D4" t="b">
        <f t="shared" si="3"/>
        <v>0</v>
      </c>
      <c r="E4" s="5">
        <f>IF($A4="", "", IFERROR(SUMIF(PersonaA!$B:$B, $B4, PersonaA!$O:$O) / PPY, 0))</f>
        <v>6604.7777916900004</v>
      </c>
      <c r="F4" s="5">
        <f>IF($A4="", "", IFERROR(SUMIF(PersonaB!$B:$B, $B4, PersonaB!$O:$O) / PPY, 0))</f>
        <v>8647.7987421383659</v>
      </c>
      <c r="G4" s="5">
        <f t="shared" ref="G4:G67" si="5">IF(A4="", "", E4+F4+L4+M4)</f>
        <v>25157.666666666672</v>
      </c>
      <c r="H4" s="5">
        <f>IF($A4="", "", K3)</f>
        <v>25157.666666666672</v>
      </c>
      <c r="I4" s="5">
        <f t="shared" ref="I4:I62" si="6">IF(A4="", "",H4+G4)</f>
        <v>50315.333333333343</v>
      </c>
      <c r="J4" s="5">
        <f t="shared" ref="J4:J62" si="7">IF(A4="", "",IF(D4,I4,0))</f>
        <v>0</v>
      </c>
      <c r="K4" s="5">
        <f>IF(A4="", "",IF(D4,0,I4-J4))</f>
        <v>50315.333333333343</v>
      </c>
      <c r="L4" s="5">
        <f>IF($A4="", "", IFERROR(SUMIF(PersonaA!$B:$B, $B4, PersonaA!$P:$P) / PPY, 0))</f>
        <v>3252.6388749766661</v>
      </c>
      <c r="M4" s="5">
        <f>IF($A4="", "", IFERROR(SUMIF(PersonaB!$B:$B, $B4, PersonaB!$P:$P) / PPY, 0))</f>
        <v>6652.4512578616368</v>
      </c>
      <c r="N4" s="16">
        <f t="shared" si="4"/>
        <v>335.43555555555565</v>
      </c>
      <c r="O4" s="16">
        <f>IF($A4="", "", O3+N4)</f>
        <v>503.15333333333348</v>
      </c>
      <c r="U4" s="1" t="s">
        <v>36</v>
      </c>
      <c r="V4" s="1">
        <f>MAX(ProjYearsA,ProjYearsB)*PPY</f>
        <v>180</v>
      </c>
    </row>
    <row r="5" spans="1:22" x14ac:dyDescent="0.35">
      <c r="A5">
        <f t="shared" si="0"/>
        <v>3</v>
      </c>
      <c r="B5">
        <f t="shared" si="1"/>
        <v>2027</v>
      </c>
      <c r="C5">
        <f t="shared" si="2"/>
        <v>3</v>
      </c>
      <c r="D5" t="b">
        <f t="shared" si="3"/>
        <v>0</v>
      </c>
      <c r="E5" s="5">
        <f>IF($A5="", "", IFERROR(SUMIF(PersonaA!$B:$B, $B5, PersonaA!$O:$O) / PPY, 0))</f>
        <v>6604.7777916900004</v>
      </c>
      <c r="F5" s="5">
        <f>IF($A5="", "", IFERROR(SUMIF(PersonaB!$B:$B, $B5, PersonaB!$O:$O) / PPY, 0))</f>
        <v>8647.7987421383659</v>
      </c>
      <c r="G5" s="5">
        <f t="shared" si="5"/>
        <v>25157.666666666672</v>
      </c>
      <c r="H5" s="5">
        <f t="shared" ref="H5:H68" si="8">IF($A5="", "", K4)</f>
        <v>50315.333333333343</v>
      </c>
      <c r="I5" s="5">
        <f t="shared" si="6"/>
        <v>75473.000000000015</v>
      </c>
      <c r="J5" s="5">
        <f t="shared" si="7"/>
        <v>0</v>
      </c>
      <c r="K5" s="5">
        <f t="shared" ref="K5:K68" si="9">IF(A5="", "",IF(D5,0,I5-J5))</f>
        <v>75473.000000000015</v>
      </c>
      <c r="L5" s="5">
        <f>IF($A5="", "", IFERROR(SUMIF(PersonaA!$B:$B, $B5, PersonaA!$P:$P) / PPY, 0))</f>
        <v>3252.6388749766661</v>
      </c>
      <c r="M5" s="5">
        <f>IF($A5="", "", IFERROR(SUMIF(PersonaB!$B:$B, $B5, PersonaB!$P:$P) / PPY, 0))</f>
        <v>6652.4512578616368</v>
      </c>
      <c r="N5" s="15">
        <f t="shared" si="4"/>
        <v>503.15333333333348</v>
      </c>
      <c r="O5" s="15">
        <f t="shared" ref="O5:O68" si="10">IF($A5="", "", O4+N5)</f>
        <v>1006.306666666667</v>
      </c>
    </row>
    <row r="6" spans="1:22" x14ac:dyDescent="0.35">
      <c r="A6">
        <f t="shared" si="0"/>
        <v>4</v>
      </c>
      <c r="B6">
        <f t="shared" si="1"/>
        <v>2027</v>
      </c>
      <c r="C6">
        <f t="shared" si="2"/>
        <v>4</v>
      </c>
      <c r="D6" t="b">
        <f t="shared" si="3"/>
        <v>0</v>
      </c>
      <c r="E6" s="5">
        <f>IF($A6="", "", IFERROR(SUMIF(PersonaA!$B:$B, $B6, PersonaA!$O:$O) / PPY, 0))</f>
        <v>6604.7777916900004</v>
      </c>
      <c r="F6" s="5">
        <f>IF($A6="", "", IFERROR(SUMIF(PersonaB!$B:$B, $B6, PersonaB!$O:$O) / PPY, 0))</f>
        <v>8647.7987421383659</v>
      </c>
      <c r="G6" s="5">
        <f t="shared" si="5"/>
        <v>25157.666666666672</v>
      </c>
      <c r="H6" s="5">
        <f t="shared" si="8"/>
        <v>75473.000000000015</v>
      </c>
      <c r="I6" s="5">
        <f t="shared" si="6"/>
        <v>100630.66666666669</v>
      </c>
      <c r="J6" s="5">
        <f t="shared" si="7"/>
        <v>0</v>
      </c>
      <c r="K6" s="5">
        <f t="shared" si="9"/>
        <v>100630.66666666669</v>
      </c>
      <c r="L6" s="5">
        <f>IF($A6="", "", IFERROR(SUMIF(PersonaA!$B:$B, $B6, PersonaA!$P:$P) / PPY, 0))</f>
        <v>3252.6388749766661</v>
      </c>
      <c r="M6" s="5">
        <f>IF($A6="", "", IFERROR(SUMIF(PersonaB!$B:$B, $B6, PersonaB!$P:$P) / PPY, 0))</f>
        <v>6652.4512578616368</v>
      </c>
      <c r="N6" s="16">
        <f t="shared" si="4"/>
        <v>670.8711111111113</v>
      </c>
      <c r="O6" s="16">
        <f t="shared" si="10"/>
        <v>1677.1777777777784</v>
      </c>
    </row>
    <row r="7" spans="1:22" x14ac:dyDescent="0.35">
      <c r="A7">
        <f t="shared" si="0"/>
        <v>5</v>
      </c>
      <c r="B7">
        <f t="shared" si="1"/>
        <v>2027</v>
      </c>
      <c r="C7">
        <f t="shared" si="2"/>
        <v>5</v>
      </c>
      <c r="D7" t="b">
        <f t="shared" si="3"/>
        <v>0</v>
      </c>
      <c r="E7" s="5">
        <f>IF($A7="", "", IFERROR(SUMIF(PersonaA!$B:$B, $B7, PersonaA!$O:$O) / PPY, 0))</f>
        <v>6604.7777916900004</v>
      </c>
      <c r="F7" s="5">
        <f>IF($A7="", "", IFERROR(SUMIF(PersonaB!$B:$B, $B7, PersonaB!$O:$O) / PPY, 0))</f>
        <v>8647.7987421383659</v>
      </c>
      <c r="G7" s="5">
        <f t="shared" si="5"/>
        <v>25157.666666666672</v>
      </c>
      <c r="H7" s="5">
        <f t="shared" si="8"/>
        <v>100630.66666666669</v>
      </c>
      <c r="I7" s="5">
        <f t="shared" si="6"/>
        <v>125788.33333333336</v>
      </c>
      <c r="J7" s="5">
        <f t="shared" si="7"/>
        <v>0</v>
      </c>
      <c r="K7" s="5">
        <f t="shared" si="9"/>
        <v>125788.33333333336</v>
      </c>
      <c r="L7" s="5">
        <f>IF($A7="", "", IFERROR(SUMIF(PersonaA!$B:$B, $B7, PersonaA!$P:$P) / PPY, 0))</f>
        <v>3252.6388749766661</v>
      </c>
      <c r="M7" s="5">
        <f>IF($A7="", "", IFERROR(SUMIF(PersonaB!$B:$B, $B7, PersonaB!$P:$P) / PPY, 0))</f>
        <v>6652.4512578616368</v>
      </c>
      <c r="N7" s="15">
        <f t="shared" si="4"/>
        <v>838.58888888888907</v>
      </c>
      <c r="O7" s="15">
        <f t="shared" si="10"/>
        <v>2515.7666666666673</v>
      </c>
    </row>
    <row r="8" spans="1:22" x14ac:dyDescent="0.35">
      <c r="A8">
        <f t="shared" si="0"/>
        <v>6</v>
      </c>
      <c r="B8">
        <f t="shared" si="1"/>
        <v>2027</v>
      </c>
      <c r="C8">
        <f t="shared" si="2"/>
        <v>6</v>
      </c>
      <c r="D8" t="b">
        <f t="shared" si="3"/>
        <v>0</v>
      </c>
      <c r="E8" s="5">
        <f>IF($A8="", "", IFERROR(SUMIF(PersonaA!$B:$B, $B8, PersonaA!$O:$O) / PPY, 0))</f>
        <v>6604.7777916900004</v>
      </c>
      <c r="F8" s="5">
        <f>IF($A8="", "", IFERROR(SUMIF(PersonaB!$B:$B, $B8, PersonaB!$O:$O) / PPY, 0))</f>
        <v>8647.7987421383659</v>
      </c>
      <c r="G8" s="5">
        <f t="shared" si="5"/>
        <v>25157.666666666672</v>
      </c>
      <c r="H8" s="5">
        <f t="shared" si="8"/>
        <v>125788.33333333336</v>
      </c>
      <c r="I8" s="5">
        <f t="shared" si="6"/>
        <v>150946.00000000003</v>
      </c>
      <c r="J8" s="5">
        <f t="shared" si="7"/>
        <v>0</v>
      </c>
      <c r="K8" s="5">
        <f t="shared" si="9"/>
        <v>150946.00000000003</v>
      </c>
      <c r="L8" s="5">
        <f>IF($A8="", "", IFERROR(SUMIF(PersonaA!$B:$B, $B8, PersonaA!$P:$P) / PPY, 0))</f>
        <v>3252.6388749766661</v>
      </c>
      <c r="M8" s="5">
        <f>IF($A8="", "", IFERROR(SUMIF(PersonaB!$B:$B, $B8, PersonaB!$P:$P) / PPY, 0))</f>
        <v>6652.4512578616368</v>
      </c>
      <c r="N8" s="16">
        <f t="shared" si="4"/>
        <v>1006.306666666667</v>
      </c>
      <c r="O8" s="16">
        <f t="shared" si="10"/>
        <v>3522.0733333333342</v>
      </c>
    </row>
    <row r="9" spans="1:22" x14ac:dyDescent="0.35">
      <c r="A9">
        <f t="shared" si="0"/>
        <v>7</v>
      </c>
      <c r="B9">
        <f t="shared" si="1"/>
        <v>2027</v>
      </c>
      <c r="C9">
        <f t="shared" si="2"/>
        <v>7</v>
      </c>
      <c r="D9" t="b">
        <f t="shared" si="3"/>
        <v>0</v>
      </c>
      <c r="E9" s="5">
        <f>IF($A9="", "", IFERROR(SUMIF(PersonaA!$B:$B, $B9, PersonaA!$O:$O) / PPY, 0))</f>
        <v>6604.7777916900004</v>
      </c>
      <c r="F9" s="5">
        <f>IF($A9="", "", IFERROR(SUMIF(PersonaB!$B:$B, $B9, PersonaB!$O:$O) / PPY, 0))</f>
        <v>8647.7987421383659</v>
      </c>
      <c r="G9" s="5">
        <f t="shared" si="5"/>
        <v>25157.666666666672</v>
      </c>
      <c r="H9" s="5">
        <f t="shared" si="8"/>
        <v>150946.00000000003</v>
      </c>
      <c r="I9" s="5">
        <f t="shared" si="6"/>
        <v>176103.66666666669</v>
      </c>
      <c r="J9" s="5">
        <f t="shared" si="7"/>
        <v>0</v>
      </c>
      <c r="K9" s="5">
        <f t="shared" si="9"/>
        <v>176103.66666666669</v>
      </c>
      <c r="L9" s="5">
        <f>IF($A9="", "", IFERROR(SUMIF(PersonaA!$B:$B, $B9, PersonaA!$P:$P) / PPY, 0))</f>
        <v>3252.6388749766661</v>
      </c>
      <c r="M9" s="5">
        <f>IF($A9="", "", IFERROR(SUMIF(PersonaB!$B:$B, $B9, PersonaB!$P:$P) / PPY, 0))</f>
        <v>6652.4512578616368</v>
      </c>
      <c r="N9" s="15">
        <f t="shared" si="4"/>
        <v>1174.0244444444447</v>
      </c>
      <c r="O9" s="15">
        <f t="shared" si="10"/>
        <v>4696.0977777777789</v>
      </c>
    </row>
    <row r="10" spans="1:22" x14ac:dyDescent="0.35">
      <c r="A10">
        <f t="shared" si="0"/>
        <v>8</v>
      </c>
      <c r="B10">
        <f t="shared" si="1"/>
        <v>2027</v>
      </c>
      <c r="C10">
        <f t="shared" si="2"/>
        <v>8</v>
      </c>
      <c r="D10" t="b">
        <f t="shared" si="3"/>
        <v>0</v>
      </c>
      <c r="E10" s="5">
        <f>IF($A10="", "", IFERROR(SUMIF(PersonaA!$B:$B, $B10, PersonaA!$O:$O) / PPY, 0))</f>
        <v>6604.7777916900004</v>
      </c>
      <c r="F10" s="5">
        <f>IF($A10="", "", IFERROR(SUMIF(PersonaB!$B:$B, $B10, PersonaB!$O:$O) / PPY, 0))</f>
        <v>8647.7987421383659</v>
      </c>
      <c r="G10" s="5">
        <f t="shared" si="5"/>
        <v>25157.666666666672</v>
      </c>
      <c r="H10" s="5">
        <f t="shared" si="8"/>
        <v>176103.66666666669</v>
      </c>
      <c r="I10" s="5">
        <f t="shared" si="6"/>
        <v>201261.33333333337</v>
      </c>
      <c r="J10" s="5">
        <f t="shared" si="7"/>
        <v>0</v>
      </c>
      <c r="K10" s="5">
        <f t="shared" si="9"/>
        <v>201261.33333333337</v>
      </c>
      <c r="L10" s="5">
        <f>IF($A10="", "", IFERROR(SUMIF(PersonaA!$B:$B, $B10, PersonaA!$P:$P) / PPY, 0))</f>
        <v>3252.6388749766661</v>
      </c>
      <c r="M10" s="5">
        <f>IF($A10="", "", IFERROR(SUMIF(PersonaB!$B:$B, $B10, PersonaB!$P:$P) / PPY, 0))</f>
        <v>6652.4512578616368</v>
      </c>
      <c r="N10" s="16">
        <f t="shared" si="4"/>
        <v>1341.7422222222226</v>
      </c>
      <c r="O10" s="16">
        <f t="shared" si="10"/>
        <v>6037.840000000002</v>
      </c>
    </row>
    <row r="11" spans="1:22" x14ac:dyDescent="0.35">
      <c r="A11">
        <f t="shared" si="0"/>
        <v>9</v>
      </c>
      <c r="B11">
        <f t="shared" si="1"/>
        <v>2027</v>
      </c>
      <c r="C11">
        <f t="shared" si="2"/>
        <v>9</v>
      </c>
      <c r="D11" t="b">
        <f t="shared" si="3"/>
        <v>0</v>
      </c>
      <c r="E11" s="5">
        <f>IF($A11="", "", IFERROR(SUMIF(PersonaA!$B:$B, $B11, PersonaA!$O:$O) / PPY, 0))</f>
        <v>6604.7777916900004</v>
      </c>
      <c r="F11" s="5">
        <f>IF($A11="", "", IFERROR(SUMIF(PersonaB!$B:$B, $B11, PersonaB!$O:$O) / PPY, 0))</f>
        <v>8647.7987421383659</v>
      </c>
      <c r="G11" s="5">
        <f t="shared" si="5"/>
        <v>25157.666666666672</v>
      </c>
      <c r="H11" s="5">
        <f t="shared" si="8"/>
        <v>201261.33333333337</v>
      </c>
      <c r="I11" s="5">
        <f t="shared" si="6"/>
        <v>226419.00000000006</v>
      </c>
      <c r="J11" s="5">
        <f t="shared" si="7"/>
        <v>0</v>
      </c>
      <c r="K11" s="5">
        <f t="shared" si="9"/>
        <v>226419.00000000006</v>
      </c>
      <c r="L11" s="5">
        <f>IF($A11="", "", IFERROR(SUMIF(PersonaA!$B:$B, $B11, PersonaA!$P:$P) / PPY, 0))</f>
        <v>3252.6388749766661</v>
      </c>
      <c r="M11" s="5">
        <f>IF($A11="", "", IFERROR(SUMIF(PersonaB!$B:$B, $B11, PersonaB!$P:$P) / PPY, 0))</f>
        <v>6652.4512578616368</v>
      </c>
      <c r="N11" s="15">
        <f t="shared" si="4"/>
        <v>1509.4600000000005</v>
      </c>
      <c r="O11" s="15">
        <f t="shared" si="10"/>
        <v>7547.3000000000029</v>
      </c>
    </row>
    <row r="12" spans="1:22" x14ac:dyDescent="0.35">
      <c r="A12">
        <f t="shared" si="0"/>
        <v>10</v>
      </c>
      <c r="B12">
        <f t="shared" si="1"/>
        <v>2027</v>
      </c>
      <c r="C12">
        <f t="shared" si="2"/>
        <v>10</v>
      </c>
      <c r="D12" t="b">
        <f t="shared" si="3"/>
        <v>0</v>
      </c>
      <c r="E12" s="5">
        <f>IF($A12="", "", IFERROR(SUMIF(PersonaA!$B:$B, $B12, PersonaA!$O:$O) / PPY, 0))</f>
        <v>6604.7777916900004</v>
      </c>
      <c r="F12" s="5">
        <f>IF($A12="", "", IFERROR(SUMIF(PersonaB!$B:$B, $B12, PersonaB!$O:$O) / PPY, 0))</f>
        <v>8647.7987421383659</v>
      </c>
      <c r="G12" s="5">
        <f t="shared" si="5"/>
        <v>25157.666666666672</v>
      </c>
      <c r="H12" s="5">
        <f t="shared" si="8"/>
        <v>226419.00000000006</v>
      </c>
      <c r="I12" s="5">
        <f t="shared" si="6"/>
        <v>251576.66666666674</v>
      </c>
      <c r="J12" s="5">
        <f t="shared" si="7"/>
        <v>0</v>
      </c>
      <c r="K12" s="5">
        <f t="shared" si="9"/>
        <v>251576.66666666674</v>
      </c>
      <c r="L12" s="5">
        <f>IF($A12="", "", IFERROR(SUMIF(PersonaA!$B:$B, $B12, PersonaA!$P:$P) / PPY, 0))</f>
        <v>3252.6388749766661</v>
      </c>
      <c r="M12" s="5">
        <f>IF($A12="", "", IFERROR(SUMIF(PersonaB!$B:$B, $B12, PersonaB!$P:$P) / PPY, 0))</f>
        <v>6652.4512578616368</v>
      </c>
      <c r="N12" s="16">
        <f t="shared" si="4"/>
        <v>1677.1777777777784</v>
      </c>
      <c r="O12" s="16">
        <f t="shared" si="10"/>
        <v>9224.4777777777817</v>
      </c>
    </row>
    <row r="13" spans="1:22" x14ac:dyDescent="0.35">
      <c r="A13">
        <f t="shared" si="0"/>
        <v>11</v>
      </c>
      <c r="B13">
        <f t="shared" si="1"/>
        <v>2027</v>
      </c>
      <c r="C13">
        <f t="shared" si="2"/>
        <v>11</v>
      </c>
      <c r="D13" t="b">
        <f t="shared" si="3"/>
        <v>0</v>
      </c>
      <c r="E13" s="5">
        <f>IF($A13="", "", IFERROR(SUMIF(PersonaA!$B:$B, $B13, PersonaA!$O:$O) / PPY, 0))</f>
        <v>6604.7777916900004</v>
      </c>
      <c r="F13" s="5">
        <f>IF($A13="", "", IFERROR(SUMIF(PersonaB!$B:$B, $B13, PersonaB!$O:$O) / PPY, 0))</f>
        <v>8647.7987421383659</v>
      </c>
      <c r="G13" s="5">
        <f t="shared" si="5"/>
        <v>25157.666666666672</v>
      </c>
      <c r="H13" s="5">
        <f t="shared" si="8"/>
        <v>251576.66666666674</v>
      </c>
      <c r="I13" s="5">
        <f t="shared" si="6"/>
        <v>276734.33333333343</v>
      </c>
      <c r="J13" s="5">
        <f t="shared" si="7"/>
        <v>0</v>
      </c>
      <c r="K13" s="5">
        <f t="shared" si="9"/>
        <v>276734.33333333343</v>
      </c>
      <c r="L13" s="5">
        <f>IF($A13="", "", IFERROR(SUMIF(PersonaA!$B:$B, $B13, PersonaA!$P:$P) / PPY, 0))</f>
        <v>3252.6388749766661</v>
      </c>
      <c r="M13" s="5">
        <f>IF($A13="", "", IFERROR(SUMIF(PersonaB!$B:$B, $B13, PersonaB!$P:$P) / PPY, 0))</f>
        <v>6652.4512578616368</v>
      </c>
      <c r="N13" s="15">
        <f t="shared" si="4"/>
        <v>1844.8955555555563</v>
      </c>
      <c r="O13" s="15">
        <f t="shared" si="10"/>
        <v>11069.373333333338</v>
      </c>
    </row>
    <row r="14" spans="1:22" x14ac:dyDescent="0.35">
      <c r="A14">
        <f t="shared" si="0"/>
        <v>12</v>
      </c>
      <c r="B14">
        <f t="shared" si="1"/>
        <v>2027</v>
      </c>
      <c r="C14">
        <f t="shared" si="2"/>
        <v>12</v>
      </c>
      <c r="D14" t="b">
        <f t="shared" si="3"/>
        <v>1</v>
      </c>
      <c r="E14" s="5">
        <f>IF($A14="", "", IFERROR(SUMIF(PersonaA!$B:$B, $B14, PersonaA!$O:$O) / PPY, 0))</f>
        <v>6604.7777916900004</v>
      </c>
      <c r="F14" s="5">
        <f>IF($A14="", "", IFERROR(SUMIF(PersonaB!$B:$B, $B14, PersonaB!$O:$O) / PPY, 0))</f>
        <v>8647.7987421383659</v>
      </c>
      <c r="G14" s="5">
        <f t="shared" si="5"/>
        <v>25157.666666666672</v>
      </c>
      <c r="H14" s="5">
        <f t="shared" si="8"/>
        <v>276734.33333333343</v>
      </c>
      <c r="I14" s="5">
        <f t="shared" si="6"/>
        <v>301892.00000000012</v>
      </c>
      <c r="J14" s="5">
        <f t="shared" si="7"/>
        <v>301892.00000000012</v>
      </c>
      <c r="K14" s="5">
        <f t="shared" si="9"/>
        <v>0</v>
      </c>
      <c r="L14" s="5">
        <f>IF($A14="", "", IFERROR(SUMIF(PersonaA!$B:$B, $B14, PersonaA!$P:$P) / PPY, 0))</f>
        <v>3252.6388749766661</v>
      </c>
      <c r="M14" s="5">
        <f>IF($A14="", "", IFERROR(SUMIF(PersonaB!$B:$B, $B14, PersonaB!$P:$P) / PPY, 0))</f>
        <v>6652.4512578616368</v>
      </c>
      <c r="N14" s="16">
        <f t="shared" si="4"/>
        <v>2012.6133333333341</v>
      </c>
      <c r="O14" s="16">
        <f t="shared" si="10"/>
        <v>13081.986666666673</v>
      </c>
    </row>
    <row r="15" spans="1:22" x14ac:dyDescent="0.35">
      <c r="A15">
        <f t="shared" si="0"/>
        <v>13</v>
      </c>
      <c r="B15">
        <f t="shared" si="1"/>
        <v>2028</v>
      </c>
      <c r="C15">
        <f t="shared" si="2"/>
        <v>1</v>
      </c>
      <c r="D15" t="b">
        <f t="shared" si="3"/>
        <v>0</v>
      </c>
      <c r="E15" s="5">
        <f>IF($A15="", "", IFERROR(SUMIF(PersonaA!$B:$B, $B15, PersonaA!$O:$O) / PPY, 0))</f>
        <v>1222.0833333333333</v>
      </c>
      <c r="F15" s="5">
        <f>IF($A15="", "", IFERROR(SUMIF(PersonaB!$B:$B, $B15, PersonaB!$O:$O) / PPY, 0))</f>
        <v>350.83333333333366</v>
      </c>
      <c r="G15" s="5">
        <f t="shared" si="5"/>
        <v>2214.420833333334</v>
      </c>
      <c r="H15" s="5">
        <f t="shared" si="8"/>
        <v>0</v>
      </c>
      <c r="I15" s="5">
        <f t="shared" si="6"/>
        <v>2214.420833333334</v>
      </c>
      <c r="J15" s="5">
        <f t="shared" si="7"/>
        <v>0</v>
      </c>
      <c r="K15" s="5">
        <f t="shared" si="9"/>
        <v>2214.420833333334</v>
      </c>
      <c r="L15" s="5">
        <f>IF($A15="", "", IFERROR(SUMIF(PersonaA!$B:$B, $B15, PersonaA!$P:$P) / PPY, 0))</f>
        <v>476.61250000000001</v>
      </c>
      <c r="M15" s="5">
        <f>IF($A15="", "", IFERROR(SUMIF(PersonaB!$B:$B, $B15, PersonaB!$P:$P) / PPY, 0))</f>
        <v>164.89166666666682</v>
      </c>
      <c r="N15" s="15">
        <f t="shared" si="4"/>
        <v>14.762805555555561</v>
      </c>
      <c r="O15" s="15">
        <f t="shared" si="10"/>
        <v>13096.749472222229</v>
      </c>
    </row>
    <row r="16" spans="1:22" x14ac:dyDescent="0.35">
      <c r="A16">
        <f t="shared" si="0"/>
        <v>14</v>
      </c>
      <c r="B16">
        <f t="shared" si="1"/>
        <v>2028</v>
      </c>
      <c r="C16">
        <f t="shared" si="2"/>
        <v>2</v>
      </c>
      <c r="D16" t="b">
        <f t="shared" si="3"/>
        <v>0</v>
      </c>
      <c r="E16" s="5">
        <f>IF($A16="", "", IFERROR(SUMIF(PersonaA!$B:$B, $B16, PersonaA!$O:$O) / PPY, 0))</f>
        <v>1222.0833333333333</v>
      </c>
      <c r="F16" s="5">
        <f>IF($A16="", "", IFERROR(SUMIF(PersonaB!$B:$B, $B16, PersonaB!$O:$O) / PPY, 0))</f>
        <v>350.83333333333366</v>
      </c>
      <c r="G16" s="5">
        <f t="shared" si="5"/>
        <v>2214.420833333334</v>
      </c>
      <c r="H16" s="5">
        <f t="shared" si="8"/>
        <v>2214.420833333334</v>
      </c>
      <c r="I16" s="5">
        <f t="shared" si="6"/>
        <v>4428.8416666666681</v>
      </c>
      <c r="J16" s="5">
        <f t="shared" si="7"/>
        <v>0</v>
      </c>
      <c r="K16" s="5">
        <f t="shared" si="9"/>
        <v>4428.8416666666681</v>
      </c>
      <c r="L16" s="5">
        <f>IF($A16="", "", IFERROR(SUMIF(PersonaA!$B:$B, $B16, PersonaA!$P:$P) / PPY, 0))</f>
        <v>476.61250000000001</v>
      </c>
      <c r="M16" s="5">
        <f>IF($A16="", "", IFERROR(SUMIF(PersonaB!$B:$B, $B16, PersonaB!$P:$P) / PPY, 0))</f>
        <v>164.89166666666682</v>
      </c>
      <c r="N16" s="16">
        <f t="shared" si="4"/>
        <v>29.525611111111122</v>
      </c>
      <c r="O16" s="16">
        <f t="shared" si="10"/>
        <v>13126.275083333339</v>
      </c>
    </row>
    <row r="17" spans="1:15" x14ac:dyDescent="0.35">
      <c r="A17">
        <f t="shared" si="0"/>
        <v>15</v>
      </c>
      <c r="B17">
        <f t="shared" si="1"/>
        <v>2028</v>
      </c>
      <c r="C17">
        <f t="shared" si="2"/>
        <v>3</v>
      </c>
      <c r="D17" t="b">
        <f t="shared" si="3"/>
        <v>0</v>
      </c>
      <c r="E17" s="5">
        <f>IF($A17="", "", IFERROR(SUMIF(PersonaA!$B:$B, $B17, PersonaA!$O:$O) / PPY, 0))</f>
        <v>1222.0833333333333</v>
      </c>
      <c r="F17" s="5">
        <f>IF($A17="", "", IFERROR(SUMIF(PersonaB!$B:$B, $B17, PersonaB!$O:$O) / PPY, 0))</f>
        <v>350.83333333333366</v>
      </c>
      <c r="G17" s="5">
        <f t="shared" si="5"/>
        <v>2214.420833333334</v>
      </c>
      <c r="H17" s="5">
        <f t="shared" si="8"/>
        <v>4428.8416666666681</v>
      </c>
      <c r="I17" s="5">
        <f t="shared" si="6"/>
        <v>6643.2625000000025</v>
      </c>
      <c r="J17" s="5">
        <f t="shared" si="7"/>
        <v>0</v>
      </c>
      <c r="K17" s="5">
        <f t="shared" si="9"/>
        <v>6643.2625000000025</v>
      </c>
      <c r="L17" s="5">
        <f>IF($A17="", "", IFERROR(SUMIF(PersonaA!$B:$B, $B17, PersonaA!$P:$P) / PPY, 0))</f>
        <v>476.61250000000001</v>
      </c>
      <c r="M17" s="5">
        <f>IF($A17="", "", IFERROR(SUMIF(PersonaB!$B:$B, $B17, PersonaB!$P:$P) / PPY, 0))</f>
        <v>164.89166666666682</v>
      </c>
      <c r="N17" s="15">
        <f t="shared" si="4"/>
        <v>44.288416666666684</v>
      </c>
      <c r="O17" s="15">
        <f t="shared" si="10"/>
        <v>13170.563500000006</v>
      </c>
    </row>
    <row r="18" spans="1:15" x14ac:dyDescent="0.35">
      <c r="A18">
        <f t="shared" si="0"/>
        <v>16</v>
      </c>
      <c r="B18">
        <f t="shared" si="1"/>
        <v>2028</v>
      </c>
      <c r="C18">
        <f t="shared" si="2"/>
        <v>4</v>
      </c>
      <c r="D18" t="b">
        <f t="shared" si="3"/>
        <v>0</v>
      </c>
      <c r="E18" s="5">
        <f>IF($A18="", "", IFERROR(SUMIF(PersonaA!$B:$B, $B18, PersonaA!$O:$O) / PPY, 0))</f>
        <v>1222.0833333333333</v>
      </c>
      <c r="F18" s="5">
        <f>IF($A18="", "", IFERROR(SUMIF(PersonaB!$B:$B, $B18, PersonaB!$O:$O) / PPY, 0))</f>
        <v>350.83333333333366</v>
      </c>
      <c r="G18" s="5">
        <f t="shared" si="5"/>
        <v>2214.420833333334</v>
      </c>
      <c r="H18" s="5">
        <f t="shared" si="8"/>
        <v>6643.2625000000025</v>
      </c>
      <c r="I18" s="5">
        <f t="shared" si="6"/>
        <v>8857.6833333333361</v>
      </c>
      <c r="J18" s="5">
        <f t="shared" si="7"/>
        <v>0</v>
      </c>
      <c r="K18" s="5">
        <f t="shared" si="9"/>
        <v>8857.6833333333361</v>
      </c>
      <c r="L18" s="5">
        <f>IF($A18="", "", IFERROR(SUMIF(PersonaA!$B:$B, $B18, PersonaA!$P:$P) / PPY, 0))</f>
        <v>476.61250000000001</v>
      </c>
      <c r="M18" s="5">
        <f>IF($A18="", "", IFERROR(SUMIF(PersonaB!$B:$B, $B18, PersonaB!$P:$P) / PPY, 0))</f>
        <v>164.89166666666682</v>
      </c>
      <c r="N18" s="16">
        <f t="shared" si="4"/>
        <v>59.051222222222243</v>
      </c>
      <c r="O18" s="16">
        <f t="shared" si="10"/>
        <v>13229.614722222228</v>
      </c>
    </row>
    <row r="19" spans="1:15" x14ac:dyDescent="0.35">
      <c r="A19">
        <f t="shared" si="0"/>
        <v>17</v>
      </c>
      <c r="B19">
        <f t="shared" si="1"/>
        <v>2028</v>
      </c>
      <c r="C19">
        <f t="shared" si="2"/>
        <v>5</v>
      </c>
      <c r="D19" t="b">
        <f t="shared" si="3"/>
        <v>0</v>
      </c>
      <c r="E19" s="5">
        <f>IF($A19="", "", IFERROR(SUMIF(PersonaA!$B:$B, $B19, PersonaA!$O:$O) / PPY, 0))</f>
        <v>1222.0833333333333</v>
      </c>
      <c r="F19" s="5">
        <f>IF($A19="", "", IFERROR(SUMIF(PersonaB!$B:$B, $B19, PersonaB!$O:$O) / PPY, 0))</f>
        <v>350.83333333333366</v>
      </c>
      <c r="G19" s="5">
        <f t="shared" si="5"/>
        <v>2214.420833333334</v>
      </c>
      <c r="H19" s="5">
        <f t="shared" si="8"/>
        <v>8857.6833333333361</v>
      </c>
      <c r="I19" s="5">
        <f t="shared" si="6"/>
        <v>11072.10416666667</v>
      </c>
      <c r="J19" s="5">
        <f t="shared" si="7"/>
        <v>0</v>
      </c>
      <c r="K19" s="5">
        <f t="shared" si="9"/>
        <v>11072.10416666667</v>
      </c>
      <c r="L19" s="5">
        <f>IF($A19="", "", IFERROR(SUMIF(PersonaA!$B:$B, $B19, PersonaA!$P:$P) / PPY, 0))</f>
        <v>476.61250000000001</v>
      </c>
      <c r="M19" s="5">
        <f>IF($A19="", "", IFERROR(SUMIF(PersonaB!$B:$B, $B19, PersonaB!$P:$P) / PPY, 0))</f>
        <v>164.89166666666682</v>
      </c>
      <c r="N19" s="15">
        <f t="shared" si="4"/>
        <v>73.81402777777781</v>
      </c>
      <c r="O19" s="15">
        <f t="shared" si="10"/>
        <v>13303.428750000006</v>
      </c>
    </row>
    <row r="20" spans="1:15" x14ac:dyDescent="0.35">
      <c r="A20">
        <f t="shared" si="0"/>
        <v>18</v>
      </c>
      <c r="B20">
        <f t="shared" si="1"/>
        <v>2028</v>
      </c>
      <c r="C20">
        <f t="shared" si="2"/>
        <v>6</v>
      </c>
      <c r="D20" t="b">
        <f t="shared" si="3"/>
        <v>0</v>
      </c>
      <c r="E20" s="5">
        <f>IF($A20="", "", IFERROR(SUMIF(PersonaA!$B:$B, $B20, PersonaA!$O:$O) / PPY, 0))</f>
        <v>1222.0833333333333</v>
      </c>
      <c r="F20" s="5">
        <f>IF($A20="", "", IFERROR(SUMIF(PersonaB!$B:$B, $B20, PersonaB!$O:$O) / PPY, 0))</f>
        <v>350.83333333333366</v>
      </c>
      <c r="G20" s="5">
        <f t="shared" si="5"/>
        <v>2214.420833333334</v>
      </c>
      <c r="H20" s="5">
        <f t="shared" si="8"/>
        <v>11072.10416666667</v>
      </c>
      <c r="I20" s="5">
        <f t="shared" si="6"/>
        <v>13286.525000000003</v>
      </c>
      <c r="J20" s="5">
        <f t="shared" si="7"/>
        <v>0</v>
      </c>
      <c r="K20" s="5">
        <f t="shared" si="9"/>
        <v>13286.525000000003</v>
      </c>
      <c r="L20" s="5">
        <f>IF($A20="", "", IFERROR(SUMIF(PersonaA!$B:$B, $B20, PersonaA!$P:$P) / PPY, 0))</f>
        <v>476.61250000000001</v>
      </c>
      <c r="M20" s="5">
        <f>IF($A20="", "", IFERROR(SUMIF(PersonaB!$B:$B, $B20, PersonaB!$P:$P) / PPY, 0))</f>
        <v>164.89166666666682</v>
      </c>
      <c r="N20" s="16">
        <f t="shared" si="4"/>
        <v>88.576833333333354</v>
      </c>
      <c r="O20" s="16">
        <f t="shared" si="10"/>
        <v>13392.005583333339</v>
      </c>
    </row>
    <row r="21" spans="1:15" x14ac:dyDescent="0.35">
      <c r="A21">
        <f t="shared" si="0"/>
        <v>19</v>
      </c>
      <c r="B21">
        <f t="shared" si="1"/>
        <v>2028</v>
      </c>
      <c r="C21">
        <f t="shared" si="2"/>
        <v>7</v>
      </c>
      <c r="D21" t="b">
        <f t="shared" si="3"/>
        <v>0</v>
      </c>
      <c r="E21" s="5">
        <f>IF($A21="", "", IFERROR(SUMIF(PersonaA!$B:$B, $B21, PersonaA!$O:$O) / PPY, 0))</f>
        <v>1222.0833333333333</v>
      </c>
      <c r="F21" s="5">
        <f>IF($A21="", "", IFERROR(SUMIF(PersonaB!$B:$B, $B21, PersonaB!$O:$O) / PPY, 0))</f>
        <v>350.83333333333366</v>
      </c>
      <c r="G21" s="5">
        <f t="shared" si="5"/>
        <v>2214.420833333334</v>
      </c>
      <c r="H21" s="5">
        <f t="shared" si="8"/>
        <v>13286.525000000003</v>
      </c>
      <c r="I21" s="5">
        <f t="shared" si="6"/>
        <v>15500.945833333337</v>
      </c>
      <c r="J21" s="5">
        <f t="shared" si="7"/>
        <v>0</v>
      </c>
      <c r="K21" s="5">
        <f t="shared" si="9"/>
        <v>15500.945833333337</v>
      </c>
      <c r="L21" s="5">
        <f>IF($A21="", "", IFERROR(SUMIF(PersonaA!$B:$B, $B21, PersonaA!$P:$P) / PPY, 0))</f>
        <v>476.61250000000001</v>
      </c>
      <c r="M21" s="5">
        <f>IF($A21="", "", IFERROR(SUMIF(PersonaB!$B:$B, $B21, PersonaB!$P:$P) / PPY, 0))</f>
        <v>164.89166666666682</v>
      </c>
      <c r="N21" s="15">
        <f t="shared" si="4"/>
        <v>103.33963888888891</v>
      </c>
      <c r="O21" s="15">
        <f t="shared" si="10"/>
        <v>13495.345222222228</v>
      </c>
    </row>
    <row r="22" spans="1:15" x14ac:dyDescent="0.35">
      <c r="A22">
        <f t="shared" si="0"/>
        <v>20</v>
      </c>
      <c r="B22">
        <f t="shared" si="1"/>
        <v>2028</v>
      </c>
      <c r="C22">
        <f t="shared" si="2"/>
        <v>8</v>
      </c>
      <c r="D22" t="b">
        <f t="shared" si="3"/>
        <v>0</v>
      </c>
      <c r="E22" s="5">
        <f>IF($A22="", "", IFERROR(SUMIF(PersonaA!$B:$B, $B22, PersonaA!$O:$O) / PPY, 0))</f>
        <v>1222.0833333333333</v>
      </c>
      <c r="F22" s="5">
        <f>IF($A22="", "", IFERROR(SUMIF(PersonaB!$B:$B, $B22, PersonaB!$O:$O) / PPY, 0))</f>
        <v>350.83333333333366</v>
      </c>
      <c r="G22" s="5">
        <f t="shared" si="5"/>
        <v>2214.420833333334</v>
      </c>
      <c r="H22" s="5">
        <f t="shared" si="8"/>
        <v>15500.945833333337</v>
      </c>
      <c r="I22" s="5">
        <f t="shared" si="6"/>
        <v>17715.366666666672</v>
      </c>
      <c r="J22" s="5">
        <f>IF(A22="", "",IF(D22,I22,0))</f>
        <v>0</v>
      </c>
      <c r="K22" s="5">
        <f t="shared" si="9"/>
        <v>17715.366666666672</v>
      </c>
      <c r="L22" s="5">
        <f>IF($A22="", "", IFERROR(SUMIF(PersonaA!$B:$B, $B22, PersonaA!$P:$P) / PPY, 0))</f>
        <v>476.61250000000001</v>
      </c>
      <c r="M22" s="5">
        <f>IF($A22="", "", IFERROR(SUMIF(PersonaB!$B:$B, $B22, PersonaB!$P:$P) / PPY, 0))</f>
        <v>164.89166666666682</v>
      </c>
      <c r="N22" s="16">
        <f t="shared" si="4"/>
        <v>118.10244444444449</v>
      </c>
      <c r="O22" s="16">
        <f t="shared" si="10"/>
        <v>13613.447666666672</v>
      </c>
    </row>
    <row r="23" spans="1:15" x14ac:dyDescent="0.35">
      <c r="A23">
        <f t="shared" si="0"/>
        <v>21</v>
      </c>
      <c r="B23">
        <f t="shared" si="1"/>
        <v>2028</v>
      </c>
      <c r="C23">
        <f t="shared" si="2"/>
        <v>9</v>
      </c>
      <c r="D23" t="b">
        <f t="shared" si="3"/>
        <v>0</v>
      </c>
      <c r="E23" s="5">
        <f>IF($A23="", "", IFERROR(SUMIF(PersonaA!$B:$B, $B23, PersonaA!$O:$O) / PPY, 0))</f>
        <v>1222.0833333333333</v>
      </c>
      <c r="F23" s="5">
        <f>IF($A23="", "", IFERROR(SUMIF(PersonaB!$B:$B, $B23, PersonaB!$O:$O) / PPY, 0))</f>
        <v>350.83333333333366</v>
      </c>
      <c r="G23" s="5">
        <f t="shared" si="5"/>
        <v>2214.420833333334</v>
      </c>
      <c r="H23" s="5">
        <f t="shared" si="8"/>
        <v>17715.366666666672</v>
      </c>
      <c r="I23" s="5">
        <f t="shared" si="6"/>
        <v>19929.787500000006</v>
      </c>
      <c r="J23" s="5">
        <f t="shared" si="7"/>
        <v>0</v>
      </c>
      <c r="K23" s="5">
        <f t="shared" si="9"/>
        <v>19929.787500000006</v>
      </c>
      <c r="L23" s="5">
        <f>IF($A23="", "", IFERROR(SUMIF(PersonaA!$B:$B, $B23, PersonaA!$P:$P) / PPY, 0))</f>
        <v>476.61250000000001</v>
      </c>
      <c r="M23" s="5">
        <f>IF($A23="", "", IFERROR(SUMIF(PersonaB!$B:$B, $B23, PersonaB!$P:$P) / PPY, 0))</f>
        <v>164.89166666666682</v>
      </c>
      <c r="N23" s="15">
        <f t="shared" si="4"/>
        <v>132.86525000000006</v>
      </c>
      <c r="O23" s="15">
        <f t="shared" si="10"/>
        <v>13746.312916666673</v>
      </c>
    </row>
    <row r="24" spans="1:15" x14ac:dyDescent="0.35">
      <c r="A24">
        <f t="shared" si="0"/>
        <v>22</v>
      </c>
      <c r="B24">
        <f t="shared" si="1"/>
        <v>2028</v>
      </c>
      <c r="C24">
        <f t="shared" si="2"/>
        <v>10</v>
      </c>
      <c r="D24" t="b">
        <f t="shared" si="3"/>
        <v>0</v>
      </c>
      <c r="E24" s="5">
        <f>IF($A24="", "", IFERROR(SUMIF(PersonaA!$B:$B, $B24, PersonaA!$O:$O) / PPY, 0))</f>
        <v>1222.0833333333333</v>
      </c>
      <c r="F24" s="5">
        <f>IF($A24="", "", IFERROR(SUMIF(PersonaB!$B:$B, $B24, PersonaB!$O:$O) / PPY, 0))</f>
        <v>350.83333333333366</v>
      </c>
      <c r="G24" s="5">
        <f t="shared" si="5"/>
        <v>2214.420833333334</v>
      </c>
      <c r="H24" s="5">
        <f t="shared" si="8"/>
        <v>19929.787500000006</v>
      </c>
      <c r="I24" s="5">
        <f t="shared" si="6"/>
        <v>22144.208333333339</v>
      </c>
      <c r="J24" s="5">
        <f t="shared" si="7"/>
        <v>0</v>
      </c>
      <c r="K24" s="5">
        <f t="shared" si="9"/>
        <v>22144.208333333339</v>
      </c>
      <c r="L24" s="5">
        <f>IF($A24="", "", IFERROR(SUMIF(PersonaA!$B:$B, $B24, PersonaA!$P:$P) / PPY, 0))</f>
        <v>476.61250000000001</v>
      </c>
      <c r="M24" s="5">
        <f>IF($A24="", "", IFERROR(SUMIF(PersonaB!$B:$B, $B24, PersonaB!$P:$P) / PPY, 0))</f>
        <v>164.89166666666682</v>
      </c>
      <c r="N24" s="16">
        <f t="shared" si="4"/>
        <v>147.62805555555562</v>
      </c>
      <c r="O24" s="16">
        <f t="shared" si="10"/>
        <v>13893.940972222228</v>
      </c>
    </row>
    <row r="25" spans="1:15" x14ac:dyDescent="0.35">
      <c r="A25">
        <f t="shared" si="0"/>
        <v>23</v>
      </c>
      <c r="B25">
        <f t="shared" si="1"/>
        <v>2028</v>
      </c>
      <c r="C25">
        <f t="shared" si="2"/>
        <v>11</v>
      </c>
      <c r="D25" t="b">
        <f t="shared" si="3"/>
        <v>0</v>
      </c>
      <c r="E25" s="5">
        <f>IF($A25="", "", IFERROR(SUMIF(PersonaA!$B:$B, $B25, PersonaA!$O:$O) / PPY, 0))</f>
        <v>1222.0833333333333</v>
      </c>
      <c r="F25" s="5">
        <f>IF($A25="", "", IFERROR(SUMIF(PersonaB!$B:$B, $B25, PersonaB!$O:$O) / PPY, 0))</f>
        <v>350.83333333333366</v>
      </c>
      <c r="G25" s="5">
        <f t="shared" si="5"/>
        <v>2214.420833333334</v>
      </c>
      <c r="H25" s="5">
        <f t="shared" si="8"/>
        <v>22144.208333333339</v>
      </c>
      <c r="I25" s="5">
        <f t="shared" si="6"/>
        <v>24358.629166666673</v>
      </c>
      <c r="J25" s="5">
        <f t="shared" si="7"/>
        <v>0</v>
      </c>
      <c r="K25" s="5">
        <f t="shared" si="9"/>
        <v>24358.629166666673</v>
      </c>
      <c r="L25" s="5">
        <f>IF($A25="", "", IFERROR(SUMIF(PersonaA!$B:$B, $B25, PersonaA!$P:$P) / PPY, 0))</f>
        <v>476.61250000000001</v>
      </c>
      <c r="M25" s="5">
        <f>IF($A25="", "", IFERROR(SUMIF(PersonaB!$B:$B, $B25, PersonaB!$P:$P) / PPY, 0))</f>
        <v>164.89166666666682</v>
      </c>
      <c r="N25" s="15">
        <f t="shared" si="4"/>
        <v>162.39086111111115</v>
      </c>
      <c r="O25" s="15">
        <f t="shared" si="10"/>
        <v>14056.331833333339</v>
      </c>
    </row>
    <row r="26" spans="1:15" x14ac:dyDescent="0.35">
      <c r="A26">
        <f t="shared" si="0"/>
        <v>24</v>
      </c>
      <c r="B26">
        <f t="shared" si="1"/>
        <v>2028</v>
      </c>
      <c r="C26">
        <f t="shared" si="2"/>
        <v>12</v>
      </c>
      <c r="D26" t="b">
        <f t="shared" si="3"/>
        <v>1</v>
      </c>
      <c r="E26" s="5">
        <f>IF($A26="", "", IFERROR(SUMIF(PersonaA!$B:$B, $B26, PersonaA!$O:$O) / PPY, 0))</f>
        <v>1222.0833333333333</v>
      </c>
      <c r="F26" s="5">
        <f>IF($A26="", "", IFERROR(SUMIF(PersonaB!$B:$B, $B26, PersonaB!$O:$O) / PPY, 0))</f>
        <v>350.83333333333366</v>
      </c>
      <c r="G26" s="5">
        <f t="shared" si="5"/>
        <v>2214.420833333334</v>
      </c>
      <c r="H26" s="5">
        <f t="shared" si="8"/>
        <v>24358.629166666673</v>
      </c>
      <c r="I26" s="5">
        <f t="shared" si="6"/>
        <v>26573.050000000007</v>
      </c>
      <c r="J26" s="5">
        <f t="shared" si="7"/>
        <v>26573.050000000007</v>
      </c>
      <c r="K26" s="5">
        <f t="shared" si="9"/>
        <v>0</v>
      </c>
      <c r="L26" s="5">
        <f>IF($A26="", "", IFERROR(SUMIF(PersonaA!$B:$B, $B26, PersonaA!$P:$P) / PPY, 0))</f>
        <v>476.61250000000001</v>
      </c>
      <c r="M26" s="5">
        <f>IF($A26="", "", IFERROR(SUMIF(PersonaB!$B:$B, $B26, PersonaB!$P:$P) / PPY, 0))</f>
        <v>164.89166666666682</v>
      </c>
      <c r="N26" s="16">
        <f t="shared" si="4"/>
        <v>177.15366666666671</v>
      </c>
      <c r="O26" s="16">
        <f t="shared" si="10"/>
        <v>14233.485500000006</v>
      </c>
    </row>
    <row r="27" spans="1:15" x14ac:dyDescent="0.35">
      <c r="A27">
        <f t="shared" si="0"/>
        <v>25</v>
      </c>
      <c r="B27">
        <f t="shared" si="1"/>
        <v>2029</v>
      </c>
      <c r="C27">
        <f t="shared" si="2"/>
        <v>1</v>
      </c>
      <c r="D27" t="b">
        <f t="shared" si="3"/>
        <v>0</v>
      </c>
      <c r="E27" s="5">
        <f>IF($A27="", "", IFERROR(SUMIF(PersonaA!$B:$B, $B27, PersonaA!$O:$O) / PPY, 0))</f>
        <v>1393.2604166666667</v>
      </c>
      <c r="F27" s="5">
        <f>IF($A27="", "", IFERROR(SUMIF(PersonaB!$B:$B, $B27, PersonaB!$O:$O) / PPY, 0))</f>
        <v>500.22916666666725</v>
      </c>
      <c r="G27" s="5">
        <f t="shared" si="5"/>
        <v>2671.9688541666674</v>
      </c>
      <c r="H27" s="5">
        <f t="shared" si="8"/>
        <v>0</v>
      </c>
      <c r="I27" s="5">
        <f t="shared" si="6"/>
        <v>2671.9688541666674</v>
      </c>
      <c r="J27" s="5">
        <f t="shared" si="7"/>
        <v>0</v>
      </c>
      <c r="K27" s="5">
        <f t="shared" si="9"/>
        <v>2671.9688541666674</v>
      </c>
      <c r="L27" s="5">
        <f>IF($A27="", "", IFERROR(SUMIF(PersonaA!$B:$B, $B27, PersonaA!$P:$P) / PPY, 0))</f>
        <v>543.37156249999998</v>
      </c>
      <c r="M27" s="5">
        <f>IF($A27="", "", IFERROR(SUMIF(PersonaB!$B:$B, $B27, PersonaB!$P:$P) / PPY, 0))</f>
        <v>235.10770833333365</v>
      </c>
      <c r="N27" s="15">
        <f t="shared" si="4"/>
        <v>17.813125694444452</v>
      </c>
      <c r="O27" s="15">
        <f t="shared" si="10"/>
        <v>14251.298625694451</v>
      </c>
    </row>
    <row r="28" spans="1:15" x14ac:dyDescent="0.35">
      <c r="A28">
        <f t="shared" si="0"/>
        <v>26</v>
      </c>
      <c r="B28">
        <f t="shared" si="1"/>
        <v>2029</v>
      </c>
      <c r="C28">
        <f t="shared" si="2"/>
        <v>2</v>
      </c>
      <c r="D28" t="b">
        <f t="shared" si="3"/>
        <v>0</v>
      </c>
      <c r="E28" s="5">
        <f>IF($A28="", "", IFERROR(SUMIF(PersonaA!$B:$B, $B28, PersonaA!$O:$O) / PPY, 0))</f>
        <v>1393.2604166666667</v>
      </c>
      <c r="F28" s="5">
        <f>IF($A28="", "", IFERROR(SUMIF(PersonaB!$B:$B, $B28, PersonaB!$O:$O) / PPY, 0))</f>
        <v>500.22916666666725</v>
      </c>
      <c r="G28" s="5">
        <f t="shared" si="5"/>
        <v>2671.9688541666674</v>
      </c>
      <c r="H28" s="5">
        <f t="shared" si="8"/>
        <v>2671.9688541666674</v>
      </c>
      <c r="I28" s="5">
        <f t="shared" si="6"/>
        <v>5343.9377083333347</v>
      </c>
      <c r="J28" s="5">
        <f t="shared" si="7"/>
        <v>0</v>
      </c>
      <c r="K28" s="5">
        <f t="shared" si="9"/>
        <v>5343.9377083333347</v>
      </c>
      <c r="L28" s="5">
        <f>IF($A28="", "", IFERROR(SUMIF(PersonaA!$B:$B, $B28, PersonaA!$P:$P) / PPY, 0))</f>
        <v>543.37156249999998</v>
      </c>
      <c r="M28" s="5">
        <f>IF($A28="", "", IFERROR(SUMIF(PersonaB!$B:$B, $B28, PersonaB!$P:$P) / PPY, 0))</f>
        <v>235.10770833333365</v>
      </c>
      <c r="N28" s="16">
        <f t="shared" si="4"/>
        <v>35.626251388888903</v>
      </c>
      <c r="O28" s="16">
        <f t="shared" si="10"/>
        <v>14286.92487708334</v>
      </c>
    </row>
    <row r="29" spans="1:15" x14ac:dyDescent="0.35">
      <c r="A29">
        <f t="shared" si="0"/>
        <v>27</v>
      </c>
      <c r="B29">
        <f t="shared" si="1"/>
        <v>2029</v>
      </c>
      <c r="C29">
        <f t="shared" si="2"/>
        <v>3</v>
      </c>
      <c r="D29" t="b">
        <f t="shared" si="3"/>
        <v>0</v>
      </c>
      <c r="E29" s="5">
        <f>IF($A29="", "", IFERROR(SUMIF(PersonaA!$B:$B, $B29, PersonaA!$O:$O) / PPY, 0))</f>
        <v>1393.2604166666667</v>
      </c>
      <c r="F29" s="5">
        <f>IF($A29="", "", IFERROR(SUMIF(PersonaB!$B:$B, $B29, PersonaB!$O:$O) / PPY, 0))</f>
        <v>500.22916666666725</v>
      </c>
      <c r="G29" s="5">
        <f t="shared" si="5"/>
        <v>2671.9688541666674</v>
      </c>
      <c r="H29" s="5">
        <f t="shared" si="8"/>
        <v>5343.9377083333347</v>
      </c>
      <c r="I29" s="5">
        <f t="shared" si="6"/>
        <v>8015.9065625000021</v>
      </c>
      <c r="J29" s="5">
        <f t="shared" si="7"/>
        <v>0</v>
      </c>
      <c r="K29" s="5">
        <f t="shared" si="9"/>
        <v>8015.9065625000021</v>
      </c>
      <c r="L29" s="5">
        <f>IF($A29="", "", IFERROR(SUMIF(PersonaA!$B:$B, $B29, PersonaA!$P:$P) / PPY, 0))</f>
        <v>543.37156249999998</v>
      </c>
      <c r="M29" s="5">
        <f>IF($A29="", "", IFERROR(SUMIF(PersonaB!$B:$B, $B29, PersonaB!$P:$P) / PPY, 0))</f>
        <v>235.10770833333365</v>
      </c>
      <c r="N29" s="15">
        <f t="shared" si="4"/>
        <v>53.439377083333348</v>
      </c>
      <c r="O29" s="15">
        <f t="shared" si="10"/>
        <v>14340.364254166674</v>
      </c>
    </row>
    <row r="30" spans="1:15" x14ac:dyDescent="0.35">
      <c r="A30">
        <f t="shared" si="0"/>
        <v>28</v>
      </c>
      <c r="B30">
        <f t="shared" si="1"/>
        <v>2029</v>
      </c>
      <c r="C30">
        <f t="shared" si="2"/>
        <v>4</v>
      </c>
      <c r="D30" t="b">
        <f t="shared" si="3"/>
        <v>0</v>
      </c>
      <c r="E30" s="5">
        <f>IF($A30="", "", IFERROR(SUMIF(PersonaA!$B:$B, $B30, PersonaA!$O:$O) / PPY, 0))</f>
        <v>1393.2604166666667</v>
      </c>
      <c r="F30" s="5">
        <f>IF($A30="", "", IFERROR(SUMIF(PersonaB!$B:$B, $B30, PersonaB!$O:$O) / PPY, 0))</f>
        <v>500.22916666666725</v>
      </c>
      <c r="G30" s="5">
        <f t="shared" si="5"/>
        <v>2671.9688541666674</v>
      </c>
      <c r="H30" s="5">
        <f t="shared" si="8"/>
        <v>8015.9065625000021</v>
      </c>
      <c r="I30" s="5">
        <f t="shared" si="6"/>
        <v>10687.875416666669</v>
      </c>
      <c r="J30" s="5">
        <f t="shared" si="7"/>
        <v>0</v>
      </c>
      <c r="K30" s="5">
        <f t="shared" si="9"/>
        <v>10687.875416666669</v>
      </c>
      <c r="L30" s="5">
        <f>IF($A30="", "", IFERROR(SUMIF(PersonaA!$B:$B, $B30, PersonaA!$P:$P) / PPY, 0))</f>
        <v>543.37156249999998</v>
      </c>
      <c r="M30" s="5">
        <f>IF($A30="", "", IFERROR(SUMIF(PersonaB!$B:$B, $B30, PersonaB!$P:$P) / PPY, 0))</f>
        <v>235.10770833333365</v>
      </c>
      <c r="N30" s="16">
        <f t="shared" si="4"/>
        <v>71.252502777777806</v>
      </c>
      <c r="O30" s="16">
        <f t="shared" si="10"/>
        <v>14411.616756944451</v>
      </c>
    </row>
    <row r="31" spans="1:15" x14ac:dyDescent="0.35">
      <c r="A31">
        <f t="shared" si="0"/>
        <v>29</v>
      </c>
      <c r="B31">
        <f t="shared" si="1"/>
        <v>2029</v>
      </c>
      <c r="C31">
        <f t="shared" si="2"/>
        <v>5</v>
      </c>
      <c r="D31" t="b">
        <f t="shared" si="3"/>
        <v>0</v>
      </c>
      <c r="E31" s="5">
        <f>IF($A31="", "", IFERROR(SUMIF(PersonaA!$B:$B, $B31, PersonaA!$O:$O) / PPY, 0))</f>
        <v>1393.2604166666667</v>
      </c>
      <c r="F31" s="5">
        <f>IF($A31="", "", IFERROR(SUMIF(PersonaB!$B:$B, $B31, PersonaB!$O:$O) / PPY, 0))</f>
        <v>500.22916666666725</v>
      </c>
      <c r="G31" s="5">
        <f t="shared" si="5"/>
        <v>2671.9688541666674</v>
      </c>
      <c r="H31" s="5">
        <f t="shared" si="8"/>
        <v>10687.875416666669</v>
      </c>
      <c r="I31" s="5">
        <f t="shared" si="6"/>
        <v>13359.844270833337</v>
      </c>
      <c r="J31" s="5">
        <f t="shared" si="7"/>
        <v>0</v>
      </c>
      <c r="K31" s="5">
        <f t="shared" si="9"/>
        <v>13359.844270833337</v>
      </c>
      <c r="L31" s="5">
        <f>IF($A31="", "", IFERROR(SUMIF(PersonaA!$B:$B, $B31, PersonaA!$P:$P) / PPY, 0))</f>
        <v>543.37156249999998</v>
      </c>
      <c r="M31" s="5">
        <f>IF($A31="", "", IFERROR(SUMIF(PersonaB!$B:$B, $B31, PersonaB!$P:$P) / PPY, 0))</f>
        <v>235.10770833333365</v>
      </c>
      <c r="N31" s="15">
        <f t="shared" si="4"/>
        <v>89.065628472222258</v>
      </c>
      <c r="O31" s="15">
        <f t="shared" si="10"/>
        <v>14500.682385416674</v>
      </c>
    </row>
    <row r="32" spans="1:15" x14ac:dyDescent="0.35">
      <c r="A32">
        <f t="shared" si="0"/>
        <v>30</v>
      </c>
      <c r="B32">
        <f t="shared" si="1"/>
        <v>2029</v>
      </c>
      <c r="C32">
        <f t="shared" si="2"/>
        <v>6</v>
      </c>
      <c r="D32" t="b">
        <f t="shared" si="3"/>
        <v>0</v>
      </c>
      <c r="E32" s="5">
        <f>IF($A32="", "", IFERROR(SUMIF(PersonaA!$B:$B, $B32, PersonaA!$O:$O) / PPY, 0))</f>
        <v>1393.2604166666667</v>
      </c>
      <c r="F32" s="5">
        <f>IF($A32="", "", IFERROR(SUMIF(PersonaB!$B:$B, $B32, PersonaB!$O:$O) / PPY, 0))</f>
        <v>500.22916666666725</v>
      </c>
      <c r="G32" s="5">
        <f t="shared" si="5"/>
        <v>2671.9688541666674</v>
      </c>
      <c r="H32" s="5">
        <f t="shared" si="8"/>
        <v>13359.844270833337</v>
      </c>
      <c r="I32" s="5">
        <f t="shared" si="6"/>
        <v>16031.813125000004</v>
      </c>
      <c r="J32" s="5">
        <f t="shared" si="7"/>
        <v>0</v>
      </c>
      <c r="K32" s="5">
        <f t="shared" si="9"/>
        <v>16031.813125000004</v>
      </c>
      <c r="L32" s="5">
        <f>IF($A32="", "", IFERROR(SUMIF(PersonaA!$B:$B, $B32, PersonaA!$P:$P) / PPY, 0))</f>
        <v>543.37156249999998</v>
      </c>
      <c r="M32" s="5">
        <f>IF($A32="", "", IFERROR(SUMIF(PersonaB!$B:$B, $B32, PersonaB!$P:$P) / PPY, 0))</f>
        <v>235.10770833333365</v>
      </c>
      <c r="N32" s="16">
        <f t="shared" si="4"/>
        <v>106.8787541666667</v>
      </c>
      <c r="O32" s="16">
        <f t="shared" si="10"/>
        <v>14607.56113958334</v>
      </c>
    </row>
    <row r="33" spans="1:15" x14ac:dyDescent="0.35">
      <c r="A33">
        <f t="shared" si="0"/>
        <v>31</v>
      </c>
      <c r="B33">
        <f t="shared" si="1"/>
        <v>2029</v>
      </c>
      <c r="C33">
        <f t="shared" si="2"/>
        <v>7</v>
      </c>
      <c r="D33" t="b">
        <f t="shared" si="3"/>
        <v>0</v>
      </c>
      <c r="E33" s="5">
        <f>IF($A33="", "", IFERROR(SUMIF(PersonaA!$B:$B, $B33, PersonaA!$O:$O) / PPY, 0))</f>
        <v>1393.2604166666667</v>
      </c>
      <c r="F33" s="5">
        <f>IF($A33="", "", IFERROR(SUMIF(PersonaB!$B:$B, $B33, PersonaB!$O:$O) / PPY, 0))</f>
        <v>500.22916666666725</v>
      </c>
      <c r="G33" s="5">
        <f t="shared" si="5"/>
        <v>2671.9688541666674</v>
      </c>
      <c r="H33" s="5">
        <f t="shared" si="8"/>
        <v>16031.813125000004</v>
      </c>
      <c r="I33" s="5">
        <f t="shared" si="6"/>
        <v>18703.78197916667</v>
      </c>
      <c r="J33" s="5">
        <f t="shared" si="7"/>
        <v>0</v>
      </c>
      <c r="K33" s="5">
        <f t="shared" si="9"/>
        <v>18703.78197916667</v>
      </c>
      <c r="L33" s="5">
        <f>IF($A33="", "", IFERROR(SUMIF(PersonaA!$B:$B, $B33, PersonaA!$P:$P) / PPY, 0))</f>
        <v>543.37156249999998</v>
      </c>
      <c r="M33" s="5">
        <f>IF($A33="", "", IFERROR(SUMIF(PersonaB!$B:$B, $B33, PersonaB!$P:$P) / PPY, 0))</f>
        <v>235.10770833333365</v>
      </c>
      <c r="N33" s="15">
        <f t="shared" si="4"/>
        <v>124.69187986111113</v>
      </c>
      <c r="O33" s="15">
        <f t="shared" si="10"/>
        <v>14732.253019444452</v>
      </c>
    </row>
    <row r="34" spans="1:15" x14ac:dyDescent="0.35">
      <c r="A34">
        <f t="shared" si="0"/>
        <v>32</v>
      </c>
      <c r="B34">
        <f t="shared" si="1"/>
        <v>2029</v>
      </c>
      <c r="C34">
        <f t="shared" si="2"/>
        <v>8</v>
      </c>
      <c r="D34" t="b">
        <f t="shared" si="3"/>
        <v>0</v>
      </c>
      <c r="E34" s="5">
        <f>IF($A34="", "", IFERROR(SUMIF(PersonaA!$B:$B, $B34, PersonaA!$O:$O) / PPY, 0))</f>
        <v>1393.2604166666667</v>
      </c>
      <c r="F34" s="5">
        <f>IF($A34="", "", IFERROR(SUMIF(PersonaB!$B:$B, $B34, PersonaB!$O:$O) / PPY, 0))</f>
        <v>500.22916666666725</v>
      </c>
      <c r="G34" s="5">
        <f t="shared" si="5"/>
        <v>2671.9688541666674</v>
      </c>
      <c r="H34" s="5">
        <f t="shared" si="8"/>
        <v>18703.78197916667</v>
      </c>
      <c r="I34" s="5">
        <f t="shared" si="6"/>
        <v>21375.750833333339</v>
      </c>
      <c r="J34" s="5">
        <f t="shared" si="7"/>
        <v>0</v>
      </c>
      <c r="K34" s="5">
        <f t="shared" si="9"/>
        <v>21375.750833333339</v>
      </c>
      <c r="L34" s="5">
        <f>IF($A34="", "", IFERROR(SUMIF(PersonaA!$B:$B, $B34, PersonaA!$P:$P) / PPY, 0))</f>
        <v>543.37156249999998</v>
      </c>
      <c r="M34" s="5">
        <f>IF($A34="", "", IFERROR(SUMIF(PersonaB!$B:$B, $B34, PersonaB!$P:$P) / PPY, 0))</f>
        <v>235.10770833333365</v>
      </c>
      <c r="N34" s="16">
        <f t="shared" si="4"/>
        <v>142.50500555555561</v>
      </c>
      <c r="O34" s="16">
        <f t="shared" si="10"/>
        <v>14874.758025000006</v>
      </c>
    </row>
    <row r="35" spans="1:15" x14ac:dyDescent="0.35">
      <c r="A35">
        <f t="shared" ref="A35:A66" si="11">IF(ROW()-2 &lt;= TotalPeriodsOffset, ROW()-2, "")</f>
        <v>33</v>
      </c>
      <c r="B35">
        <f t="shared" ref="B35:B66" si="12">IF($A35="", "", YEAR(StartYear) + INT(($A35-1)/PPY))</f>
        <v>2029</v>
      </c>
      <c r="C35">
        <f t="shared" ref="C35:C62" si="13">IF(A35="", "",MOD(A35-1, PPY)+1)</f>
        <v>9</v>
      </c>
      <c r="D35" t="b">
        <f t="shared" ref="D35:D66" si="14">IF(A35="", "",C35=PPY)</f>
        <v>0</v>
      </c>
      <c r="E35" s="5">
        <f>IF($A35="", "", IFERROR(SUMIF(PersonaA!$B:$B, $B35, PersonaA!$O:$O) / PPY, 0))</f>
        <v>1393.2604166666667</v>
      </c>
      <c r="F35" s="5">
        <f>IF($A35="", "", IFERROR(SUMIF(PersonaB!$B:$B, $B35, PersonaB!$O:$O) / PPY, 0))</f>
        <v>500.22916666666725</v>
      </c>
      <c r="G35" s="5">
        <f t="shared" si="5"/>
        <v>2671.9688541666674</v>
      </c>
      <c r="H35" s="5">
        <f t="shared" si="8"/>
        <v>21375.750833333339</v>
      </c>
      <c r="I35" s="5">
        <f t="shared" si="6"/>
        <v>24047.719687500008</v>
      </c>
      <c r="J35" s="5">
        <f t="shared" si="7"/>
        <v>0</v>
      </c>
      <c r="K35" s="5">
        <f t="shared" si="9"/>
        <v>24047.719687500008</v>
      </c>
      <c r="L35" s="5">
        <f>IF($A35="", "", IFERROR(SUMIF(PersonaA!$B:$B, $B35, PersonaA!$P:$P) / PPY, 0))</f>
        <v>543.37156249999998</v>
      </c>
      <c r="M35" s="5">
        <f>IF($A35="", "", IFERROR(SUMIF(PersonaB!$B:$B, $B35, PersonaB!$P:$P) / PPY, 0))</f>
        <v>235.10770833333365</v>
      </c>
      <c r="N35" s="15">
        <f t="shared" ref="N35:N66" si="15">IF($A35="", "", I35*(LoanRate/PPY))</f>
        <v>160.31813125000008</v>
      </c>
      <c r="O35" s="15">
        <f t="shared" si="10"/>
        <v>15035.076156250007</v>
      </c>
    </row>
    <row r="36" spans="1:15" x14ac:dyDescent="0.35">
      <c r="A36">
        <f t="shared" si="11"/>
        <v>34</v>
      </c>
      <c r="B36">
        <f t="shared" si="12"/>
        <v>2029</v>
      </c>
      <c r="C36">
        <f t="shared" si="13"/>
        <v>10</v>
      </c>
      <c r="D36" t="b">
        <f t="shared" si="14"/>
        <v>0</v>
      </c>
      <c r="E36" s="5">
        <f>IF($A36="", "", IFERROR(SUMIF(PersonaA!$B:$B, $B36, PersonaA!$O:$O) / PPY, 0))</f>
        <v>1393.2604166666667</v>
      </c>
      <c r="F36" s="5">
        <f>IF($A36="", "", IFERROR(SUMIF(PersonaB!$B:$B, $B36, PersonaB!$O:$O) / PPY, 0))</f>
        <v>500.22916666666725</v>
      </c>
      <c r="G36" s="5">
        <f t="shared" si="5"/>
        <v>2671.9688541666674</v>
      </c>
      <c r="H36" s="5">
        <f t="shared" si="8"/>
        <v>24047.719687500008</v>
      </c>
      <c r="I36" s="5">
        <f t="shared" si="6"/>
        <v>26719.688541666677</v>
      </c>
      <c r="J36" s="5">
        <f t="shared" si="7"/>
        <v>0</v>
      </c>
      <c r="K36" s="5">
        <f t="shared" si="9"/>
        <v>26719.688541666677</v>
      </c>
      <c r="L36" s="5">
        <f>IF($A36="", "", IFERROR(SUMIF(PersonaA!$B:$B, $B36, PersonaA!$P:$P) / PPY, 0))</f>
        <v>543.37156249999998</v>
      </c>
      <c r="M36" s="5">
        <f>IF($A36="", "", IFERROR(SUMIF(PersonaB!$B:$B, $B36, PersonaB!$P:$P) / PPY, 0))</f>
        <v>235.10770833333365</v>
      </c>
      <c r="N36" s="16">
        <f t="shared" si="15"/>
        <v>178.13125694444452</v>
      </c>
      <c r="O36" s="16">
        <f t="shared" si="10"/>
        <v>15213.207413194452</v>
      </c>
    </row>
    <row r="37" spans="1:15" x14ac:dyDescent="0.35">
      <c r="A37">
        <f t="shared" si="11"/>
        <v>35</v>
      </c>
      <c r="B37">
        <f t="shared" si="12"/>
        <v>2029</v>
      </c>
      <c r="C37">
        <f t="shared" si="13"/>
        <v>11</v>
      </c>
      <c r="D37" t="b">
        <f t="shared" si="14"/>
        <v>0</v>
      </c>
      <c r="E37" s="5">
        <f>IF($A37="", "", IFERROR(SUMIF(PersonaA!$B:$B, $B37, PersonaA!$O:$O) / PPY, 0))</f>
        <v>1393.2604166666667</v>
      </c>
      <c r="F37" s="5">
        <f>IF($A37="", "", IFERROR(SUMIF(PersonaB!$B:$B, $B37, PersonaB!$O:$O) / PPY, 0))</f>
        <v>500.22916666666725</v>
      </c>
      <c r="G37" s="5">
        <f t="shared" si="5"/>
        <v>2671.9688541666674</v>
      </c>
      <c r="H37" s="5">
        <f t="shared" si="8"/>
        <v>26719.688541666677</v>
      </c>
      <c r="I37" s="5">
        <f t="shared" si="6"/>
        <v>29391.657395833347</v>
      </c>
      <c r="J37" s="5">
        <f t="shared" si="7"/>
        <v>0</v>
      </c>
      <c r="K37" s="5">
        <f t="shared" si="9"/>
        <v>29391.657395833347</v>
      </c>
      <c r="L37" s="5">
        <f>IF($A37="", "", IFERROR(SUMIF(PersonaA!$B:$B, $B37, PersonaA!$P:$P) / PPY, 0))</f>
        <v>543.37156249999998</v>
      </c>
      <c r="M37" s="5">
        <f>IF($A37="", "", IFERROR(SUMIF(PersonaB!$B:$B, $B37, PersonaB!$P:$P) / PPY, 0))</f>
        <v>235.10770833333365</v>
      </c>
      <c r="N37" s="15">
        <f t="shared" si="15"/>
        <v>195.94438263888898</v>
      </c>
      <c r="O37" s="15">
        <f t="shared" si="10"/>
        <v>15409.151795833341</v>
      </c>
    </row>
    <row r="38" spans="1:15" x14ac:dyDescent="0.35">
      <c r="A38">
        <f t="shared" si="11"/>
        <v>36</v>
      </c>
      <c r="B38">
        <f t="shared" si="12"/>
        <v>2029</v>
      </c>
      <c r="C38">
        <f t="shared" si="13"/>
        <v>12</v>
      </c>
      <c r="D38" t="b">
        <f t="shared" si="14"/>
        <v>1</v>
      </c>
      <c r="E38" s="5">
        <f>IF($A38="", "", IFERROR(SUMIF(PersonaA!$B:$B, $B38, PersonaA!$O:$O) / PPY, 0))</f>
        <v>1393.2604166666667</v>
      </c>
      <c r="F38" s="5">
        <f>IF($A38="", "", IFERROR(SUMIF(PersonaB!$B:$B, $B38, PersonaB!$O:$O) / PPY, 0))</f>
        <v>500.22916666666725</v>
      </c>
      <c r="G38" s="5">
        <f t="shared" si="5"/>
        <v>2671.9688541666674</v>
      </c>
      <c r="H38" s="5">
        <f t="shared" si="8"/>
        <v>29391.657395833347</v>
      </c>
      <c r="I38" s="5">
        <f t="shared" si="6"/>
        <v>32063.626250000016</v>
      </c>
      <c r="J38" s="5">
        <f t="shared" si="7"/>
        <v>32063.626250000016</v>
      </c>
      <c r="K38" s="5">
        <f t="shared" si="9"/>
        <v>0</v>
      </c>
      <c r="L38" s="5">
        <f>IF($A38="", "", IFERROR(SUMIF(PersonaA!$B:$B, $B38, PersonaA!$P:$P) / PPY, 0))</f>
        <v>543.37156249999998</v>
      </c>
      <c r="M38" s="5">
        <f>IF($A38="", "", IFERROR(SUMIF(PersonaB!$B:$B, $B38, PersonaB!$P:$P) / PPY, 0))</f>
        <v>235.10770833333365</v>
      </c>
      <c r="N38" s="16">
        <f t="shared" si="15"/>
        <v>213.75750833333345</v>
      </c>
      <c r="O38" s="16">
        <f t="shared" si="10"/>
        <v>15622.909304166675</v>
      </c>
    </row>
    <row r="39" spans="1:15" x14ac:dyDescent="0.35">
      <c r="A39">
        <f t="shared" si="11"/>
        <v>37</v>
      </c>
      <c r="B39">
        <f t="shared" si="12"/>
        <v>2030</v>
      </c>
      <c r="C39">
        <f t="shared" si="13"/>
        <v>1</v>
      </c>
      <c r="D39" t="b">
        <f t="shared" si="14"/>
        <v>0</v>
      </c>
      <c r="E39" s="5">
        <f>IF($A39="", "", IFERROR(SUMIF(PersonaA!$B:$B, $B39, PersonaA!$O:$O) / PPY, 0))</f>
        <v>1355.1752604166668</v>
      </c>
      <c r="F39" s="5">
        <f>IF($A39="", "", IFERROR(SUMIF(PersonaB!$B:$B, $B39, PersonaB!$O:$O) / PPY, 0))</f>
        <v>439.81822916666778</v>
      </c>
      <c r="G39" s="5">
        <f t="shared" si="5"/>
        <v>2530.2264088541688</v>
      </c>
      <c r="H39" s="5">
        <f t="shared" si="8"/>
        <v>0</v>
      </c>
      <c r="I39" s="5">
        <f t="shared" si="6"/>
        <v>2530.2264088541688</v>
      </c>
      <c r="J39" s="5">
        <f t="shared" si="7"/>
        <v>0</v>
      </c>
      <c r="K39" s="5">
        <f t="shared" si="9"/>
        <v>2530.2264088541688</v>
      </c>
      <c r="L39" s="5">
        <f>IF($A39="", "", IFERROR(SUMIF(PersonaA!$B:$B, $B39, PersonaA!$P:$P) / PPY, 0))</f>
        <v>528.51835156250002</v>
      </c>
      <c r="M39" s="5">
        <f>IF($A39="", "", IFERROR(SUMIF(PersonaB!$B:$B, $B39, PersonaB!$P:$P) / PPY, 0))</f>
        <v>206.71456770833387</v>
      </c>
      <c r="N39" s="15">
        <f t="shared" si="15"/>
        <v>16.868176059027792</v>
      </c>
      <c r="O39" s="15">
        <f t="shared" si="10"/>
        <v>15639.777480225703</v>
      </c>
    </row>
    <row r="40" spans="1:15" x14ac:dyDescent="0.35">
      <c r="A40">
        <f t="shared" si="11"/>
        <v>38</v>
      </c>
      <c r="B40">
        <f t="shared" si="12"/>
        <v>2030</v>
      </c>
      <c r="C40">
        <f t="shared" si="13"/>
        <v>2</v>
      </c>
      <c r="D40" t="b">
        <f t="shared" si="14"/>
        <v>0</v>
      </c>
      <c r="E40" s="5">
        <f>IF($A40="", "", IFERROR(SUMIF(PersonaA!$B:$B, $B40, PersonaA!$O:$O) / PPY, 0))</f>
        <v>1355.1752604166668</v>
      </c>
      <c r="F40" s="5">
        <f>IF($A40="", "", IFERROR(SUMIF(PersonaB!$B:$B, $B40, PersonaB!$O:$O) / PPY, 0))</f>
        <v>439.81822916666778</v>
      </c>
      <c r="G40" s="5">
        <f t="shared" si="5"/>
        <v>2530.2264088541688</v>
      </c>
      <c r="H40" s="5">
        <f t="shared" si="8"/>
        <v>2530.2264088541688</v>
      </c>
      <c r="I40" s="5">
        <f t="shared" si="6"/>
        <v>5060.4528177083375</v>
      </c>
      <c r="J40" s="5">
        <f t="shared" si="7"/>
        <v>0</v>
      </c>
      <c r="K40" s="5">
        <f t="shared" si="9"/>
        <v>5060.4528177083375</v>
      </c>
      <c r="L40" s="5">
        <f>IF($A40="", "", IFERROR(SUMIF(PersonaA!$B:$B, $B40, PersonaA!$P:$P) / PPY, 0))</f>
        <v>528.51835156250002</v>
      </c>
      <c r="M40" s="5">
        <f>IF($A40="", "", IFERROR(SUMIF(PersonaB!$B:$B, $B40, PersonaB!$P:$P) / PPY, 0))</f>
        <v>206.71456770833387</v>
      </c>
      <c r="N40" s="16">
        <f t="shared" si="15"/>
        <v>33.736352118055585</v>
      </c>
      <c r="O40" s="16">
        <f t="shared" si="10"/>
        <v>15673.513832343759</v>
      </c>
    </row>
    <row r="41" spans="1:15" x14ac:dyDescent="0.35">
      <c r="A41">
        <f t="shared" si="11"/>
        <v>39</v>
      </c>
      <c r="B41">
        <f t="shared" si="12"/>
        <v>2030</v>
      </c>
      <c r="C41">
        <f t="shared" si="13"/>
        <v>3</v>
      </c>
      <c r="D41" t="b">
        <f t="shared" si="14"/>
        <v>0</v>
      </c>
      <c r="E41" s="5">
        <f>IF($A41="", "", IFERROR(SUMIF(PersonaA!$B:$B, $B41, PersonaA!$O:$O) / PPY, 0))</f>
        <v>1355.1752604166668</v>
      </c>
      <c r="F41" s="5">
        <f>IF($A41="", "", IFERROR(SUMIF(PersonaB!$B:$B, $B41, PersonaB!$O:$O) / PPY, 0))</f>
        <v>439.81822916666778</v>
      </c>
      <c r="G41" s="5">
        <f t="shared" si="5"/>
        <v>2530.2264088541688</v>
      </c>
      <c r="H41" s="5">
        <f t="shared" si="8"/>
        <v>5060.4528177083375</v>
      </c>
      <c r="I41" s="5">
        <f t="shared" si="6"/>
        <v>7590.6792265625063</v>
      </c>
      <c r="J41" s="5">
        <f t="shared" si="7"/>
        <v>0</v>
      </c>
      <c r="K41" s="5">
        <f t="shared" si="9"/>
        <v>7590.6792265625063</v>
      </c>
      <c r="L41" s="5">
        <f>IF($A41="", "", IFERROR(SUMIF(PersonaA!$B:$B, $B41, PersonaA!$P:$P) / PPY, 0))</f>
        <v>528.51835156250002</v>
      </c>
      <c r="M41" s="5">
        <f>IF($A41="", "", IFERROR(SUMIF(PersonaB!$B:$B, $B41, PersonaB!$P:$P) / PPY, 0))</f>
        <v>206.71456770833387</v>
      </c>
      <c r="N41" s="15">
        <f t="shared" si="15"/>
        <v>50.604528177083381</v>
      </c>
      <c r="O41" s="15">
        <f t="shared" si="10"/>
        <v>15724.118360520843</v>
      </c>
    </row>
    <row r="42" spans="1:15" x14ac:dyDescent="0.35">
      <c r="A42">
        <f t="shared" si="11"/>
        <v>40</v>
      </c>
      <c r="B42">
        <f t="shared" si="12"/>
        <v>2030</v>
      </c>
      <c r="C42">
        <f t="shared" si="13"/>
        <v>4</v>
      </c>
      <c r="D42" t="b">
        <f t="shared" si="14"/>
        <v>0</v>
      </c>
      <c r="E42" s="5">
        <f>IF($A42="", "", IFERROR(SUMIF(PersonaA!$B:$B, $B42, PersonaA!$O:$O) / PPY, 0))</f>
        <v>1355.1752604166668</v>
      </c>
      <c r="F42" s="5">
        <f>IF($A42="", "", IFERROR(SUMIF(PersonaB!$B:$B, $B42, PersonaB!$O:$O) / PPY, 0))</f>
        <v>439.81822916666778</v>
      </c>
      <c r="G42" s="5">
        <f t="shared" si="5"/>
        <v>2530.2264088541688</v>
      </c>
      <c r="H42" s="5">
        <f t="shared" si="8"/>
        <v>7590.6792265625063</v>
      </c>
      <c r="I42" s="5">
        <f t="shared" si="6"/>
        <v>10120.905635416675</v>
      </c>
      <c r="J42" s="5">
        <f t="shared" si="7"/>
        <v>0</v>
      </c>
      <c r="K42" s="5">
        <f t="shared" si="9"/>
        <v>10120.905635416675</v>
      </c>
      <c r="L42" s="5">
        <f>IF($A42="", "", IFERROR(SUMIF(PersonaA!$B:$B, $B42, PersonaA!$P:$P) / PPY, 0))</f>
        <v>528.51835156250002</v>
      </c>
      <c r="M42" s="5">
        <f>IF($A42="", "", IFERROR(SUMIF(PersonaB!$B:$B, $B42, PersonaB!$P:$P) / PPY, 0))</f>
        <v>206.71456770833387</v>
      </c>
      <c r="N42" s="16">
        <f t="shared" si="15"/>
        <v>67.47270423611117</v>
      </c>
      <c r="O42" s="16">
        <f t="shared" si="10"/>
        <v>15791.591064756954</v>
      </c>
    </row>
    <row r="43" spans="1:15" x14ac:dyDescent="0.35">
      <c r="A43">
        <f t="shared" si="11"/>
        <v>41</v>
      </c>
      <c r="B43">
        <f t="shared" si="12"/>
        <v>2030</v>
      </c>
      <c r="C43">
        <f t="shared" si="13"/>
        <v>5</v>
      </c>
      <c r="D43" t="b">
        <f t="shared" si="14"/>
        <v>0</v>
      </c>
      <c r="E43" s="5">
        <f>IF($A43="", "", IFERROR(SUMIF(PersonaA!$B:$B, $B43, PersonaA!$O:$O) / PPY, 0))</f>
        <v>1355.1752604166668</v>
      </c>
      <c r="F43" s="5">
        <f>IF($A43="", "", IFERROR(SUMIF(PersonaB!$B:$B, $B43, PersonaB!$O:$O) / PPY, 0))</f>
        <v>439.81822916666778</v>
      </c>
      <c r="G43" s="5">
        <f t="shared" si="5"/>
        <v>2530.2264088541688</v>
      </c>
      <c r="H43" s="5">
        <f t="shared" si="8"/>
        <v>10120.905635416675</v>
      </c>
      <c r="I43" s="5">
        <f t="shared" si="6"/>
        <v>12651.132044270844</v>
      </c>
      <c r="J43" s="5">
        <f t="shared" si="7"/>
        <v>0</v>
      </c>
      <c r="K43" s="5">
        <f t="shared" si="9"/>
        <v>12651.132044270844</v>
      </c>
      <c r="L43" s="5">
        <f>IF($A43="", "", IFERROR(SUMIF(PersonaA!$B:$B, $B43, PersonaA!$P:$P) / PPY, 0))</f>
        <v>528.51835156250002</v>
      </c>
      <c r="M43" s="5">
        <f>IF($A43="", "", IFERROR(SUMIF(PersonaB!$B:$B, $B43, PersonaB!$P:$P) / PPY, 0))</f>
        <v>206.71456770833387</v>
      </c>
      <c r="N43" s="15">
        <f t="shared" si="15"/>
        <v>84.340880295138959</v>
      </c>
      <c r="O43" s="15">
        <f t="shared" si="10"/>
        <v>15875.931945052092</v>
      </c>
    </row>
    <row r="44" spans="1:15" x14ac:dyDescent="0.35">
      <c r="A44">
        <f t="shared" si="11"/>
        <v>42</v>
      </c>
      <c r="B44">
        <f t="shared" si="12"/>
        <v>2030</v>
      </c>
      <c r="C44">
        <f t="shared" si="13"/>
        <v>6</v>
      </c>
      <c r="D44" t="b">
        <f t="shared" si="14"/>
        <v>0</v>
      </c>
      <c r="E44" s="5">
        <f>IF($A44="", "", IFERROR(SUMIF(PersonaA!$B:$B, $B44, PersonaA!$O:$O) / PPY, 0))</f>
        <v>1355.1752604166668</v>
      </c>
      <c r="F44" s="5">
        <f>IF($A44="", "", IFERROR(SUMIF(PersonaB!$B:$B, $B44, PersonaB!$O:$O) / PPY, 0))</f>
        <v>439.81822916666778</v>
      </c>
      <c r="G44" s="5">
        <f t="shared" si="5"/>
        <v>2530.2264088541688</v>
      </c>
      <c r="H44" s="5">
        <f t="shared" si="8"/>
        <v>12651.132044270844</v>
      </c>
      <c r="I44" s="5">
        <f t="shared" si="6"/>
        <v>15181.358453125013</v>
      </c>
      <c r="J44" s="5">
        <f t="shared" si="7"/>
        <v>0</v>
      </c>
      <c r="K44" s="5">
        <f t="shared" si="9"/>
        <v>15181.358453125013</v>
      </c>
      <c r="L44" s="5">
        <f>IF($A44="", "", IFERROR(SUMIF(PersonaA!$B:$B, $B44, PersonaA!$P:$P) / PPY, 0))</f>
        <v>528.51835156250002</v>
      </c>
      <c r="M44" s="5">
        <f>IF($A44="", "", IFERROR(SUMIF(PersonaB!$B:$B, $B44, PersonaB!$P:$P) / PPY, 0))</f>
        <v>206.71456770833387</v>
      </c>
      <c r="N44" s="16">
        <f t="shared" si="15"/>
        <v>101.20905635416676</v>
      </c>
      <c r="O44" s="16">
        <f t="shared" si="10"/>
        <v>15977.141001406259</v>
      </c>
    </row>
    <row r="45" spans="1:15" x14ac:dyDescent="0.35">
      <c r="A45">
        <f t="shared" si="11"/>
        <v>43</v>
      </c>
      <c r="B45">
        <f t="shared" si="12"/>
        <v>2030</v>
      </c>
      <c r="C45">
        <f t="shared" si="13"/>
        <v>7</v>
      </c>
      <c r="D45" t="b">
        <f t="shared" si="14"/>
        <v>0</v>
      </c>
      <c r="E45" s="5">
        <f>IF($A45="", "", IFERROR(SUMIF(PersonaA!$B:$B, $B45, PersonaA!$O:$O) / PPY, 0))</f>
        <v>1355.1752604166668</v>
      </c>
      <c r="F45" s="5">
        <f>IF($A45="", "", IFERROR(SUMIF(PersonaB!$B:$B, $B45, PersonaB!$O:$O) / PPY, 0))</f>
        <v>439.81822916666778</v>
      </c>
      <c r="G45" s="5">
        <f t="shared" si="5"/>
        <v>2530.2264088541688</v>
      </c>
      <c r="H45" s="5">
        <f t="shared" si="8"/>
        <v>15181.358453125013</v>
      </c>
      <c r="I45" s="5">
        <f t="shared" si="6"/>
        <v>17711.58486197918</v>
      </c>
      <c r="J45" s="5">
        <f t="shared" si="7"/>
        <v>0</v>
      </c>
      <c r="K45" s="5">
        <f t="shared" si="9"/>
        <v>17711.58486197918</v>
      </c>
      <c r="L45" s="5">
        <f>IF($A45="", "", IFERROR(SUMIF(PersonaA!$B:$B, $B45, PersonaA!$P:$P) / PPY, 0))</f>
        <v>528.51835156250002</v>
      </c>
      <c r="M45" s="5">
        <f>IF($A45="", "", IFERROR(SUMIF(PersonaB!$B:$B, $B45, PersonaB!$P:$P) / PPY, 0))</f>
        <v>206.71456770833387</v>
      </c>
      <c r="N45" s="15">
        <f t="shared" si="15"/>
        <v>118.07723241319454</v>
      </c>
      <c r="O45" s="15">
        <f t="shared" si="10"/>
        <v>16095.218233819453</v>
      </c>
    </row>
    <row r="46" spans="1:15" x14ac:dyDescent="0.35">
      <c r="A46">
        <f t="shared" si="11"/>
        <v>44</v>
      </c>
      <c r="B46">
        <f t="shared" si="12"/>
        <v>2030</v>
      </c>
      <c r="C46">
        <f t="shared" si="13"/>
        <v>8</v>
      </c>
      <c r="D46" t="b">
        <f t="shared" si="14"/>
        <v>0</v>
      </c>
      <c r="E46" s="5">
        <f>IF($A46="", "", IFERROR(SUMIF(PersonaA!$B:$B, $B46, PersonaA!$O:$O) / PPY, 0))</f>
        <v>1355.1752604166668</v>
      </c>
      <c r="F46" s="5">
        <f>IF($A46="", "", IFERROR(SUMIF(PersonaB!$B:$B, $B46, PersonaB!$O:$O) / PPY, 0))</f>
        <v>439.81822916666778</v>
      </c>
      <c r="G46" s="5">
        <f t="shared" si="5"/>
        <v>2530.2264088541688</v>
      </c>
      <c r="H46" s="5">
        <f t="shared" si="8"/>
        <v>17711.58486197918</v>
      </c>
      <c r="I46" s="5">
        <f t="shared" si="6"/>
        <v>20241.81127083335</v>
      </c>
      <c r="J46" s="5">
        <f t="shared" si="7"/>
        <v>0</v>
      </c>
      <c r="K46" s="5">
        <f t="shared" si="9"/>
        <v>20241.81127083335</v>
      </c>
      <c r="L46" s="5">
        <f>IF($A46="", "", IFERROR(SUMIF(PersonaA!$B:$B, $B46, PersonaA!$P:$P) / PPY, 0))</f>
        <v>528.51835156250002</v>
      </c>
      <c r="M46" s="5">
        <f>IF($A46="", "", IFERROR(SUMIF(PersonaB!$B:$B, $B46, PersonaB!$P:$P) / PPY, 0))</f>
        <v>206.71456770833387</v>
      </c>
      <c r="N46" s="16">
        <f t="shared" si="15"/>
        <v>134.94540847222234</v>
      </c>
      <c r="O46" s="16">
        <f t="shared" si="10"/>
        <v>16230.163642291674</v>
      </c>
    </row>
    <row r="47" spans="1:15" x14ac:dyDescent="0.35">
      <c r="A47">
        <f t="shared" si="11"/>
        <v>45</v>
      </c>
      <c r="B47">
        <f t="shared" si="12"/>
        <v>2030</v>
      </c>
      <c r="C47">
        <f t="shared" si="13"/>
        <v>9</v>
      </c>
      <c r="D47" t="b">
        <f t="shared" si="14"/>
        <v>0</v>
      </c>
      <c r="E47" s="5">
        <f>IF($A47="", "", IFERROR(SUMIF(PersonaA!$B:$B, $B47, PersonaA!$O:$O) / PPY, 0))</f>
        <v>1355.1752604166668</v>
      </c>
      <c r="F47" s="5">
        <f>IF($A47="", "", IFERROR(SUMIF(PersonaB!$B:$B, $B47, PersonaB!$O:$O) / PPY, 0))</f>
        <v>439.81822916666778</v>
      </c>
      <c r="G47" s="5">
        <f t="shared" si="5"/>
        <v>2530.2264088541688</v>
      </c>
      <c r="H47" s="5">
        <f t="shared" si="8"/>
        <v>20241.81127083335</v>
      </c>
      <c r="I47" s="5">
        <f t="shared" si="6"/>
        <v>22772.037679687521</v>
      </c>
      <c r="J47" s="5">
        <f t="shared" si="7"/>
        <v>0</v>
      </c>
      <c r="K47" s="5">
        <f t="shared" si="9"/>
        <v>22772.037679687521</v>
      </c>
      <c r="L47" s="5">
        <f>IF($A47="", "", IFERROR(SUMIF(PersonaA!$B:$B, $B47, PersonaA!$P:$P) / PPY, 0))</f>
        <v>528.51835156250002</v>
      </c>
      <c r="M47" s="5">
        <f>IF($A47="", "", IFERROR(SUMIF(PersonaB!$B:$B, $B47, PersonaB!$P:$P) / PPY, 0))</f>
        <v>206.71456770833387</v>
      </c>
      <c r="N47" s="15">
        <f t="shared" si="15"/>
        <v>151.81358453125014</v>
      </c>
      <c r="O47" s="15">
        <f t="shared" si="10"/>
        <v>16381.977226822924</v>
      </c>
    </row>
    <row r="48" spans="1:15" x14ac:dyDescent="0.35">
      <c r="A48">
        <f t="shared" si="11"/>
        <v>46</v>
      </c>
      <c r="B48">
        <f t="shared" si="12"/>
        <v>2030</v>
      </c>
      <c r="C48">
        <f t="shared" si="13"/>
        <v>10</v>
      </c>
      <c r="D48" t="b">
        <f t="shared" si="14"/>
        <v>0</v>
      </c>
      <c r="E48" s="5">
        <f>IF($A48="", "", IFERROR(SUMIF(PersonaA!$B:$B, $B48, PersonaA!$O:$O) / PPY, 0))</f>
        <v>1355.1752604166668</v>
      </c>
      <c r="F48" s="5">
        <f>IF($A48="", "", IFERROR(SUMIF(PersonaB!$B:$B, $B48, PersonaB!$O:$O) / PPY, 0))</f>
        <v>439.81822916666778</v>
      </c>
      <c r="G48" s="5">
        <f t="shared" si="5"/>
        <v>2530.2264088541688</v>
      </c>
      <c r="H48" s="5">
        <f t="shared" si="8"/>
        <v>22772.037679687521</v>
      </c>
      <c r="I48" s="5">
        <f t="shared" si="6"/>
        <v>25302.264088541691</v>
      </c>
      <c r="J48" s="5">
        <f t="shared" si="7"/>
        <v>0</v>
      </c>
      <c r="K48" s="5">
        <f t="shared" si="9"/>
        <v>25302.264088541691</v>
      </c>
      <c r="L48" s="5">
        <f>IF($A48="", "", IFERROR(SUMIF(PersonaA!$B:$B, $B48, PersonaA!$P:$P) / PPY, 0))</f>
        <v>528.51835156250002</v>
      </c>
      <c r="M48" s="5">
        <f>IF($A48="", "", IFERROR(SUMIF(PersonaB!$B:$B, $B48, PersonaB!$P:$P) / PPY, 0))</f>
        <v>206.71456770833387</v>
      </c>
      <c r="N48" s="16">
        <f t="shared" si="15"/>
        <v>168.68176059027795</v>
      </c>
      <c r="O48" s="16">
        <f t="shared" si="10"/>
        <v>16550.658987413204</v>
      </c>
    </row>
    <row r="49" spans="1:15" x14ac:dyDescent="0.35">
      <c r="A49">
        <f t="shared" si="11"/>
        <v>47</v>
      </c>
      <c r="B49">
        <f t="shared" si="12"/>
        <v>2030</v>
      </c>
      <c r="C49">
        <f t="shared" si="13"/>
        <v>11</v>
      </c>
      <c r="D49" t="b">
        <f t="shared" si="14"/>
        <v>0</v>
      </c>
      <c r="E49" s="5">
        <f>IF($A49="", "", IFERROR(SUMIF(PersonaA!$B:$B, $B49, PersonaA!$O:$O) / PPY, 0))</f>
        <v>1355.1752604166668</v>
      </c>
      <c r="F49" s="5">
        <f>IF($A49="", "", IFERROR(SUMIF(PersonaB!$B:$B, $B49, PersonaB!$O:$O) / PPY, 0))</f>
        <v>439.81822916666778</v>
      </c>
      <c r="G49" s="5">
        <f t="shared" si="5"/>
        <v>2530.2264088541688</v>
      </c>
      <c r="H49" s="5">
        <f t="shared" si="8"/>
        <v>25302.264088541691</v>
      </c>
      <c r="I49" s="5">
        <f t="shared" si="6"/>
        <v>27832.490497395862</v>
      </c>
      <c r="J49" s="5">
        <f t="shared" si="7"/>
        <v>0</v>
      </c>
      <c r="K49" s="5">
        <f t="shared" si="9"/>
        <v>27832.490497395862</v>
      </c>
      <c r="L49" s="5">
        <f>IF($A49="", "", IFERROR(SUMIF(PersonaA!$B:$B, $B49, PersonaA!$P:$P) / PPY, 0))</f>
        <v>528.51835156250002</v>
      </c>
      <c r="M49" s="5">
        <f>IF($A49="", "", IFERROR(SUMIF(PersonaB!$B:$B, $B49, PersonaB!$P:$P) / PPY, 0))</f>
        <v>206.71456770833387</v>
      </c>
      <c r="N49" s="15">
        <f t="shared" si="15"/>
        <v>185.54993664930575</v>
      </c>
      <c r="O49" s="15">
        <f t="shared" si="10"/>
        <v>16736.20892406251</v>
      </c>
    </row>
    <row r="50" spans="1:15" x14ac:dyDescent="0.35">
      <c r="A50">
        <f t="shared" si="11"/>
        <v>48</v>
      </c>
      <c r="B50">
        <f t="shared" si="12"/>
        <v>2030</v>
      </c>
      <c r="C50">
        <f t="shared" si="13"/>
        <v>12</v>
      </c>
      <c r="D50" t="b">
        <f t="shared" si="14"/>
        <v>1</v>
      </c>
      <c r="E50" s="5">
        <f>IF($A50="", "", IFERROR(SUMIF(PersonaA!$B:$B, $B50, PersonaA!$O:$O) / PPY, 0))</f>
        <v>1355.1752604166668</v>
      </c>
      <c r="F50" s="5">
        <f>IF($A50="", "", IFERROR(SUMIF(PersonaB!$B:$B, $B50, PersonaB!$O:$O) / PPY, 0))</f>
        <v>439.81822916666778</v>
      </c>
      <c r="G50" s="5">
        <f t="shared" si="5"/>
        <v>2530.2264088541688</v>
      </c>
      <c r="H50" s="5">
        <f t="shared" si="8"/>
        <v>27832.490497395862</v>
      </c>
      <c r="I50" s="5">
        <f t="shared" si="6"/>
        <v>30362.716906250032</v>
      </c>
      <c r="J50" s="5">
        <f t="shared" si="7"/>
        <v>30362.716906250032</v>
      </c>
      <c r="K50" s="5">
        <f t="shared" si="9"/>
        <v>0</v>
      </c>
      <c r="L50" s="5">
        <f>IF($A50="", "", IFERROR(SUMIF(PersonaA!$B:$B, $B50, PersonaA!$P:$P) / PPY, 0))</f>
        <v>528.51835156250002</v>
      </c>
      <c r="M50" s="5">
        <f>IF($A50="", "", IFERROR(SUMIF(PersonaB!$B:$B, $B50, PersonaB!$P:$P) / PPY, 0))</f>
        <v>206.71456770833387</v>
      </c>
      <c r="N50" s="16">
        <f t="shared" si="15"/>
        <v>202.41811270833355</v>
      </c>
      <c r="O50" s="16">
        <f t="shared" si="10"/>
        <v>16938.627036770842</v>
      </c>
    </row>
    <row r="51" spans="1:15" x14ac:dyDescent="0.35">
      <c r="A51">
        <f t="shared" si="11"/>
        <v>49</v>
      </c>
      <c r="B51">
        <f t="shared" si="12"/>
        <v>2031</v>
      </c>
      <c r="C51">
        <f t="shared" si="13"/>
        <v>1</v>
      </c>
      <c r="D51" t="b">
        <f t="shared" si="14"/>
        <v>0</v>
      </c>
      <c r="E51" s="5">
        <f>IF($A51="", "", IFERROR(SUMIF(PersonaA!$B:$B, $B51, PersonaA!$O:$O) / PPY, 0))</f>
        <v>1524.4713085937501</v>
      </c>
      <c r="F51" s="5">
        <f>IF($A51="", "", IFERROR(SUMIF(PersonaB!$B:$B, $B51, PersonaB!$O:$O) / PPY, 0))</f>
        <v>586.23035156250137</v>
      </c>
      <c r="G51" s="5">
        <f t="shared" si="5"/>
        <v>2980.7737357421897</v>
      </c>
      <c r="H51" s="5">
        <f t="shared" si="8"/>
        <v>0</v>
      </c>
      <c r="I51" s="5">
        <f t="shared" si="6"/>
        <v>2980.7737357421897</v>
      </c>
      <c r="J51" s="5">
        <f t="shared" si="7"/>
        <v>0</v>
      </c>
      <c r="K51" s="5">
        <f t="shared" si="9"/>
        <v>2980.7737357421897</v>
      </c>
      <c r="L51" s="5">
        <f>IF($A51="", "", IFERROR(SUMIF(PersonaA!$B:$B, $B51, PersonaA!$P:$P) / PPY, 0))</f>
        <v>594.54381035156257</v>
      </c>
      <c r="M51" s="5">
        <f>IF($A51="", "", IFERROR(SUMIF(PersonaB!$B:$B, $B51, PersonaB!$P:$P) / PPY, 0))</f>
        <v>275.52826523437568</v>
      </c>
      <c r="N51" s="15">
        <f t="shared" si="15"/>
        <v>19.871824904947932</v>
      </c>
      <c r="O51" s="15">
        <f t="shared" si="10"/>
        <v>16958.498861675791</v>
      </c>
    </row>
    <row r="52" spans="1:15" x14ac:dyDescent="0.35">
      <c r="A52">
        <f t="shared" si="11"/>
        <v>50</v>
      </c>
      <c r="B52">
        <f t="shared" si="12"/>
        <v>2031</v>
      </c>
      <c r="C52">
        <f t="shared" si="13"/>
        <v>2</v>
      </c>
      <c r="D52" t="b">
        <f t="shared" si="14"/>
        <v>0</v>
      </c>
      <c r="E52" s="5">
        <f>IF($A52="", "", IFERROR(SUMIF(PersonaA!$B:$B, $B52, PersonaA!$O:$O) / PPY, 0))</f>
        <v>1524.4713085937501</v>
      </c>
      <c r="F52" s="5">
        <f>IF($A52="", "", IFERROR(SUMIF(PersonaB!$B:$B, $B52, PersonaB!$O:$O) / PPY, 0))</f>
        <v>586.23035156250137</v>
      </c>
      <c r="G52" s="5">
        <f t="shared" si="5"/>
        <v>2980.7737357421897</v>
      </c>
      <c r="H52" s="5">
        <f t="shared" si="8"/>
        <v>2980.7737357421897</v>
      </c>
      <c r="I52" s="5">
        <f t="shared" si="6"/>
        <v>5961.5474714843795</v>
      </c>
      <c r="J52" s="5">
        <f t="shared" si="7"/>
        <v>0</v>
      </c>
      <c r="K52" s="5">
        <f t="shared" si="9"/>
        <v>5961.5474714843795</v>
      </c>
      <c r="L52" s="5">
        <f>IF($A52="", "", IFERROR(SUMIF(PersonaA!$B:$B, $B52, PersonaA!$P:$P) / PPY, 0))</f>
        <v>594.54381035156257</v>
      </c>
      <c r="M52" s="5">
        <f>IF($A52="", "", IFERROR(SUMIF(PersonaB!$B:$B, $B52, PersonaB!$P:$P) / PPY, 0))</f>
        <v>275.52826523437568</v>
      </c>
      <c r="N52" s="16">
        <f t="shared" si="15"/>
        <v>39.743649809895864</v>
      </c>
      <c r="O52" s="16">
        <f t="shared" si="10"/>
        <v>16998.242511485685</v>
      </c>
    </row>
    <row r="53" spans="1:15" x14ac:dyDescent="0.35">
      <c r="A53">
        <f t="shared" si="11"/>
        <v>51</v>
      </c>
      <c r="B53">
        <f t="shared" si="12"/>
        <v>2031</v>
      </c>
      <c r="C53">
        <f t="shared" si="13"/>
        <v>3</v>
      </c>
      <c r="D53" t="b">
        <f t="shared" si="14"/>
        <v>0</v>
      </c>
      <c r="E53" s="5">
        <f>IF($A53="", "", IFERROR(SUMIF(PersonaA!$B:$B, $B53, PersonaA!$O:$O) / PPY, 0))</f>
        <v>1524.4713085937501</v>
      </c>
      <c r="F53" s="5">
        <f>IF($A53="", "", IFERROR(SUMIF(PersonaB!$B:$B, $B53, PersonaB!$O:$O) / PPY, 0))</f>
        <v>586.23035156250137</v>
      </c>
      <c r="G53" s="5">
        <f t="shared" si="5"/>
        <v>2980.7737357421897</v>
      </c>
      <c r="H53" s="5">
        <f t="shared" si="8"/>
        <v>5961.5474714843795</v>
      </c>
      <c r="I53" s="5">
        <f t="shared" si="6"/>
        <v>8942.3212072265687</v>
      </c>
      <c r="J53" s="5">
        <f t="shared" si="7"/>
        <v>0</v>
      </c>
      <c r="K53" s="5">
        <f t="shared" si="9"/>
        <v>8942.3212072265687</v>
      </c>
      <c r="L53" s="5">
        <f>IF($A53="", "", IFERROR(SUMIF(PersonaA!$B:$B, $B53, PersonaA!$P:$P) / PPY, 0))</f>
        <v>594.54381035156257</v>
      </c>
      <c r="M53" s="5">
        <f>IF($A53="", "", IFERROR(SUMIF(PersonaB!$B:$B, $B53, PersonaB!$P:$P) / PPY, 0))</f>
        <v>275.52826523437568</v>
      </c>
      <c r="N53" s="15">
        <f t="shared" si="15"/>
        <v>59.615474714843792</v>
      </c>
      <c r="O53" s="15">
        <f t="shared" si="10"/>
        <v>17057.857986200528</v>
      </c>
    </row>
    <row r="54" spans="1:15" x14ac:dyDescent="0.35">
      <c r="A54">
        <f t="shared" si="11"/>
        <v>52</v>
      </c>
      <c r="B54">
        <f t="shared" si="12"/>
        <v>2031</v>
      </c>
      <c r="C54">
        <f t="shared" si="13"/>
        <v>4</v>
      </c>
      <c r="D54" t="b">
        <f t="shared" si="14"/>
        <v>0</v>
      </c>
      <c r="E54" s="5">
        <f>IF($A54="", "", IFERROR(SUMIF(PersonaA!$B:$B, $B54, PersonaA!$O:$O) / PPY, 0))</f>
        <v>1524.4713085937501</v>
      </c>
      <c r="F54" s="5">
        <f>IF($A54="", "", IFERROR(SUMIF(PersonaB!$B:$B, $B54, PersonaB!$O:$O) / PPY, 0))</f>
        <v>586.23035156250137</v>
      </c>
      <c r="G54" s="5">
        <f t="shared" si="5"/>
        <v>2980.7737357421897</v>
      </c>
      <c r="H54" s="5">
        <f t="shared" si="8"/>
        <v>8942.3212072265687</v>
      </c>
      <c r="I54" s="5">
        <f t="shared" si="6"/>
        <v>11923.094942968759</v>
      </c>
      <c r="J54" s="5">
        <f t="shared" si="7"/>
        <v>0</v>
      </c>
      <c r="K54" s="5">
        <f t="shared" si="9"/>
        <v>11923.094942968759</v>
      </c>
      <c r="L54" s="5">
        <f>IF($A54="", "", IFERROR(SUMIF(PersonaA!$B:$B, $B54, PersonaA!$P:$P) / PPY, 0))</f>
        <v>594.54381035156257</v>
      </c>
      <c r="M54" s="5">
        <f>IF($A54="", "", IFERROR(SUMIF(PersonaB!$B:$B, $B54, PersonaB!$P:$P) / PPY, 0))</f>
        <v>275.52826523437568</v>
      </c>
      <c r="N54" s="16">
        <f t="shared" si="15"/>
        <v>79.487299619791727</v>
      </c>
      <c r="O54" s="16">
        <f t="shared" si="10"/>
        <v>17137.34528582032</v>
      </c>
    </row>
    <row r="55" spans="1:15" x14ac:dyDescent="0.35">
      <c r="A55">
        <f t="shared" si="11"/>
        <v>53</v>
      </c>
      <c r="B55">
        <f t="shared" si="12"/>
        <v>2031</v>
      </c>
      <c r="C55">
        <f t="shared" si="13"/>
        <v>5</v>
      </c>
      <c r="D55" t="b">
        <f t="shared" si="14"/>
        <v>0</v>
      </c>
      <c r="E55" s="5">
        <f>IF($A55="", "", IFERROR(SUMIF(PersonaA!$B:$B, $B55, PersonaA!$O:$O) / PPY, 0))</f>
        <v>1524.4713085937501</v>
      </c>
      <c r="F55" s="5">
        <f>IF($A55="", "", IFERROR(SUMIF(PersonaB!$B:$B, $B55, PersonaB!$O:$O) / PPY, 0))</f>
        <v>586.23035156250137</v>
      </c>
      <c r="G55" s="5">
        <f t="shared" si="5"/>
        <v>2980.7737357421897</v>
      </c>
      <c r="H55" s="5">
        <f t="shared" si="8"/>
        <v>11923.094942968759</v>
      </c>
      <c r="I55" s="5">
        <f t="shared" si="6"/>
        <v>14903.868678710949</v>
      </c>
      <c r="J55" s="5">
        <f t="shared" si="7"/>
        <v>0</v>
      </c>
      <c r="K55" s="5">
        <f t="shared" si="9"/>
        <v>14903.868678710949</v>
      </c>
      <c r="L55" s="5">
        <f>IF($A55="", "", IFERROR(SUMIF(PersonaA!$B:$B, $B55, PersonaA!$P:$P) / PPY, 0))</f>
        <v>594.54381035156257</v>
      </c>
      <c r="M55" s="5">
        <f>IF($A55="", "", IFERROR(SUMIF(PersonaB!$B:$B, $B55, PersonaB!$P:$P) / PPY, 0))</f>
        <v>275.52826523437568</v>
      </c>
      <c r="N55" s="15">
        <f t="shared" si="15"/>
        <v>99.35912452473967</v>
      </c>
      <c r="O55" s="15">
        <f t="shared" si="10"/>
        <v>17236.704410345061</v>
      </c>
    </row>
    <row r="56" spans="1:15" x14ac:dyDescent="0.35">
      <c r="A56">
        <f t="shared" si="11"/>
        <v>54</v>
      </c>
      <c r="B56">
        <f t="shared" si="12"/>
        <v>2031</v>
      </c>
      <c r="C56">
        <f t="shared" si="13"/>
        <v>6</v>
      </c>
      <c r="D56" t="b">
        <f t="shared" si="14"/>
        <v>0</v>
      </c>
      <c r="E56" s="5">
        <f>IF($A56="", "", IFERROR(SUMIF(PersonaA!$B:$B, $B56, PersonaA!$O:$O) / PPY, 0))</f>
        <v>1524.4713085937501</v>
      </c>
      <c r="F56" s="5">
        <f>IF($A56="", "", IFERROR(SUMIF(PersonaB!$B:$B, $B56, PersonaB!$O:$O) / PPY, 0))</f>
        <v>586.23035156250137</v>
      </c>
      <c r="G56" s="5">
        <f t="shared" si="5"/>
        <v>2980.7737357421897</v>
      </c>
      <c r="H56" s="5">
        <f t="shared" si="8"/>
        <v>14903.868678710949</v>
      </c>
      <c r="I56" s="5">
        <f t="shared" si="6"/>
        <v>17884.642414453137</v>
      </c>
      <c r="J56" s="5">
        <f t="shared" si="7"/>
        <v>0</v>
      </c>
      <c r="K56" s="5">
        <f t="shared" si="9"/>
        <v>17884.642414453137</v>
      </c>
      <c r="L56" s="5">
        <f>IF($A56="", "", IFERROR(SUMIF(PersonaA!$B:$B, $B56, PersonaA!$P:$P) / PPY, 0))</f>
        <v>594.54381035156257</v>
      </c>
      <c r="M56" s="5">
        <f>IF($A56="", "", IFERROR(SUMIF(PersonaB!$B:$B, $B56, PersonaB!$P:$P) / PPY, 0))</f>
        <v>275.52826523437568</v>
      </c>
      <c r="N56" s="16">
        <f t="shared" si="15"/>
        <v>119.23094942968758</v>
      </c>
      <c r="O56" s="16">
        <f t="shared" si="10"/>
        <v>17355.935359774747</v>
      </c>
    </row>
    <row r="57" spans="1:15" x14ac:dyDescent="0.35">
      <c r="A57">
        <f t="shared" si="11"/>
        <v>55</v>
      </c>
      <c r="B57">
        <f t="shared" si="12"/>
        <v>2031</v>
      </c>
      <c r="C57">
        <f t="shared" si="13"/>
        <v>7</v>
      </c>
      <c r="D57" t="b">
        <f t="shared" si="14"/>
        <v>0</v>
      </c>
      <c r="E57" s="5">
        <f>IF($A57="", "", IFERROR(SUMIF(PersonaA!$B:$B, $B57, PersonaA!$O:$O) / PPY, 0))</f>
        <v>1524.4713085937501</v>
      </c>
      <c r="F57" s="5">
        <f>IF($A57="", "", IFERROR(SUMIF(PersonaB!$B:$B, $B57, PersonaB!$O:$O) / PPY, 0))</f>
        <v>586.23035156250137</v>
      </c>
      <c r="G57" s="5">
        <f t="shared" si="5"/>
        <v>2980.7737357421897</v>
      </c>
      <c r="H57" s="5">
        <f t="shared" si="8"/>
        <v>17884.642414453137</v>
      </c>
      <c r="I57" s="5">
        <f t="shared" si="6"/>
        <v>20865.416150195328</v>
      </c>
      <c r="J57" s="5">
        <f t="shared" si="7"/>
        <v>0</v>
      </c>
      <c r="K57" s="5">
        <f t="shared" si="9"/>
        <v>20865.416150195328</v>
      </c>
      <c r="L57" s="5">
        <f>IF($A57="", "", IFERROR(SUMIF(PersonaA!$B:$B, $B57, PersonaA!$P:$P) / PPY, 0))</f>
        <v>594.54381035156257</v>
      </c>
      <c r="M57" s="5">
        <f>IF($A57="", "", IFERROR(SUMIF(PersonaB!$B:$B, $B57, PersonaB!$P:$P) / PPY, 0))</f>
        <v>275.52826523437568</v>
      </c>
      <c r="N57" s="15">
        <f t="shared" si="15"/>
        <v>139.10277433463554</v>
      </c>
      <c r="O57" s="15">
        <f t="shared" si="10"/>
        <v>17495.038134109382</v>
      </c>
    </row>
    <row r="58" spans="1:15" x14ac:dyDescent="0.35">
      <c r="A58">
        <f t="shared" si="11"/>
        <v>56</v>
      </c>
      <c r="B58">
        <f t="shared" si="12"/>
        <v>2031</v>
      </c>
      <c r="C58">
        <f t="shared" si="13"/>
        <v>8</v>
      </c>
      <c r="D58" t="b">
        <f t="shared" si="14"/>
        <v>0</v>
      </c>
      <c r="E58" s="5">
        <f>IF($A58="", "", IFERROR(SUMIF(PersonaA!$B:$B, $B58, PersonaA!$O:$O) / PPY, 0))</f>
        <v>1524.4713085937501</v>
      </c>
      <c r="F58" s="5">
        <f>IF($A58="", "", IFERROR(SUMIF(PersonaB!$B:$B, $B58, PersonaB!$O:$O) / PPY, 0))</f>
        <v>586.23035156250137</v>
      </c>
      <c r="G58" s="5">
        <f t="shared" si="5"/>
        <v>2980.7737357421897</v>
      </c>
      <c r="H58" s="5">
        <f t="shared" si="8"/>
        <v>20865.416150195328</v>
      </c>
      <c r="I58" s="5">
        <f t="shared" si="6"/>
        <v>23846.189885937518</v>
      </c>
      <c r="J58" s="5">
        <f t="shared" si="7"/>
        <v>0</v>
      </c>
      <c r="K58" s="5">
        <f t="shared" si="9"/>
        <v>23846.189885937518</v>
      </c>
      <c r="L58" s="5">
        <f>IF($A58="", "", IFERROR(SUMIF(PersonaA!$B:$B, $B58, PersonaA!$P:$P) / PPY, 0))</f>
        <v>594.54381035156257</v>
      </c>
      <c r="M58" s="5">
        <f>IF($A58="", "", IFERROR(SUMIF(PersonaB!$B:$B, $B58, PersonaB!$P:$P) / PPY, 0))</f>
        <v>275.52826523437568</v>
      </c>
      <c r="N58" s="16">
        <f t="shared" si="15"/>
        <v>158.97459923958345</v>
      </c>
      <c r="O58" s="16">
        <f t="shared" si="10"/>
        <v>17654.012733348965</v>
      </c>
    </row>
    <row r="59" spans="1:15" x14ac:dyDescent="0.35">
      <c r="A59">
        <f t="shared" si="11"/>
        <v>57</v>
      </c>
      <c r="B59">
        <f t="shared" si="12"/>
        <v>2031</v>
      </c>
      <c r="C59">
        <f t="shared" si="13"/>
        <v>9</v>
      </c>
      <c r="D59" t="b">
        <f t="shared" si="14"/>
        <v>0</v>
      </c>
      <c r="E59" s="5">
        <f>IF($A59="", "", IFERROR(SUMIF(PersonaA!$B:$B, $B59, PersonaA!$O:$O) / PPY, 0))</f>
        <v>1524.4713085937501</v>
      </c>
      <c r="F59" s="5">
        <f>IF($A59="", "", IFERROR(SUMIF(PersonaB!$B:$B, $B59, PersonaB!$O:$O) / PPY, 0))</f>
        <v>586.23035156250137</v>
      </c>
      <c r="G59" s="5">
        <f t="shared" si="5"/>
        <v>2980.7737357421897</v>
      </c>
      <c r="H59" s="5">
        <f t="shared" si="8"/>
        <v>23846.189885937518</v>
      </c>
      <c r="I59" s="5">
        <f t="shared" si="6"/>
        <v>26826.963621679708</v>
      </c>
      <c r="J59" s="5">
        <f t="shared" si="7"/>
        <v>0</v>
      </c>
      <c r="K59" s="5">
        <f t="shared" si="9"/>
        <v>26826.963621679708</v>
      </c>
      <c r="L59" s="5">
        <f>IF($A59="", "", IFERROR(SUMIF(PersonaA!$B:$B, $B59, PersonaA!$P:$P) / PPY, 0))</f>
        <v>594.54381035156257</v>
      </c>
      <c r="M59" s="5">
        <f>IF($A59="", "", IFERROR(SUMIF(PersonaB!$B:$B, $B59, PersonaB!$P:$P) / PPY, 0))</f>
        <v>275.52826523437568</v>
      </c>
      <c r="N59" s="15">
        <f t="shared" si="15"/>
        <v>178.8464241445314</v>
      </c>
      <c r="O59" s="15">
        <f t="shared" si="10"/>
        <v>17832.859157493498</v>
      </c>
    </row>
    <row r="60" spans="1:15" x14ac:dyDescent="0.35">
      <c r="A60">
        <f t="shared" si="11"/>
        <v>58</v>
      </c>
      <c r="B60">
        <f t="shared" si="12"/>
        <v>2031</v>
      </c>
      <c r="C60">
        <f t="shared" si="13"/>
        <v>10</v>
      </c>
      <c r="D60" t="b">
        <f t="shared" si="14"/>
        <v>0</v>
      </c>
      <c r="E60" s="5">
        <f>IF($A60="", "", IFERROR(SUMIF(PersonaA!$B:$B, $B60, PersonaA!$O:$O) / PPY, 0))</f>
        <v>1524.4713085937501</v>
      </c>
      <c r="F60" s="5">
        <f>IF($A60="", "", IFERROR(SUMIF(PersonaB!$B:$B, $B60, PersonaB!$O:$O) / PPY, 0))</f>
        <v>586.23035156250137</v>
      </c>
      <c r="G60" s="5">
        <f t="shared" si="5"/>
        <v>2980.7737357421897</v>
      </c>
      <c r="H60" s="5">
        <f t="shared" si="8"/>
        <v>26826.963621679708</v>
      </c>
      <c r="I60" s="5">
        <f t="shared" si="6"/>
        <v>29807.737357421898</v>
      </c>
      <c r="J60" s="5">
        <f t="shared" si="7"/>
        <v>0</v>
      </c>
      <c r="K60" s="5">
        <f t="shared" si="9"/>
        <v>29807.737357421898</v>
      </c>
      <c r="L60" s="5">
        <f>IF($A60="", "", IFERROR(SUMIF(PersonaA!$B:$B, $B60, PersonaA!$P:$P) / PPY, 0))</f>
        <v>594.54381035156257</v>
      </c>
      <c r="M60" s="5">
        <f>IF($A60="", "", IFERROR(SUMIF(PersonaB!$B:$B, $B60, PersonaB!$P:$P) / PPY, 0))</f>
        <v>275.52826523437568</v>
      </c>
      <c r="N60" s="16">
        <f t="shared" si="15"/>
        <v>198.71824904947934</v>
      </c>
      <c r="O60" s="16">
        <f t="shared" si="10"/>
        <v>18031.577406542976</v>
      </c>
    </row>
    <row r="61" spans="1:15" x14ac:dyDescent="0.35">
      <c r="A61">
        <f t="shared" si="11"/>
        <v>59</v>
      </c>
      <c r="B61">
        <f t="shared" si="12"/>
        <v>2031</v>
      </c>
      <c r="C61">
        <f t="shared" si="13"/>
        <v>11</v>
      </c>
      <c r="D61" t="b">
        <f t="shared" si="14"/>
        <v>0</v>
      </c>
      <c r="E61" s="5">
        <f>IF($A61="", "", IFERROR(SUMIF(PersonaA!$B:$B, $B61, PersonaA!$O:$O) / PPY, 0))</f>
        <v>1524.4713085937501</v>
      </c>
      <c r="F61" s="5">
        <f>IF($A61="", "", IFERROR(SUMIF(PersonaB!$B:$B, $B61, PersonaB!$O:$O) / PPY, 0))</f>
        <v>586.23035156250137</v>
      </c>
      <c r="G61" s="5">
        <f t="shared" si="5"/>
        <v>2980.7737357421897</v>
      </c>
      <c r="H61" s="5">
        <f t="shared" si="8"/>
        <v>29807.737357421898</v>
      </c>
      <c r="I61" s="5">
        <f t="shared" si="6"/>
        <v>32788.511093164088</v>
      </c>
      <c r="J61" s="5">
        <f t="shared" si="7"/>
        <v>0</v>
      </c>
      <c r="K61" s="5">
        <f t="shared" si="9"/>
        <v>32788.511093164088</v>
      </c>
      <c r="L61" s="5">
        <f>IF($A61="", "", IFERROR(SUMIF(PersonaA!$B:$B, $B61, PersonaA!$P:$P) / PPY, 0))</f>
        <v>594.54381035156257</v>
      </c>
      <c r="M61" s="5">
        <f>IF($A61="", "", IFERROR(SUMIF(PersonaB!$B:$B, $B61, PersonaB!$P:$P) / PPY, 0))</f>
        <v>275.52826523437568</v>
      </c>
      <c r="N61" s="15">
        <f t="shared" si="15"/>
        <v>218.59007395442728</v>
      </c>
      <c r="O61" s="15">
        <f t="shared" si="10"/>
        <v>18250.167480497403</v>
      </c>
    </row>
    <row r="62" spans="1:15" x14ac:dyDescent="0.35">
      <c r="A62">
        <f t="shared" si="11"/>
        <v>60</v>
      </c>
      <c r="B62">
        <f t="shared" si="12"/>
        <v>2031</v>
      </c>
      <c r="C62">
        <f t="shared" si="13"/>
        <v>12</v>
      </c>
      <c r="D62" t="b">
        <f t="shared" si="14"/>
        <v>1</v>
      </c>
      <c r="E62" s="5">
        <f>IF($A62="", "", IFERROR(SUMIF(PersonaA!$B:$B, $B62, PersonaA!$O:$O) / PPY, 0))</f>
        <v>1524.4713085937501</v>
      </c>
      <c r="F62" s="5">
        <f>IF($A62="", "", IFERROR(SUMIF(PersonaB!$B:$B, $B62, PersonaB!$O:$O) / PPY, 0))</f>
        <v>586.23035156250137</v>
      </c>
      <c r="G62" s="5">
        <f t="shared" si="5"/>
        <v>2980.7737357421897</v>
      </c>
      <c r="H62" s="5">
        <f t="shared" si="8"/>
        <v>32788.511093164088</v>
      </c>
      <c r="I62" s="5">
        <f t="shared" si="6"/>
        <v>35769.284828906275</v>
      </c>
      <c r="J62" s="5">
        <f t="shared" si="7"/>
        <v>35769.284828906275</v>
      </c>
      <c r="K62" s="5">
        <f t="shared" si="9"/>
        <v>0</v>
      </c>
      <c r="L62" s="5">
        <f>IF($A62="", "", IFERROR(SUMIF(PersonaA!$B:$B, $B62, PersonaA!$P:$P) / PPY, 0))</f>
        <v>594.54381035156257</v>
      </c>
      <c r="M62" s="5">
        <f>IF($A62="", "", IFERROR(SUMIF(PersonaB!$B:$B, $B62, PersonaB!$P:$P) / PPY, 0))</f>
        <v>275.52826523437568</v>
      </c>
      <c r="N62" s="16">
        <f t="shared" si="15"/>
        <v>238.46189885937517</v>
      </c>
      <c r="O62" s="16">
        <f t="shared" si="10"/>
        <v>18488.629379356778</v>
      </c>
    </row>
    <row r="63" spans="1:15" x14ac:dyDescent="0.35">
      <c r="A63">
        <f t="shared" si="11"/>
        <v>61</v>
      </c>
      <c r="B63">
        <f t="shared" si="12"/>
        <v>2032</v>
      </c>
      <c r="C63">
        <f t="shared" ref="C63:C94" si="16">IF(A63="", "",MOD(A63-1, PPY)+1)</f>
        <v>1</v>
      </c>
      <c r="D63" t="b">
        <f t="shared" si="14"/>
        <v>0</v>
      </c>
      <c r="E63" s="5">
        <f>IF($A63="", "", IFERROR(SUMIF(PersonaA!$B:$B, $B63, PersonaA!$O:$O) / PPY, 0))</f>
        <v>1484.4580913085938</v>
      </c>
      <c r="F63" s="5">
        <f>IF($A63="", "", IFERROR(SUMIF(PersonaB!$B:$B, $B63, PersonaB!$O:$O) / PPY, 0))</f>
        <v>522.76111035156407</v>
      </c>
      <c r="G63" s="5">
        <f t="shared" si="5"/>
        <v>2831.8555791357444</v>
      </c>
      <c r="H63" s="5">
        <f t="shared" si="8"/>
        <v>0</v>
      </c>
      <c r="I63" s="5">
        <f t="shared" ref="I63:I64" si="17">IF(A63="", "",H63+G63)</f>
        <v>2831.8555791357444</v>
      </c>
      <c r="J63" s="5">
        <f t="shared" ref="J63:J64" si="18">IF(A63="", "",IF(D63,I63,0))</f>
        <v>0</v>
      </c>
      <c r="K63" s="5">
        <f t="shared" si="9"/>
        <v>2831.8555791357444</v>
      </c>
      <c r="L63" s="5">
        <f>IF($A63="", "", IFERROR(SUMIF(PersonaA!$B:$B, $B63, PersonaA!$P:$P) / PPY, 0))</f>
        <v>578.93865561035159</v>
      </c>
      <c r="M63" s="5">
        <f>IF($A63="", "", IFERROR(SUMIF(PersonaB!$B:$B, $B63, PersonaB!$P:$P) / PPY, 0))</f>
        <v>245.69772186523514</v>
      </c>
      <c r="N63" s="15">
        <f t="shared" si="15"/>
        <v>18.879037194238297</v>
      </c>
      <c r="O63" s="15">
        <f t="shared" si="10"/>
        <v>18507.508416551016</v>
      </c>
    </row>
    <row r="64" spans="1:15" x14ac:dyDescent="0.35">
      <c r="A64">
        <f t="shared" si="11"/>
        <v>62</v>
      </c>
      <c r="B64">
        <f t="shared" si="12"/>
        <v>2032</v>
      </c>
      <c r="C64">
        <f t="shared" si="16"/>
        <v>2</v>
      </c>
      <c r="D64" t="b">
        <f t="shared" si="14"/>
        <v>0</v>
      </c>
      <c r="E64" s="5">
        <f>IF($A64="", "", IFERROR(SUMIF(PersonaA!$B:$B, $B64, PersonaA!$O:$O) / PPY, 0))</f>
        <v>1484.4580913085938</v>
      </c>
      <c r="F64" s="5">
        <f>IF($A64="", "", IFERROR(SUMIF(PersonaB!$B:$B, $B64, PersonaB!$O:$O) / PPY, 0))</f>
        <v>522.76111035156407</v>
      </c>
      <c r="G64" s="5">
        <f t="shared" si="5"/>
        <v>2831.8555791357444</v>
      </c>
      <c r="H64" s="5">
        <f t="shared" si="8"/>
        <v>2831.8555791357444</v>
      </c>
      <c r="I64" s="5">
        <f t="shared" si="17"/>
        <v>5663.7111582714888</v>
      </c>
      <c r="J64" s="5">
        <f t="shared" si="18"/>
        <v>0</v>
      </c>
      <c r="K64" s="5">
        <f t="shared" si="9"/>
        <v>5663.7111582714888</v>
      </c>
      <c r="L64" s="5">
        <f>IF($A64="", "", IFERROR(SUMIF(PersonaA!$B:$B, $B64, PersonaA!$P:$P) / PPY, 0))</f>
        <v>578.93865561035159</v>
      </c>
      <c r="M64" s="5">
        <f>IF($A64="", "", IFERROR(SUMIF(PersonaB!$B:$B, $B64, PersonaB!$P:$P) / PPY, 0))</f>
        <v>245.69772186523514</v>
      </c>
      <c r="N64" s="16">
        <f t="shared" si="15"/>
        <v>37.758074388476594</v>
      </c>
      <c r="O64" s="16">
        <f t="shared" si="10"/>
        <v>18545.266490939492</v>
      </c>
    </row>
    <row r="65" spans="1:15" x14ac:dyDescent="0.35">
      <c r="A65">
        <f t="shared" si="11"/>
        <v>63</v>
      </c>
      <c r="B65">
        <f t="shared" si="12"/>
        <v>2032</v>
      </c>
      <c r="C65">
        <f t="shared" si="16"/>
        <v>3</v>
      </c>
      <c r="D65" t="b">
        <f t="shared" si="14"/>
        <v>0</v>
      </c>
      <c r="E65" s="5">
        <f>IF($A65="", "", IFERROR(SUMIF(PersonaA!$B:$B, $B65, PersonaA!$O:$O) / PPY, 0))</f>
        <v>1484.4580913085938</v>
      </c>
      <c r="F65" s="5">
        <f>IF($A65="", "", IFERROR(SUMIF(PersonaB!$B:$B, $B65, PersonaB!$O:$O) / PPY, 0))</f>
        <v>522.76111035156407</v>
      </c>
      <c r="G65" s="5">
        <f t="shared" si="5"/>
        <v>2831.8555791357444</v>
      </c>
      <c r="H65" s="5">
        <f t="shared" si="8"/>
        <v>5663.7111582714888</v>
      </c>
      <c r="I65" s="5">
        <f t="shared" ref="I65:I96" si="19">IF(A65="", "",H65+G65)</f>
        <v>8495.5667374072327</v>
      </c>
      <c r="J65" s="5">
        <f t="shared" ref="J65:J96" si="20">IF(A65="", "",IF(D65,I65,0))</f>
        <v>0</v>
      </c>
      <c r="K65" s="5">
        <f t="shared" si="9"/>
        <v>8495.5667374072327</v>
      </c>
      <c r="L65" s="5">
        <f>IF($A65="", "", IFERROR(SUMIF(PersonaA!$B:$B, $B65, PersonaA!$P:$P) / PPY, 0))</f>
        <v>578.93865561035159</v>
      </c>
      <c r="M65" s="5">
        <f>IF($A65="", "", IFERROR(SUMIF(PersonaB!$B:$B, $B65, PersonaB!$P:$P) / PPY, 0))</f>
        <v>245.69772186523514</v>
      </c>
      <c r="N65" s="15">
        <f t="shared" si="15"/>
        <v>56.637111582714887</v>
      </c>
      <c r="O65" s="15">
        <f t="shared" si="10"/>
        <v>18601.903602522205</v>
      </c>
    </row>
    <row r="66" spans="1:15" x14ac:dyDescent="0.35">
      <c r="A66">
        <f t="shared" si="11"/>
        <v>64</v>
      </c>
      <c r="B66">
        <f t="shared" si="12"/>
        <v>2032</v>
      </c>
      <c r="C66">
        <f t="shared" si="16"/>
        <v>4</v>
      </c>
      <c r="D66" t="b">
        <f t="shared" si="14"/>
        <v>0</v>
      </c>
      <c r="E66" s="5">
        <f>IF($A66="", "", IFERROR(SUMIF(PersonaA!$B:$B, $B66, PersonaA!$O:$O) / PPY, 0))</f>
        <v>1484.4580913085938</v>
      </c>
      <c r="F66" s="5">
        <f>IF($A66="", "", IFERROR(SUMIF(PersonaB!$B:$B, $B66, PersonaB!$O:$O) / PPY, 0))</f>
        <v>522.76111035156407</v>
      </c>
      <c r="G66" s="5">
        <f t="shared" si="5"/>
        <v>2831.8555791357444</v>
      </c>
      <c r="H66" s="5">
        <f t="shared" si="8"/>
        <v>8495.5667374072327</v>
      </c>
      <c r="I66" s="5">
        <f t="shared" si="19"/>
        <v>11327.422316542978</v>
      </c>
      <c r="J66" s="5">
        <f t="shared" si="20"/>
        <v>0</v>
      </c>
      <c r="K66" s="5">
        <f t="shared" si="9"/>
        <v>11327.422316542978</v>
      </c>
      <c r="L66" s="5">
        <f>IF($A66="", "", IFERROR(SUMIF(PersonaA!$B:$B, $B66, PersonaA!$P:$P) / PPY, 0))</f>
        <v>578.93865561035159</v>
      </c>
      <c r="M66" s="5">
        <f>IF($A66="", "", IFERROR(SUMIF(PersonaB!$B:$B, $B66, PersonaB!$P:$P) / PPY, 0))</f>
        <v>245.69772186523514</v>
      </c>
      <c r="N66" s="16">
        <f t="shared" si="15"/>
        <v>75.516148776953187</v>
      </c>
      <c r="O66" s="16">
        <f t="shared" si="10"/>
        <v>18677.41975129916</v>
      </c>
    </row>
    <row r="67" spans="1:15" x14ac:dyDescent="0.35">
      <c r="A67">
        <f t="shared" ref="A67:A98" si="21">IF(ROW()-2 &lt;= TotalPeriodsOffset, ROW()-2, "")</f>
        <v>65</v>
      </c>
      <c r="B67">
        <f t="shared" ref="B67:B98" si="22">IF($A67="", "", YEAR(StartYear) + INT(($A67-1)/PPY))</f>
        <v>2032</v>
      </c>
      <c r="C67">
        <f t="shared" si="16"/>
        <v>5</v>
      </c>
      <c r="D67" t="b">
        <f t="shared" ref="D67:D98" si="23">IF(A67="", "",C67=PPY)</f>
        <v>0</v>
      </c>
      <c r="E67" s="5">
        <f>IF($A67="", "", IFERROR(SUMIF(PersonaA!$B:$B, $B67, PersonaA!$O:$O) / PPY, 0))</f>
        <v>1484.4580913085938</v>
      </c>
      <c r="F67" s="5">
        <f>IF($A67="", "", IFERROR(SUMIF(PersonaB!$B:$B, $B67, PersonaB!$O:$O) / PPY, 0))</f>
        <v>522.76111035156407</v>
      </c>
      <c r="G67" s="5">
        <f t="shared" si="5"/>
        <v>2831.8555791357444</v>
      </c>
      <c r="H67" s="5">
        <f t="shared" si="8"/>
        <v>11327.422316542978</v>
      </c>
      <c r="I67" s="5">
        <f t="shared" si="19"/>
        <v>14159.277895678722</v>
      </c>
      <c r="J67" s="5">
        <f t="shared" si="20"/>
        <v>0</v>
      </c>
      <c r="K67" s="5">
        <f t="shared" si="9"/>
        <v>14159.277895678722</v>
      </c>
      <c r="L67" s="5">
        <f>IF($A67="", "", IFERROR(SUMIF(PersonaA!$B:$B, $B67, PersonaA!$P:$P) / PPY, 0))</f>
        <v>578.93865561035159</v>
      </c>
      <c r="M67" s="5">
        <f>IF($A67="", "", IFERROR(SUMIF(PersonaB!$B:$B, $B67, PersonaB!$P:$P) / PPY, 0))</f>
        <v>245.69772186523514</v>
      </c>
      <c r="N67" s="15">
        <f t="shared" ref="N67:N98" si="24">IF($A67="", "", I67*(LoanRate/PPY))</f>
        <v>94.395185971191495</v>
      </c>
      <c r="O67" s="15">
        <f t="shared" si="10"/>
        <v>18771.814937270352</v>
      </c>
    </row>
    <row r="68" spans="1:15" x14ac:dyDescent="0.35">
      <c r="A68">
        <f t="shared" si="21"/>
        <v>66</v>
      </c>
      <c r="B68">
        <f t="shared" si="22"/>
        <v>2032</v>
      </c>
      <c r="C68">
        <f t="shared" si="16"/>
        <v>6</v>
      </c>
      <c r="D68" t="b">
        <f t="shared" si="23"/>
        <v>0</v>
      </c>
      <c r="E68" s="5">
        <f>IF($A68="", "", IFERROR(SUMIF(PersonaA!$B:$B, $B68, PersonaA!$O:$O) / PPY, 0))</f>
        <v>1484.4580913085938</v>
      </c>
      <c r="F68" s="5">
        <f>IF($A68="", "", IFERROR(SUMIF(PersonaB!$B:$B, $B68, PersonaB!$O:$O) / PPY, 0))</f>
        <v>522.76111035156407</v>
      </c>
      <c r="G68" s="5">
        <f t="shared" ref="G68:G131" si="25">IF(A68="", "", E68+F68+L68+M68)</f>
        <v>2831.8555791357444</v>
      </c>
      <c r="H68" s="5">
        <f t="shared" si="8"/>
        <v>14159.277895678722</v>
      </c>
      <c r="I68" s="5">
        <f t="shared" si="19"/>
        <v>16991.133474814465</v>
      </c>
      <c r="J68" s="5">
        <f t="shared" si="20"/>
        <v>0</v>
      </c>
      <c r="K68" s="5">
        <f t="shared" si="9"/>
        <v>16991.133474814465</v>
      </c>
      <c r="L68" s="5">
        <f>IF($A68="", "", IFERROR(SUMIF(PersonaA!$B:$B, $B68, PersonaA!$P:$P) / PPY, 0))</f>
        <v>578.93865561035159</v>
      </c>
      <c r="M68" s="5">
        <f>IF($A68="", "", IFERROR(SUMIF(PersonaB!$B:$B, $B68, PersonaB!$P:$P) / PPY, 0))</f>
        <v>245.69772186523514</v>
      </c>
      <c r="N68" s="16">
        <f t="shared" si="24"/>
        <v>113.27422316542977</v>
      </c>
      <c r="O68" s="16">
        <f t="shared" si="10"/>
        <v>18885.089160435782</v>
      </c>
    </row>
    <row r="69" spans="1:15" x14ac:dyDescent="0.35">
      <c r="A69">
        <f t="shared" si="21"/>
        <v>67</v>
      </c>
      <c r="B69">
        <f t="shared" si="22"/>
        <v>2032</v>
      </c>
      <c r="C69">
        <f t="shared" si="16"/>
        <v>7</v>
      </c>
      <c r="D69" t="b">
        <f t="shared" si="23"/>
        <v>0</v>
      </c>
      <c r="E69" s="5">
        <f>IF($A69="", "", IFERROR(SUMIF(PersonaA!$B:$B, $B69, PersonaA!$O:$O) / PPY, 0))</f>
        <v>1484.4580913085938</v>
      </c>
      <c r="F69" s="5">
        <f>IF($A69="", "", IFERROR(SUMIF(PersonaB!$B:$B, $B69, PersonaB!$O:$O) / PPY, 0))</f>
        <v>522.76111035156407</v>
      </c>
      <c r="G69" s="5">
        <f t="shared" si="25"/>
        <v>2831.8555791357444</v>
      </c>
      <c r="H69" s="5">
        <f t="shared" ref="H69:H132" si="26">IF($A69="", "", K68)</f>
        <v>16991.133474814465</v>
      </c>
      <c r="I69" s="5">
        <f t="shared" si="19"/>
        <v>19822.989053950208</v>
      </c>
      <c r="J69" s="5">
        <f t="shared" si="20"/>
        <v>0</v>
      </c>
      <c r="K69" s="5">
        <f t="shared" ref="K69:K132" si="27">IF(A69="", "",IF(D69,0,I69-J69))</f>
        <v>19822.989053950208</v>
      </c>
      <c r="L69" s="5">
        <f>IF($A69="", "", IFERROR(SUMIF(PersonaA!$B:$B, $B69, PersonaA!$P:$P) / PPY, 0))</f>
        <v>578.93865561035159</v>
      </c>
      <c r="M69" s="5">
        <f>IF($A69="", "", IFERROR(SUMIF(PersonaB!$B:$B, $B69, PersonaB!$P:$P) / PPY, 0))</f>
        <v>245.69772186523514</v>
      </c>
      <c r="N69" s="15">
        <f t="shared" si="24"/>
        <v>132.15326035966805</v>
      </c>
      <c r="O69" s="15">
        <f t="shared" ref="O69:O132" si="28">IF($A69="", "", O68+N69)</f>
        <v>19017.24242079545</v>
      </c>
    </row>
    <row r="70" spans="1:15" x14ac:dyDescent="0.35">
      <c r="A70">
        <f t="shared" si="21"/>
        <v>68</v>
      </c>
      <c r="B70">
        <f t="shared" si="22"/>
        <v>2032</v>
      </c>
      <c r="C70">
        <f t="shared" si="16"/>
        <v>8</v>
      </c>
      <c r="D70" t="b">
        <f t="shared" si="23"/>
        <v>0</v>
      </c>
      <c r="E70" s="5">
        <f>IF($A70="", "", IFERROR(SUMIF(PersonaA!$B:$B, $B70, PersonaA!$O:$O) / PPY, 0))</f>
        <v>1484.4580913085938</v>
      </c>
      <c r="F70" s="5">
        <f>IF($A70="", "", IFERROR(SUMIF(PersonaB!$B:$B, $B70, PersonaB!$O:$O) / PPY, 0))</f>
        <v>522.76111035156407</v>
      </c>
      <c r="G70" s="5">
        <f t="shared" si="25"/>
        <v>2831.8555791357444</v>
      </c>
      <c r="H70" s="5">
        <f t="shared" si="26"/>
        <v>19822.989053950208</v>
      </c>
      <c r="I70" s="5">
        <f t="shared" si="19"/>
        <v>22654.844633085952</v>
      </c>
      <c r="J70" s="5">
        <f t="shared" si="20"/>
        <v>0</v>
      </c>
      <c r="K70" s="5">
        <f t="shared" si="27"/>
        <v>22654.844633085952</v>
      </c>
      <c r="L70" s="5">
        <f>IF($A70="", "", IFERROR(SUMIF(PersonaA!$B:$B, $B70, PersonaA!$P:$P) / PPY, 0))</f>
        <v>578.93865561035159</v>
      </c>
      <c r="M70" s="5">
        <f>IF($A70="", "", IFERROR(SUMIF(PersonaB!$B:$B, $B70, PersonaB!$P:$P) / PPY, 0))</f>
        <v>245.69772186523514</v>
      </c>
      <c r="N70" s="16">
        <f t="shared" si="24"/>
        <v>151.03229755390635</v>
      </c>
      <c r="O70" s="16">
        <f t="shared" si="28"/>
        <v>19168.274718349356</v>
      </c>
    </row>
    <row r="71" spans="1:15" x14ac:dyDescent="0.35">
      <c r="A71">
        <f t="shared" si="21"/>
        <v>69</v>
      </c>
      <c r="B71">
        <f t="shared" si="22"/>
        <v>2032</v>
      </c>
      <c r="C71">
        <f t="shared" si="16"/>
        <v>9</v>
      </c>
      <c r="D71" t="b">
        <f t="shared" si="23"/>
        <v>0</v>
      </c>
      <c r="E71" s="5">
        <f>IF($A71="", "", IFERROR(SUMIF(PersonaA!$B:$B, $B71, PersonaA!$O:$O) / PPY, 0))</f>
        <v>1484.4580913085938</v>
      </c>
      <c r="F71" s="5">
        <f>IF($A71="", "", IFERROR(SUMIF(PersonaB!$B:$B, $B71, PersonaB!$O:$O) / PPY, 0))</f>
        <v>522.76111035156407</v>
      </c>
      <c r="G71" s="5">
        <f t="shared" si="25"/>
        <v>2831.8555791357444</v>
      </c>
      <c r="H71" s="5">
        <f t="shared" si="26"/>
        <v>22654.844633085952</v>
      </c>
      <c r="I71" s="5">
        <f t="shared" si="19"/>
        <v>25486.700212221695</v>
      </c>
      <c r="J71" s="5">
        <f t="shared" si="20"/>
        <v>0</v>
      </c>
      <c r="K71" s="5">
        <f t="shared" si="27"/>
        <v>25486.700212221695</v>
      </c>
      <c r="L71" s="5">
        <f>IF($A71="", "", IFERROR(SUMIF(PersonaA!$B:$B, $B71, PersonaA!$P:$P) / PPY, 0))</f>
        <v>578.93865561035159</v>
      </c>
      <c r="M71" s="5">
        <f>IF($A71="", "", IFERROR(SUMIF(PersonaB!$B:$B, $B71, PersonaB!$P:$P) / PPY, 0))</f>
        <v>245.69772186523514</v>
      </c>
      <c r="N71" s="15">
        <f t="shared" si="24"/>
        <v>169.91133474814464</v>
      </c>
      <c r="O71" s="15">
        <f t="shared" si="28"/>
        <v>19338.186053097499</v>
      </c>
    </row>
    <row r="72" spans="1:15" x14ac:dyDescent="0.35">
      <c r="A72">
        <f t="shared" si="21"/>
        <v>70</v>
      </c>
      <c r="B72">
        <f t="shared" si="22"/>
        <v>2032</v>
      </c>
      <c r="C72">
        <f t="shared" si="16"/>
        <v>10</v>
      </c>
      <c r="D72" t="b">
        <f t="shared" si="23"/>
        <v>0</v>
      </c>
      <c r="E72" s="5">
        <f>IF($A72="", "", IFERROR(SUMIF(PersonaA!$B:$B, $B72, PersonaA!$O:$O) / PPY, 0))</f>
        <v>1484.4580913085938</v>
      </c>
      <c r="F72" s="5">
        <f>IF($A72="", "", IFERROR(SUMIF(PersonaB!$B:$B, $B72, PersonaB!$O:$O) / PPY, 0))</f>
        <v>522.76111035156407</v>
      </c>
      <c r="G72" s="5">
        <f t="shared" si="25"/>
        <v>2831.8555791357444</v>
      </c>
      <c r="H72" s="5">
        <f t="shared" si="26"/>
        <v>25486.700212221695</v>
      </c>
      <c r="I72" s="5">
        <f t="shared" si="19"/>
        <v>28318.555791357438</v>
      </c>
      <c r="J72" s="5">
        <f t="shared" si="20"/>
        <v>0</v>
      </c>
      <c r="K72" s="5">
        <f t="shared" si="27"/>
        <v>28318.555791357438</v>
      </c>
      <c r="L72" s="5">
        <f>IF($A72="", "", IFERROR(SUMIF(PersonaA!$B:$B, $B72, PersonaA!$P:$P) / PPY, 0))</f>
        <v>578.93865561035159</v>
      </c>
      <c r="M72" s="5">
        <f>IF($A72="", "", IFERROR(SUMIF(PersonaB!$B:$B, $B72, PersonaB!$P:$P) / PPY, 0))</f>
        <v>245.69772186523514</v>
      </c>
      <c r="N72" s="16">
        <f t="shared" si="24"/>
        <v>188.79037194238293</v>
      </c>
      <c r="O72" s="16">
        <f t="shared" si="28"/>
        <v>19526.97642503988</v>
      </c>
    </row>
    <row r="73" spans="1:15" x14ac:dyDescent="0.35">
      <c r="A73">
        <f t="shared" si="21"/>
        <v>71</v>
      </c>
      <c r="B73">
        <f t="shared" si="22"/>
        <v>2032</v>
      </c>
      <c r="C73">
        <f t="shared" si="16"/>
        <v>11</v>
      </c>
      <c r="D73" t="b">
        <f t="shared" si="23"/>
        <v>0</v>
      </c>
      <c r="E73" s="5">
        <f>IF($A73="", "", IFERROR(SUMIF(PersonaA!$B:$B, $B73, PersonaA!$O:$O) / PPY, 0))</f>
        <v>1484.4580913085938</v>
      </c>
      <c r="F73" s="5">
        <f>IF($A73="", "", IFERROR(SUMIF(PersonaB!$B:$B, $B73, PersonaB!$O:$O) / PPY, 0))</f>
        <v>522.76111035156407</v>
      </c>
      <c r="G73" s="5">
        <f t="shared" si="25"/>
        <v>2831.8555791357444</v>
      </c>
      <c r="H73" s="5">
        <f t="shared" si="26"/>
        <v>28318.555791357438</v>
      </c>
      <c r="I73" s="5">
        <f t="shared" si="19"/>
        <v>31150.411370493181</v>
      </c>
      <c r="J73" s="5">
        <f t="shared" si="20"/>
        <v>0</v>
      </c>
      <c r="K73" s="5">
        <f t="shared" si="27"/>
        <v>31150.411370493181</v>
      </c>
      <c r="L73" s="5">
        <f>IF($A73="", "", IFERROR(SUMIF(PersonaA!$B:$B, $B73, PersonaA!$P:$P) / PPY, 0))</f>
        <v>578.93865561035159</v>
      </c>
      <c r="M73" s="5">
        <f>IF($A73="", "", IFERROR(SUMIF(PersonaB!$B:$B, $B73, PersonaB!$P:$P) / PPY, 0))</f>
        <v>245.69772186523514</v>
      </c>
      <c r="N73" s="15">
        <f t="shared" si="24"/>
        <v>207.66940913662123</v>
      </c>
      <c r="O73" s="15">
        <f t="shared" si="28"/>
        <v>19734.645834176503</v>
      </c>
    </row>
    <row r="74" spans="1:15" x14ac:dyDescent="0.35">
      <c r="A74">
        <f t="shared" si="21"/>
        <v>72</v>
      </c>
      <c r="B74">
        <f t="shared" si="22"/>
        <v>2032</v>
      </c>
      <c r="C74">
        <f t="shared" si="16"/>
        <v>12</v>
      </c>
      <c r="D74" t="b">
        <f t="shared" si="23"/>
        <v>1</v>
      </c>
      <c r="E74" s="5">
        <f>IF($A74="", "", IFERROR(SUMIF(PersonaA!$B:$B, $B74, PersonaA!$O:$O) / PPY, 0))</f>
        <v>1484.4580913085938</v>
      </c>
      <c r="F74" s="5">
        <f>IF($A74="", "", IFERROR(SUMIF(PersonaB!$B:$B, $B74, PersonaB!$O:$O) / PPY, 0))</f>
        <v>522.76111035156407</v>
      </c>
      <c r="G74" s="5">
        <f t="shared" si="25"/>
        <v>2831.8555791357444</v>
      </c>
      <c r="H74" s="5">
        <f t="shared" si="26"/>
        <v>31150.411370493181</v>
      </c>
      <c r="I74" s="5">
        <f t="shared" si="19"/>
        <v>33982.266949628924</v>
      </c>
      <c r="J74" s="5">
        <f t="shared" si="20"/>
        <v>33982.266949628924</v>
      </c>
      <c r="K74" s="5">
        <f t="shared" si="27"/>
        <v>0</v>
      </c>
      <c r="L74" s="5">
        <f>IF($A74="", "", IFERROR(SUMIF(PersonaA!$B:$B, $B74, PersonaA!$P:$P) / PPY, 0))</f>
        <v>578.93865561035159</v>
      </c>
      <c r="M74" s="5">
        <f>IF($A74="", "", IFERROR(SUMIF(PersonaB!$B:$B, $B74, PersonaB!$P:$P) / PPY, 0))</f>
        <v>245.69772186523514</v>
      </c>
      <c r="N74" s="16">
        <f t="shared" si="24"/>
        <v>226.54844633085949</v>
      </c>
      <c r="O74" s="16">
        <f t="shared" si="28"/>
        <v>19961.194280507363</v>
      </c>
    </row>
    <row r="75" spans="1:15" x14ac:dyDescent="0.35">
      <c r="A75">
        <f t="shared" si="21"/>
        <v>73</v>
      </c>
      <c r="B75">
        <f t="shared" si="22"/>
        <v>2033</v>
      </c>
      <c r="C75">
        <f t="shared" si="16"/>
        <v>1</v>
      </c>
      <c r="D75" t="b">
        <f t="shared" si="23"/>
        <v>0</v>
      </c>
      <c r="E75" s="5">
        <f>IF($A75="", "", IFERROR(SUMIF(PersonaA!$B:$B, $B75, PersonaA!$O:$O) / PPY, 0))</f>
        <v>1651.7778769246422</v>
      </c>
      <c r="F75" s="5">
        <f>IF($A75="", "", IFERROR(SUMIF(PersonaB!$B:$B, $B75, PersonaB!$O:$O) / PPY, 0))</f>
        <v>666.03847144368649</v>
      </c>
      <c r="G75" s="5">
        <f t="shared" si="25"/>
        <v>3275.0478019474722</v>
      </c>
      <c r="H75" s="5">
        <f t="shared" si="26"/>
        <v>0</v>
      </c>
      <c r="I75" s="5">
        <f t="shared" si="19"/>
        <v>3275.0478019474722</v>
      </c>
      <c r="J75" s="5">
        <f t="shared" si="20"/>
        <v>0</v>
      </c>
      <c r="K75" s="5">
        <f t="shared" si="27"/>
        <v>3275.0478019474722</v>
      </c>
      <c r="L75" s="5">
        <f>IF($A75="", "", IFERROR(SUMIF(PersonaA!$B:$B, $B75, PersonaA!$P:$P) / PPY, 0))</f>
        <v>644.19337200061045</v>
      </c>
      <c r="M75" s="5">
        <f>IF($A75="", "", IFERROR(SUMIF(PersonaB!$B:$B, $B75, PersonaB!$P:$P) / PPY, 0))</f>
        <v>313.03808157853268</v>
      </c>
      <c r="N75" s="15">
        <f t="shared" si="24"/>
        <v>21.833652012983148</v>
      </c>
      <c r="O75" s="15">
        <f t="shared" si="28"/>
        <v>19983.027932520345</v>
      </c>
    </row>
    <row r="76" spans="1:15" x14ac:dyDescent="0.35">
      <c r="A76">
        <f t="shared" si="21"/>
        <v>74</v>
      </c>
      <c r="B76">
        <f t="shared" si="22"/>
        <v>2033</v>
      </c>
      <c r="C76">
        <f t="shared" si="16"/>
        <v>2</v>
      </c>
      <c r="D76" t="b">
        <f t="shared" si="23"/>
        <v>0</v>
      </c>
      <c r="E76" s="5">
        <f>IF($A76="", "", IFERROR(SUMIF(PersonaA!$B:$B, $B76, PersonaA!$O:$O) / PPY, 0))</f>
        <v>1651.7778769246422</v>
      </c>
      <c r="F76" s="5">
        <f>IF($A76="", "", IFERROR(SUMIF(PersonaB!$B:$B, $B76, PersonaB!$O:$O) / PPY, 0))</f>
        <v>666.03847144368649</v>
      </c>
      <c r="G76" s="5">
        <f t="shared" si="25"/>
        <v>3275.0478019474722</v>
      </c>
      <c r="H76" s="5">
        <f t="shared" si="26"/>
        <v>3275.0478019474722</v>
      </c>
      <c r="I76" s="5">
        <f t="shared" si="19"/>
        <v>6550.0956038949444</v>
      </c>
      <c r="J76" s="5">
        <f t="shared" si="20"/>
        <v>0</v>
      </c>
      <c r="K76" s="5">
        <f t="shared" si="27"/>
        <v>6550.0956038949444</v>
      </c>
      <c r="L76" s="5">
        <f>IF($A76="", "", IFERROR(SUMIF(PersonaA!$B:$B, $B76, PersonaA!$P:$P) / PPY, 0))</f>
        <v>644.19337200061045</v>
      </c>
      <c r="M76" s="5">
        <f>IF($A76="", "", IFERROR(SUMIF(PersonaB!$B:$B, $B76, PersonaB!$P:$P) / PPY, 0))</f>
        <v>313.03808157853268</v>
      </c>
      <c r="N76" s="16">
        <f t="shared" si="24"/>
        <v>43.667304025966295</v>
      </c>
      <c r="O76" s="16">
        <f t="shared" si="28"/>
        <v>20026.695236546311</v>
      </c>
    </row>
    <row r="77" spans="1:15" x14ac:dyDescent="0.35">
      <c r="A77">
        <f t="shared" si="21"/>
        <v>75</v>
      </c>
      <c r="B77">
        <f t="shared" si="22"/>
        <v>2033</v>
      </c>
      <c r="C77">
        <f t="shared" si="16"/>
        <v>3</v>
      </c>
      <c r="D77" t="b">
        <f t="shared" si="23"/>
        <v>0</v>
      </c>
      <c r="E77" s="5">
        <f>IF($A77="", "", IFERROR(SUMIF(PersonaA!$B:$B, $B77, PersonaA!$O:$O) / PPY, 0))</f>
        <v>1651.7778769246422</v>
      </c>
      <c r="F77" s="5">
        <f>IF($A77="", "", IFERROR(SUMIF(PersonaB!$B:$B, $B77, PersonaB!$O:$O) / PPY, 0))</f>
        <v>666.03847144368649</v>
      </c>
      <c r="G77" s="5">
        <f t="shared" si="25"/>
        <v>3275.0478019474722</v>
      </c>
      <c r="H77" s="5">
        <f t="shared" si="26"/>
        <v>6550.0956038949444</v>
      </c>
      <c r="I77" s="5">
        <f t="shared" si="19"/>
        <v>9825.1434058424165</v>
      </c>
      <c r="J77" s="5">
        <f t="shared" si="20"/>
        <v>0</v>
      </c>
      <c r="K77" s="5">
        <f t="shared" si="27"/>
        <v>9825.1434058424165</v>
      </c>
      <c r="L77" s="5">
        <f>IF($A77="", "", IFERROR(SUMIF(PersonaA!$B:$B, $B77, PersonaA!$P:$P) / PPY, 0))</f>
        <v>644.19337200061045</v>
      </c>
      <c r="M77" s="5">
        <f>IF($A77="", "", IFERROR(SUMIF(PersonaB!$B:$B, $B77, PersonaB!$P:$P) / PPY, 0))</f>
        <v>313.03808157853268</v>
      </c>
      <c r="N77" s="15">
        <f t="shared" si="24"/>
        <v>65.500956038949454</v>
      </c>
      <c r="O77" s="15">
        <f t="shared" si="28"/>
        <v>20092.196192585259</v>
      </c>
    </row>
    <row r="78" spans="1:15" x14ac:dyDescent="0.35">
      <c r="A78">
        <f t="shared" si="21"/>
        <v>76</v>
      </c>
      <c r="B78">
        <f t="shared" si="22"/>
        <v>2033</v>
      </c>
      <c r="C78">
        <f t="shared" si="16"/>
        <v>4</v>
      </c>
      <c r="D78" t="b">
        <f t="shared" si="23"/>
        <v>0</v>
      </c>
      <c r="E78" s="5">
        <f>IF($A78="", "", IFERROR(SUMIF(PersonaA!$B:$B, $B78, PersonaA!$O:$O) / PPY, 0))</f>
        <v>1651.7778769246422</v>
      </c>
      <c r="F78" s="5">
        <f>IF($A78="", "", IFERROR(SUMIF(PersonaB!$B:$B, $B78, PersonaB!$O:$O) / PPY, 0))</f>
        <v>666.03847144368649</v>
      </c>
      <c r="G78" s="5">
        <f t="shared" si="25"/>
        <v>3275.0478019474722</v>
      </c>
      <c r="H78" s="5">
        <f t="shared" si="26"/>
        <v>9825.1434058424165</v>
      </c>
      <c r="I78" s="5">
        <f t="shared" si="19"/>
        <v>13100.191207789889</v>
      </c>
      <c r="J78" s="5">
        <f t="shared" si="20"/>
        <v>0</v>
      </c>
      <c r="K78" s="5">
        <f t="shared" si="27"/>
        <v>13100.191207789889</v>
      </c>
      <c r="L78" s="5">
        <f>IF($A78="", "", IFERROR(SUMIF(PersonaA!$B:$B, $B78, PersonaA!$P:$P) / PPY, 0))</f>
        <v>644.19337200061045</v>
      </c>
      <c r="M78" s="5">
        <f>IF($A78="", "", IFERROR(SUMIF(PersonaB!$B:$B, $B78, PersonaB!$P:$P) / PPY, 0))</f>
        <v>313.03808157853268</v>
      </c>
      <c r="N78" s="16">
        <f t="shared" si="24"/>
        <v>87.334608051932591</v>
      </c>
      <c r="O78" s="16">
        <f t="shared" si="28"/>
        <v>20179.530800637192</v>
      </c>
    </row>
    <row r="79" spans="1:15" x14ac:dyDescent="0.35">
      <c r="A79">
        <f t="shared" si="21"/>
        <v>77</v>
      </c>
      <c r="B79">
        <f t="shared" si="22"/>
        <v>2033</v>
      </c>
      <c r="C79">
        <f t="shared" si="16"/>
        <v>5</v>
      </c>
      <c r="D79" t="b">
        <f t="shared" si="23"/>
        <v>0</v>
      </c>
      <c r="E79" s="5">
        <f>IF($A79="", "", IFERROR(SUMIF(PersonaA!$B:$B, $B79, PersonaA!$O:$O) / PPY, 0))</f>
        <v>1651.7778769246422</v>
      </c>
      <c r="F79" s="5">
        <f>IF($A79="", "", IFERROR(SUMIF(PersonaB!$B:$B, $B79, PersonaB!$O:$O) / PPY, 0))</f>
        <v>666.03847144368649</v>
      </c>
      <c r="G79" s="5">
        <f t="shared" si="25"/>
        <v>3275.0478019474722</v>
      </c>
      <c r="H79" s="5">
        <f t="shared" si="26"/>
        <v>13100.191207789889</v>
      </c>
      <c r="I79" s="5">
        <f t="shared" si="19"/>
        <v>16375.239009737361</v>
      </c>
      <c r="J79" s="5">
        <f t="shared" si="20"/>
        <v>0</v>
      </c>
      <c r="K79" s="5">
        <f t="shared" si="27"/>
        <v>16375.239009737361</v>
      </c>
      <c r="L79" s="5">
        <f>IF($A79="", "", IFERROR(SUMIF(PersonaA!$B:$B, $B79, PersonaA!$P:$P) / PPY, 0))</f>
        <v>644.19337200061045</v>
      </c>
      <c r="M79" s="5">
        <f>IF($A79="", "", IFERROR(SUMIF(PersonaB!$B:$B, $B79, PersonaB!$P:$P) / PPY, 0))</f>
        <v>313.03808157853268</v>
      </c>
      <c r="N79" s="15">
        <f t="shared" si="24"/>
        <v>109.16826006491574</v>
      </c>
      <c r="O79" s="15">
        <f t="shared" si="28"/>
        <v>20288.699060702107</v>
      </c>
    </row>
    <row r="80" spans="1:15" x14ac:dyDescent="0.35">
      <c r="A80">
        <f t="shared" si="21"/>
        <v>78</v>
      </c>
      <c r="B80">
        <f t="shared" si="22"/>
        <v>2033</v>
      </c>
      <c r="C80">
        <f t="shared" si="16"/>
        <v>6</v>
      </c>
      <c r="D80" t="b">
        <f t="shared" si="23"/>
        <v>0</v>
      </c>
      <c r="E80" s="5">
        <f>IF($A80="", "", IFERROR(SUMIF(PersonaA!$B:$B, $B80, PersonaA!$O:$O) / PPY, 0))</f>
        <v>1651.7778769246422</v>
      </c>
      <c r="F80" s="5">
        <f>IF($A80="", "", IFERROR(SUMIF(PersonaB!$B:$B, $B80, PersonaB!$O:$O) / PPY, 0))</f>
        <v>666.03847144368649</v>
      </c>
      <c r="G80" s="5">
        <f t="shared" si="25"/>
        <v>3275.0478019474722</v>
      </c>
      <c r="H80" s="5">
        <f t="shared" si="26"/>
        <v>16375.239009737361</v>
      </c>
      <c r="I80" s="5">
        <f t="shared" si="19"/>
        <v>19650.286811684833</v>
      </c>
      <c r="J80" s="5">
        <f t="shared" si="20"/>
        <v>0</v>
      </c>
      <c r="K80" s="5">
        <f t="shared" si="27"/>
        <v>19650.286811684833</v>
      </c>
      <c r="L80" s="5">
        <f>IF($A80="", "", IFERROR(SUMIF(PersonaA!$B:$B, $B80, PersonaA!$P:$P) / PPY, 0))</f>
        <v>644.19337200061045</v>
      </c>
      <c r="M80" s="5">
        <f>IF($A80="", "", IFERROR(SUMIF(PersonaB!$B:$B, $B80, PersonaB!$P:$P) / PPY, 0))</f>
        <v>313.03808157853268</v>
      </c>
      <c r="N80" s="16">
        <f t="shared" si="24"/>
        <v>131.00191207789891</v>
      </c>
      <c r="O80" s="16">
        <f t="shared" si="28"/>
        <v>20419.700972780007</v>
      </c>
    </row>
    <row r="81" spans="1:15" x14ac:dyDescent="0.35">
      <c r="A81">
        <f t="shared" si="21"/>
        <v>79</v>
      </c>
      <c r="B81">
        <f t="shared" si="22"/>
        <v>2033</v>
      </c>
      <c r="C81">
        <f t="shared" si="16"/>
        <v>7</v>
      </c>
      <c r="D81" t="b">
        <f t="shared" si="23"/>
        <v>0</v>
      </c>
      <c r="E81" s="5">
        <f>IF($A81="", "", IFERROR(SUMIF(PersonaA!$B:$B, $B81, PersonaA!$O:$O) / PPY, 0))</f>
        <v>1651.7778769246422</v>
      </c>
      <c r="F81" s="5">
        <f>IF($A81="", "", IFERROR(SUMIF(PersonaB!$B:$B, $B81, PersonaB!$O:$O) / PPY, 0))</f>
        <v>666.03847144368649</v>
      </c>
      <c r="G81" s="5">
        <f t="shared" si="25"/>
        <v>3275.0478019474722</v>
      </c>
      <c r="H81" s="5">
        <f t="shared" si="26"/>
        <v>19650.286811684833</v>
      </c>
      <c r="I81" s="5">
        <f t="shared" si="19"/>
        <v>22925.334613632305</v>
      </c>
      <c r="J81" s="5">
        <f t="shared" si="20"/>
        <v>0</v>
      </c>
      <c r="K81" s="5">
        <f t="shared" si="27"/>
        <v>22925.334613632305</v>
      </c>
      <c r="L81" s="5">
        <f>IF($A81="", "", IFERROR(SUMIF(PersonaA!$B:$B, $B81, PersonaA!$P:$P) / PPY, 0))</f>
        <v>644.19337200061045</v>
      </c>
      <c r="M81" s="5">
        <f>IF($A81="", "", IFERROR(SUMIF(PersonaB!$B:$B, $B81, PersonaB!$P:$P) / PPY, 0))</f>
        <v>313.03808157853268</v>
      </c>
      <c r="N81" s="15">
        <f t="shared" si="24"/>
        <v>152.83556409088206</v>
      </c>
      <c r="O81" s="15">
        <f t="shared" si="28"/>
        <v>20572.536536870888</v>
      </c>
    </row>
    <row r="82" spans="1:15" x14ac:dyDescent="0.35">
      <c r="A82">
        <f t="shared" si="21"/>
        <v>80</v>
      </c>
      <c r="B82">
        <f t="shared" si="22"/>
        <v>2033</v>
      </c>
      <c r="C82">
        <f t="shared" si="16"/>
        <v>8</v>
      </c>
      <c r="D82" t="b">
        <f t="shared" si="23"/>
        <v>0</v>
      </c>
      <c r="E82" s="5">
        <f>IF($A82="", "", IFERROR(SUMIF(PersonaA!$B:$B, $B82, PersonaA!$O:$O) / PPY, 0))</f>
        <v>1651.7778769246422</v>
      </c>
      <c r="F82" s="5">
        <f>IF($A82="", "", IFERROR(SUMIF(PersonaB!$B:$B, $B82, PersonaB!$O:$O) / PPY, 0))</f>
        <v>666.03847144368649</v>
      </c>
      <c r="G82" s="5">
        <f t="shared" si="25"/>
        <v>3275.0478019474722</v>
      </c>
      <c r="H82" s="5">
        <f t="shared" si="26"/>
        <v>22925.334613632305</v>
      </c>
      <c r="I82" s="5">
        <f t="shared" si="19"/>
        <v>26200.382415579777</v>
      </c>
      <c r="J82" s="5">
        <f t="shared" si="20"/>
        <v>0</v>
      </c>
      <c r="K82" s="5">
        <f t="shared" si="27"/>
        <v>26200.382415579777</v>
      </c>
      <c r="L82" s="5">
        <f>IF($A82="", "", IFERROR(SUMIF(PersonaA!$B:$B, $B82, PersonaA!$P:$P) / PPY, 0))</f>
        <v>644.19337200061045</v>
      </c>
      <c r="M82" s="5">
        <f>IF($A82="", "", IFERROR(SUMIF(PersonaB!$B:$B, $B82, PersonaB!$P:$P) / PPY, 0))</f>
        <v>313.03808157853268</v>
      </c>
      <c r="N82" s="16">
        <f t="shared" si="24"/>
        <v>174.66921610386518</v>
      </c>
      <c r="O82" s="16">
        <f t="shared" si="28"/>
        <v>20747.205752974754</v>
      </c>
    </row>
    <row r="83" spans="1:15" x14ac:dyDescent="0.35">
      <c r="A83">
        <f t="shared" si="21"/>
        <v>81</v>
      </c>
      <c r="B83">
        <f t="shared" si="22"/>
        <v>2033</v>
      </c>
      <c r="C83">
        <f t="shared" si="16"/>
        <v>9</v>
      </c>
      <c r="D83" t="b">
        <f t="shared" si="23"/>
        <v>0</v>
      </c>
      <c r="E83" s="5">
        <f>IF($A83="", "", IFERROR(SUMIF(PersonaA!$B:$B, $B83, PersonaA!$O:$O) / PPY, 0))</f>
        <v>1651.7778769246422</v>
      </c>
      <c r="F83" s="5">
        <f>IF($A83="", "", IFERROR(SUMIF(PersonaB!$B:$B, $B83, PersonaB!$O:$O) / PPY, 0))</f>
        <v>666.03847144368649</v>
      </c>
      <c r="G83" s="5">
        <f t="shared" si="25"/>
        <v>3275.0478019474722</v>
      </c>
      <c r="H83" s="5">
        <f t="shared" si="26"/>
        <v>26200.382415579777</v>
      </c>
      <c r="I83" s="5">
        <f t="shared" si="19"/>
        <v>29475.43021752725</v>
      </c>
      <c r="J83" s="5">
        <f t="shared" si="20"/>
        <v>0</v>
      </c>
      <c r="K83" s="5">
        <f t="shared" si="27"/>
        <v>29475.43021752725</v>
      </c>
      <c r="L83" s="5">
        <f>IF($A83="", "", IFERROR(SUMIF(PersonaA!$B:$B, $B83, PersonaA!$P:$P) / PPY, 0))</f>
        <v>644.19337200061045</v>
      </c>
      <c r="M83" s="5">
        <f>IF($A83="", "", IFERROR(SUMIF(PersonaB!$B:$B, $B83, PersonaB!$P:$P) / PPY, 0))</f>
        <v>313.03808157853268</v>
      </c>
      <c r="N83" s="15">
        <f t="shared" si="24"/>
        <v>196.50286811684833</v>
      </c>
      <c r="O83" s="15">
        <f t="shared" si="28"/>
        <v>20943.708621091602</v>
      </c>
    </row>
    <row r="84" spans="1:15" x14ac:dyDescent="0.35">
      <c r="A84">
        <f t="shared" si="21"/>
        <v>82</v>
      </c>
      <c r="B84">
        <f t="shared" si="22"/>
        <v>2033</v>
      </c>
      <c r="C84">
        <f t="shared" si="16"/>
        <v>10</v>
      </c>
      <c r="D84" t="b">
        <f t="shared" si="23"/>
        <v>0</v>
      </c>
      <c r="E84" s="5">
        <f>IF($A84="", "", IFERROR(SUMIF(PersonaA!$B:$B, $B84, PersonaA!$O:$O) / PPY, 0))</f>
        <v>1651.7778769246422</v>
      </c>
      <c r="F84" s="5">
        <f>IF($A84="", "", IFERROR(SUMIF(PersonaB!$B:$B, $B84, PersonaB!$O:$O) / PPY, 0))</f>
        <v>666.03847144368649</v>
      </c>
      <c r="G84" s="5">
        <f t="shared" si="25"/>
        <v>3275.0478019474722</v>
      </c>
      <c r="H84" s="5">
        <f t="shared" si="26"/>
        <v>29475.43021752725</v>
      </c>
      <c r="I84" s="5">
        <f t="shared" si="19"/>
        <v>32750.478019474722</v>
      </c>
      <c r="J84" s="5">
        <f t="shared" si="20"/>
        <v>0</v>
      </c>
      <c r="K84" s="5">
        <f t="shared" si="27"/>
        <v>32750.478019474722</v>
      </c>
      <c r="L84" s="5">
        <f>IF($A84="", "", IFERROR(SUMIF(PersonaA!$B:$B, $B84, PersonaA!$P:$P) / PPY, 0))</f>
        <v>644.19337200061045</v>
      </c>
      <c r="M84" s="5">
        <f>IF($A84="", "", IFERROR(SUMIF(PersonaB!$B:$B, $B84, PersonaB!$P:$P) / PPY, 0))</f>
        <v>313.03808157853268</v>
      </c>
      <c r="N84" s="16">
        <f t="shared" si="24"/>
        <v>218.33652012983148</v>
      </c>
      <c r="O84" s="16">
        <f t="shared" si="28"/>
        <v>21162.045141221435</v>
      </c>
    </row>
    <row r="85" spans="1:15" x14ac:dyDescent="0.35">
      <c r="A85">
        <f t="shared" si="21"/>
        <v>83</v>
      </c>
      <c r="B85">
        <f t="shared" si="22"/>
        <v>2033</v>
      </c>
      <c r="C85">
        <f t="shared" si="16"/>
        <v>11</v>
      </c>
      <c r="D85" t="b">
        <f t="shared" si="23"/>
        <v>0</v>
      </c>
      <c r="E85" s="5">
        <f>IF($A85="", "", IFERROR(SUMIF(PersonaA!$B:$B, $B85, PersonaA!$O:$O) / PPY, 0))</f>
        <v>1651.7778769246422</v>
      </c>
      <c r="F85" s="5">
        <f>IF($A85="", "", IFERROR(SUMIF(PersonaB!$B:$B, $B85, PersonaB!$O:$O) / PPY, 0))</f>
        <v>666.03847144368649</v>
      </c>
      <c r="G85" s="5">
        <f t="shared" si="25"/>
        <v>3275.0478019474722</v>
      </c>
      <c r="H85" s="5">
        <f t="shared" si="26"/>
        <v>32750.478019474722</v>
      </c>
      <c r="I85" s="5">
        <f t="shared" si="19"/>
        <v>36025.525821422198</v>
      </c>
      <c r="J85" s="5">
        <f t="shared" si="20"/>
        <v>0</v>
      </c>
      <c r="K85" s="5">
        <f t="shared" si="27"/>
        <v>36025.525821422198</v>
      </c>
      <c r="L85" s="5">
        <f>IF($A85="", "", IFERROR(SUMIF(PersonaA!$B:$B, $B85, PersonaA!$P:$P) / PPY, 0))</f>
        <v>644.19337200061045</v>
      </c>
      <c r="M85" s="5">
        <f>IF($A85="", "", IFERROR(SUMIF(PersonaB!$B:$B, $B85, PersonaB!$P:$P) / PPY, 0))</f>
        <v>313.03808157853268</v>
      </c>
      <c r="N85" s="15">
        <f t="shared" si="24"/>
        <v>240.17017214281466</v>
      </c>
      <c r="O85" s="15">
        <f t="shared" si="28"/>
        <v>21402.21531336425</v>
      </c>
    </row>
    <row r="86" spans="1:15" x14ac:dyDescent="0.35">
      <c r="A86">
        <f t="shared" si="21"/>
        <v>84</v>
      </c>
      <c r="B86">
        <f t="shared" si="22"/>
        <v>2033</v>
      </c>
      <c r="C86">
        <f t="shared" si="16"/>
        <v>12</v>
      </c>
      <c r="D86" t="b">
        <f t="shared" si="23"/>
        <v>1</v>
      </c>
      <c r="E86" s="5">
        <f>IF($A86="", "", IFERROR(SUMIF(PersonaA!$B:$B, $B86, PersonaA!$O:$O) / PPY, 0))</f>
        <v>1651.7778769246422</v>
      </c>
      <c r="F86" s="5">
        <f>IF($A86="", "", IFERROR(SUMIF(PersonaB!$B:$B, $B86, PersonaB!$O:$O) / PPY, 0))</f>
        <v>666.03847144368649</v>
      </c>
      <c r="G86" s="5">
        <f t="shared" si="25"/>
        <v>3275.0478019474722</v>
      </c>
      <c r="H86" s="5">
        <f t="shared" si="26"/>
        <v>36025.525821422198</v>
      </c>
      <c r="I86" s="5">
        <f t="shared" si="19"/>
        <v>39300.573623369666</v>
      </c>
      <c r="J86" s="5">
        <f t="shared" si="20"/>
        <v>39300.573623369666</v>
      </c>
      <c r="K86" s="5">
        <f t="shared" si="27"/>
        <v>0</v>
      </c>
      <c r="L86" s="5">
        <f>IF($A86="", "", IFERROR(SUMIF(PersonaA!$B:$B, $B86, PersonaA!$P:$P) / PPY, 0))</f>
        <v>644.19337200061045</v>
      </c>
      <c r="M86" s="5">
        <f>IF($A86="", "", IFERROR(SUMIF(PersonaB!$B:$B, $B86, PersonaB!$P:$P) / PPY, 0))</f>
        <v>313.03808157853268</v>
      </c>
      <c r="N86" s="16">
        <f t="shared" si="24"/>
        <v>262.00382415579782</v>
      </c>
      <c r="O86" s="16">
        <f t="shared" si="28"/>
        <v>21664.219137520049</v>
      </c>
    </row>
    <row r="87" spans="1:15" x14ac:dyDescent="0.35">
      <c r="A87">
        <f t="shared" si="21"/>
        <v>85</v>
      </c>
      <c r="B87">
        <f t="shared" si="22"/>
        <v>2034</v>
      </c>
      <c r="C87">
        <f t="shared" si="16"/>
        <v>1</v>
      </c>
      <c r="D87" t="b">
        <f t="shared" si="23"/>
        <v>0</v>
      </c>
      <c r="E87" s="5">
        <f>IF($A87="", "", IFERROR(SUMIF(PersonaA!$B:$B, $B87, PersonaA!$O:$O) / PPY, 0))</f>
        <v>1609.7389905144253</v>
      </c>
      <c r="F87" s="5">
        <f>IF($A87="", "", IFERROR(SUMIF(PersonaB!$B:$B, $B87, PersonaB!$O:$O) / PPY, 0))</f>
        <v>599.35609989644581</v>
      </c>
      <c r="G87" s="5">
        <f t="shared" si="25"/>
        <v>3118.5906636628265</v>
      </c>
      <c r="H87" s="5">
        <f t="shared" si="26"/>
        <v>0</v>
      </c>
      <c r="I87" s="5">
        <f t="shared" si="19"/>
        <v>3118.5906636628265</v>
      </c>
      <c r="J87" s="5">
        <f t="shared" si="20"/>
        <v>0</v>
      </c>
      <c r="K87" s="5">
        <f t="shared" si="27"/>
        <v>3118.5906636628265</v>
      </c>
      <c r="L87" s="5">
        <f>IF($A87="", "", IFERROR(SUMIF(PersonaA!$B:$B, $B87, PersonaA!$P:$P) / PPY, 0))</f>
        <v>627.79820630062579</v>
      </c>
      <c r="M87" s="5">
        <f>IF($A87="", "", IFERROR(SUMIF(PersonaB!$B:$B, $B87, PersonaB!$P:$P) / PPY, 0))</f>
        <v>281.69736695132957</v>
      </c>
      <c r="N87" s="15">
        <f t="shared" si="24"/>
        <v>20.790604424418845</v>
      </c>
      <c r="O87" s="15">
        <f t="shared" si="28"/>
        <v>21685.009741944468</v>
      </c>
    </row>
    <row r="88" spans="1:15" x14ac:dyDescent="0.35">
      <c r="A88">
        <f t="shared" si="21"/>
        <v>86</v>
      </c>
      <c r="B88">
        <f t="shared" si="22"/>
        <v>2034</v>
      </c>
      <c r="C88">
        <f t="shared" si="16"/>
        <v>2</v>
      </c>
      <c r="D88" t="b">
        <f t="shared" si="23"/>
        <v>0</v>
      </c>
      <c r="E88" s="5">
        <f>IF($A88="", "", IFERROR(SUMIF(PersonaA!$B:$B, $B88, PersonaA!$O:$O) / PPY, 0))</f>
        <v>1609.7389905144253</v>
      </c>
      <c r="F88" s="5">
        <f>IF($A88="", "", IFERROR(SUMIF(PersonaB!$B:$B, $B88, PersonaB!$O:$O) / PPY, 0))</f>
        <v>599.35609989644581</v>
      </c>
      <c r="G88" s="5">
        <f t="shared" si="25"/>
        <v>3118.5906636628265</v>
      </c>
      <c r="H88" s="5">
        <f t="shared" si="26"/>
        <v>3118.5906636628265</v>
      </c>
      <c r="I88" s="5">
        <f t="shared" si="19"/>
        <v>6237.181327325653</v>
      </c>
      <c r="J88" s="5">
        <f t="shared" si="20"/>
        <v>0</v>
      </c>
      <c r="K88" s="5">
        <f t="shared" si="27"/>
        <v>6237.181327325653</v>
      </c>
      <c r="L88" s="5">
        <f>IF($A88="", "", IFERROR(SUMIF(PersonaA!$B:$B, $B88, PersonaA!$P:$P) / PPY, 0))</f>
        <v>627.79820630062579</v>
      </c>
      <c r="M88" s="5">
        <f>IF($A88="", "", IFERROR(SUMIF(PersonaB!$B:$B, $B88, PersonaB!$P:$P) / PPY, 0))</f>
        <v>281.69736695132957</v>
      </c>
      <c r="N88" s="16">
        <f t="shared" si="24"/>
        <v>41.58120884883769</v>
      </c>
      <c r="O88" s="16">
        <f t="shared" si="28"/>
        <v>21726.590950793307</v>
      </c>
    </row>
    <row r="89" spans="1:15" x14ac:dyDescent="0.35">
      <c r="A89">
        <f t="shared" si="21"/>
        <v>87</v>
      </c>
      <c r="B89">
        <f t="shared" si="22"/>
        <v>2034</v>
      </c>
      <c r="C89">
        <f t="shared" si="16"/>
        <v>3</v>
      </c>
      <c r="D89" t="b">
        <f t="shared" si="23"/>
        <v>0</v>
      </c>
      <c r="E89" s="5">
        <f>IF($A89="", "", IFERROR(SUMIF(PersonaA!$B:$B, $B89, PersonaA!$O:$O) / PPY, 0))</f>
        <v>1609.7389905144253</v>
      </c>
      <c r="F89" s="5">
        <f>IF($A89="", "", IFERROR(SUMIF(PersonaB!$B:$B, $B89, PersonaB!$O:$O) / PPY, 0))</f>
        <v>599.35609989644581</v>
      </c>
      <c r="G89" s="5">
        <f t="shared" si="25"/>
        <v>3118.5906636628265</v>
      </c>
      <c r="H89" s="5">
        <f t="shared" si="26"/>
        <v>6237.181327325653</v>
      </c>
      <c r="I89" s="5">
        <f t="shared" si="19"/>
        <v>9355.77199098848</v>
      </c>
      <c r="J89" s="5">
        <f t="shared" si="20"/>
        <v>0</v>
      </c>
      <c r="K89" s="5">
        <f t="shared" si="27"/>
        <v>9355.77199098848</v>
      </c>
      <c r="L89" s="5">
        <f>IF($A89="", "", IFERROR(SUMIF(PersonaA!$B:$B, $B89, PersonaA!$P:$P) / PPY, 0))</f>
        <v>627.79820630062579</v>
      </c>
      <c r="M89" s="5">
        <f>IF($A89="", "", IFERROR(SUMIF(PersonaB!$B:$B, $B89, PersonaB!$P:$P) / PPY, 0))</f>
        <v>281.69736695132957</v>
      </c>
      <c r="N89" s="15">
        <f t="shared" si="24"/>
        <v>62.371813273256535</v>
      </c>
      <c r="O89" s="15">
        <f t="shared" si="28"/>
        <v>21788.962764066564</v>
      </c>
    </row>
    <row r="90" spans="1:15" x14ac:dyDescent="0.35">
      <c r="A90">
        <f t="shared" si="21"/>
        <v>88</v>
      </c>
      <c r="B90">
        <f t="shared" si="22"/>
        <v>2034</v>
      </c>
      <c r="C90">
        <f t="shared" si="16"/>
        <v>4</v>
      </c>
      <c r="D90" t="b">
        <f t="shared" si="23"/>
        <v>0</v>
      </c>
      <c r="E90" s="5">
        <f>IF($A90="", "", IFERROR(SUMIF(PersonaA!$B:$B, $B90, PersonaA!$O:$O) / PPY, 0))</f>
        <v>1609.7389905144253</v>
      </c>
      <c r="F90" s="5">
        <f>IF($A90="", "", IFERROR(SUMIF(PersonaB!$B:$B, $B90, PersonaB!$O:$O) / PPY, 0))</f>
        <v>599.35609989644581</v>
      </c>
      <c r="G90" s="5">
        <f t="shared" si="25"/>
        <v>3118.5906636628265</v>
      </c>
      <c r="H90" s="5">
        <f t="shared" si="26"/>
        <v>9355.77199098848</v>
      </c>
      <c r="I90" s="5">
        <f t="shared" si="19"/>
        <v>12474.362654651306</v>
      </c>
      <c r="J90" s="5">
        <f t="shared" si="20"/>
        <v>0</v>
      </c>
      <c r="K90" s="5">
        <f t="shared" si="27"/>
        <v>12474.362654651306</v>
      </c>
      <c r="L90" s="5">
        <f>IF($A90="", "", IFERROR(SUMIF(PersonaA!$B:$B, $B90, PersonaA!$P:$P) / PPY, 0))</f>
        <v>627.79820630062579</v>
      </c>
      <c r="M90" s="5">
        <f>IF($A90="", "", IFERROR(SUMIF(PersonaB!$B:$B, $B90, PersonaB!$P:$P) / PPY, 0))</f>
        <v>281.69736695132957</v>
      </c>
      <c r="N90" s="16">
        <f t="shared" si="24"/>
        <v>83.16241769767538</v>
      </c>
      <c r="O90" s="16">
        <f t="shared" si="28"/>
        <v>21872.125181764241</v>
      </c>
    </row>
    <row r="91" spans="1:15" x14ac:dyDescent="0.35">
      <c r="A91">
        <f t="shared" si="21"/>
        <v>89</v>
      </c>
      <c r="B91">
        <f t="shared" si="22"/>
        <v>2034</v>
      </c>
      <c r="C91">
        <f t="shared" si="16"/>
        <v>5</v>
      </c>
      <c r="D91" t="b">
        <f t="shared" si="23"/>
        <v>0</v>
      </c>
      <c r="E91" s="5">
        <f>IF($A91="", "", IFERROR(SUMIF(PersonaA!$B:$B, $B91, PersonaA!$O:$O) / PPY, 0))</f>
        <v>1609.7389905144253</v>
      </c>
      <c r="F91" s="5">
        <f>IF($A91="", "", IFERROR(SUMIF(PersonaB!$B:$B, $B91, PersonaB!$O:$O) / PPY, 0))</f>
        <v>599.35609989644581</v>
      </c>
      <c r="G91" s="5">
        <f t="shared" si="25"/>
        <v>3118.5906636628265</v>
      </c>
      <c r="H91" s="5">
        <f t="shared" si="26"/>
        <v>12474.362654651306</v>
      </c>
      <c r="I91" s="5">
        <f t="shared" si="19"/>
        <v>15592.953318314132</v>
      </c>
      <c r="J91" s="5">
        <f t="shared" si="20"/>
        <v>0</v>
      </c>
      <c r="K91" s="5">
        <f t="shared" si="27"/>
        <v>15592.953318314132</v>
      </c>
      <c r="L91" s="5">
        <f>IF($A91="", "", IFERROR(SUMIF(PersonaA!$B:$B, $B91, PersonaA!$P:$P) / PPY, 0))</f>
        <v>627.79820630062579</v>
      </c>
      <c r="M91" s="5">
        <f>IF($A91="", "", IFERROR(SUMIF(PersonaB!$B:$B, $B91, PersonaB!$P:$P) / PPY, 0))</f>
        <v>281.69736695132957</v>
      </c>
      <c r="N91" s="15">
        <f t="shared" si="24"/>
        <v>103.95302212209423</v>
      </c>
      <c r="O91" s="15">
        <f t="shared" si="28"/>
        <v>21976.078203886336</v>
      </c>
    </row>
    <row r="92" spans="1:15" x14ac:dyDescent="0.35">
      <c r="A92">
        <f t="shared" si="21"/>
        <v>90</v>
      </c>
      <c r="B92">
        <f t="shared" si="22"/>
        <v>2034</v>
      </c>
      <c r="C92">
        <f t="shared" si="16"/>
        <v>6</v>
      </c>
      <c r="D92" t="b">
        <f t="shared" si="23"/>
        <v>0</v>
      </c>
      <c r="E92" s="5">
        <f>IF($A92="", "", IFERROR(SUMIF(PersonaA!$B:$B, $B92, PersonaA!$O:$O) / PPY, 0))</f>
        <v>1609.7389905144253</v>
      </c>
      <c r="F92" s="5">
        <f>IF($A92="", "", IFERROR(SUMIF(PersonaB!$B:$B, $B92, PersonaB!$O:$O) / PPY, 0))</f>
        <v>599.35609989644581</v>
      </c>
      <c r="G92" s="5">
        <f t="shared" si="25"/>
        <v>3118.5906636628265</v>
      </c>
      <c r="H92" s="5">
        <f t="shared" si="26"/>
        <v>15592.953318314132</v>
      </c>
      <c r="I92" s="5">
        <f t="shared" si="19"/>
        <v>18711.54398197696</v>
      </c>
      <c r="J92" s="5">
        <f t="shared" si="20"/>
        <v>0</v>
      </c>
      <c r="K92" s="5">
        <f t="shared" si="27"/>
        <v>18711.54398197696</v>
      </c>
      <c r="L92" s="5">
        <f>IF($A92="", "", IFERROR(SUMIF(PersonaA!$B:$B, $B92, PersonaA!$P:$P) / PPY, 0))</f>
        <v>627.79820630062579</v>
      </c>
      <c r="M92" s="5">
        <f>IF($A92="", "", IFERROR(SUMIF(PersonaB!$B:$B, $B92, PersonaB!$P:$P) / PPY, 0))</f>
        <v>281.69736695132957</v>
      </c>
      <c r="N92" s="16">
        <f t="shared" si="24"/>
        <v>124.74362654651307</v>
      </c>
      <c r="O92" s="16">
        <f t="shared" si="28"/>
        <v>22100.821830432851</v>
      </c>
    </row>
    <row r="93" spans="1:15" x14ac:dyDescent="0.35">
      <c r="A93">
        <f t="shared" si="21"/>
        <v>91</v>
      </c>
      <c r="B93">
        <f t="shared" si="22"/>
        <v>2034</v>
      </c>
      <c r="C93">
        <f t="shared" si="16"/>
        <v>7</v>
      </c>
      <c r="D93" t="b">
        <f t="shared" si="23"/>
        <v>0</v>
      </c>
      <c r="E93" s="5">
        <f>IF($A93="", "", IFERROR(SUMIF(PersonaA!$B:$B, $B93, PersonaA!$O:$O) / PPY, 0))</f>
        <v>1609.7389905144253</v>
      </c>
      <c r="F93" s="5">
        <f>IF($A93="", "", IFERROR(SUMIF(PersonaB!$B:$B, $B93, PersonaB!$O:$O) / PPY, 0))</f>
        <v>599.35609989644581</v>
      </c>
      <c r="G93" s="5">
        <f t="shared" si="25"/>
        <v>3118.5906636628265</v>
      </c>
      <c r="H93" s="5">
        <f t="shared" si="26"/>
        <v>18711.54398197696</v>
      </c>
      <c r="I93" s="5">
        <f t="shared" si="19"/>
        <v>21830.134645639788</v>
      </c>
      <c r="J93" s="5">
        <f t="shared" si="20"/>
        <v>0</v>
      </c>
      <c r="K93" s="5">
        <f t="shared" si="27"/>
        <v>21830.134645639788</v>
      </c>
      <c r="L93" s="5">
        <f>IF($A93="", "", IFERROR(SUMIF(PersonaA!$B:$B, $B93, PersonaA!$P:$P) / PPY, 0))</f>
        <v>627.79820630062579</v>
      </c>
      <c r="M93" s="5">
        <f>IF($A93="", "", IFERROR(SUMIF(PersonaB!$B:$B, $B93, PersonaB!$P:$P) / PPY, 0))</f>
        <v>281.69736695132957</v>
      </c>
      <c r="N93" s="15">
        <f t="shared" si="24"/>
        <v>145.53423097093193</v>
      </c>
      <c r="O93" s="15">
        <f t="shared" si="28"/>
        <v>22246.356061403781</v>
      </c>
    </row>
    <row r="94" spans="1:15" x14ac:dyDescent="0.35">
      <c r="A94">
        <f t="shared" si="21"/>
        <v>92</v>
      </c>
      <c r="B94">
        <f t="shared" si="22"/>
        <v>2034</v>
      </c>
      <c r="C94">
        <f t="shared" si="16"/>
        <v>8</v>
      </c>
      <c r="D94" t="b">
        <f t="shared" si="23"/>
        <v>0</v>
      </c>
      <c r="E94" s="5">
        <f>IF($A94="", "", IFERROR(SUMIF(PersonaA!$B:$B, $B94, PersonaA!$O:$O) / PPY, 0))</f>
        <v>1609.7389905144253</v>
      </c>
      <c r="F94" s="5">
        <f>IF($A94="", "", IFERROR(SUMIF(PersonaB!$B:$B, $B94, PersonaB!$O:$O) / PPY, 0))</f>
        <v>599.35609989644581</v>
      </c>
      <c r="G94" s="5">
        <f t="shared" si="25"/>
        <v>3118.5906636628265</v>
      </c>
      <c r="H94" s="5">
        <f t="shared" si="26"/>
        <v>21830.134645639788</v>
      </c>
      <c r="I94" s="5">
        <f t="shared" si="19"/>
        <v>24948.725309302616</v>
      </c>
      <c r="J94" s="5">
        <f t="shared" si="20"/>
        <v>0</v>
      </c>
      <c r="K94" s="5">
        <f t="shared" si="27"/>
        <v>24948.725309302616</v>
      </c>
      <c r="L94" s="5">
        <f>IF($A94="", "", IFERROR(SUMIF(PersonaA!$B:$B, $B94, PersonaA!$P:$P) / PPY, 0))</f>
        <v>627.79820630062579</v>
      </c>
      <c r="M94" s="5">
        <f>IF($A94="", "", IFERROR(SUMIF(PersonaB!$B:$B, $B94, PersonaB!$P:$P) / PPY, 0))</f>
        <v>281.69736695132957</v>
      </c>
      <c r="N94" s="16">
        <f t="shared" si="24"/>
        <v>166.32483539535079</v>
      </c>
      <c r="O94" s="16">
        <f t="shared" si="28"/>
        <v>22412.680896799131</v>
      </c>
    </row>
    <row r="95" spans="1:15" x14ac:dyDescent="0.35">
      <c r="A95">
        <f t="shared" si="21"/>
        <v>93</v>
      </c>
      <c r="B95">
        <f t="shared" si="22"/>
        <v>2034</v>
      </c>
      <c r="C95">
        <f t="shared" ref="C95:C122" si="29">IF(A95="", "",MOD(A95-1, PPY)+1)</f>
        <v>9</v>
      </c>
      <c r="D95" t="b">
        <f t="shared" si="23"/>
        <v>0</v>
      </c>
      <c r="E95" s="5">
        <f>IF($A95="", "", IFERROR(SUMIF(PersonaA!$B:$B, $B95, PersonaA!$O:$O) / PPY, 0))</f>
        <v>1609.7389905144253</v>
      </c>
      <c r="F95" s="5">
        <f>IF($A95="", "", IFERROR(SUMIF(PersonaB!$B:$B, $B95, PersonaB!$O:$O) / PPY, 0))</f>
        <v>599.35609989644581</v>
      </c>
      <c r="G95" s="5">
        <f t="shared" si="25"/>
        <v>3118.5906636628265</v>
      </c>
      <c r="H95" s="5">
        <f t="shared" si="26"/>
        <v>24948.725309302616</v>
      </c>
      <c r="I95" s="5">
        <f t="shared" si="19"/>
        <v>28067.315972965444</v>
      </c>
      <c r="J95" s="5">
        <f t="shared" si="20"/>
        <v>0</v>
      </c>
      <c r="K95" s="5">
        <f t="shared" si="27"/>
        <v>28067.315972965444</v>
      </c>
      <c r="L95" s="5">
        <f>IF($A95="", "", IFERROR(SUMIF(PersonaA!$B:$B, $B95, PersonaA!$P:$P) / PPY, 0))</f>
        <v>627.79820630062579</v>
      </c>
      <c r="M95" s="5">
        <f>IF($A95="", "", IFERROR(SUMIF(PersonaB!$B:$B, $B95, PersonaB!$P:$P) / PPY, 0))</f>
        <v>281.69736695132957</v>
      </c>
      <c r="N95" s="15">
        <f t="shared" si="24"/>
        <v>187.11543981976965</v>
      </c>
      <c r="O95" s="15">
        <f t="shared" si="28"/>
        <v>22599.7963366189</v>
      </c>
    </row>
    <row r="96" spans="1:15" x14ac:dyDescent="0.35">
      <c r="A96">
        <f t="shared" si="21"/>
        <v>94</v>
      </c>
      <c r="B96">
        <f t="shared" si="22"/>
        <v>2034</v>
      </c>
      <c r="C96">
        <f t="shared" si="29"/>
        <v>10</v>
      </c>
      <c r="D96" t="b">
        <f t="shared" si="23"/>
        <v>0</v>
      </c>
      <c r="E96" s="5">
        <f>IF($A96="", "", IFERROR(SUMIF(PersonaA!$B:$B, $B96, PersonaA!$O:$O) / PPY, 0))</f>
        <v>1609.7389905144253</v>
      </c>
      <c r="F96" s="5">
        <f>IF($A96="", "", IFERROR(SUMIF(PersonaB!$B:$B, $B96, PersonaB!$O:$O) / PPY, 0))</f>
        <v>599.35609989644581</v>
      </c>
      <c r="G96" s="5">
        <f t="shared" si="25"/>
        <v>3118.5906636628265</v>
      </c>
      <c r="H96" s="5">
        <f t="shared" si="26"/>
        <v>28067.315972965444</v>
      </c>
      <c r="I96" s="5">
        <f t="shared" si="19"/>
        <v>31185.906636628271</v>
      </c>
      <c r="J96" s="5">
        <f t="shared" si="20"/>
        <v>0</v>
      </c>
      <c r="K96" s="5">
        <f t="shared" si="27"/>
        <v>31185.906636628271</v>
      </c>
      <c r="L96" s="5">
        <f>IF($A96="", "", IFERROR(SUMIF(PersonaA!$B:$B, $B96, PersonaA!$P:$P) / PPY, 0))</f>
        <v>627.79820630062579</v>
      </c>
      <c r="M96" s="5">
        <f>IF($A96="", "", IFERROR(SUMIF(PersonaB!$B:$B, $B96, PersonaB!$P:$P) / PPY, 0))</f>
        <v>281.69736695132957</v>
      </c>
      <c r="N96" s="16">
        <f t="shared" si="24"/>
        <v>207.90604424418848</v>
      </c>
      <c r="O96" s="16">
        <f t="shared" si="28"/>
        <v>22807.702380863087</v>
      </c>
    </row>
    <row r="97" spans="1:15" x14ac:dyDescent="0.35">
      <c r="A97">
        <f t="shared" si="21"/>
        <v>95</v>
      </c>
      <c r="B97">
        <f t="shared" si="22"/>
        <v>2034</v>
      </c>
      <c r="C97">
        <f t="shared" si="29"/>
        <v>11</v>
      </c>
      <c r="D97" t="b">
        <f t="shared" si="23"/>
        <v>0</v>
      </c>
      <c r="E97" s="5">
        <f>IF($A97="", "", IFERROR(SUMIF(PersonaA!$B:$B, $B97, PersonaA!$O:$O) / PPY, 0))</f>
        <v>1609.7389905144253</v>
      </c>
      <c r="F97" s="5">
        <f>IF($A97="", "", IFERROR(SUMIF(PersonaB!$B:$B, $B97, PersonaB!$O:$O) / PPY, 0))</f>
        <v>599.35609989644581</v>
      </c>
      <c r="G97" s="5">
        <f t="shared" si="25"/>
        <v>3118.5906636628265</v>
      </c>
      <c r="H97" s="5">
        <f t="shared" si="26"/>
        <v>31185.906636628271</v>
      </c>
      <c r="I97" s="5">
        <f t="shared" ref="I97:I122" si="30">IF(A97="", "",H97+G97)</f>
        <v>34304.497300291099</v>
      </c>
      <c r="J97" s="5">
        <f t="shared" ref="J97:J122" si="31">IF(A97="", "",IF(D97,I97,0))</f>
        <v>0</v>
      </c>
      <c r="K97" s="5">
        <f t="shared" si="27"/>
        <v>34304.497300291099</v>
      </c>
      <c r="L97" s="5">
        <f>IF($A97="", "", IFERROR(SUMIF(PersonaA!$B:$B, $B97, PersonaA!$P:$P) / PPY, 0))</f>
        <v>627.79820630062579</v>
      </c>
      <c r="M97" s="5">
        <f>IF($A97="", "", IFERROR(SUMIF(PersonaB!$B:$B, $B97, PersonaB!$P:$P) / PPY, 0))</f>
        <v>281.69736695132957</v>
      </c>
      <c r="N97" s="15">
        <f t="shared" si="24"/>
        <v>228.69664866860734</v>
      </c>
      <c r="O97" s="15">
        <f t="shared" si="28"/>
        <v>23036.399029531694</v>
      </c>
    </row>
    <row r="98" spans="1:15" x14ac:dyDescent="0.35">
      <c r="A98">
        <f t="shared" si="21"/>
        <v>96</v>
      </c>
      <c r="B98">
        <f t="shared" si="22"/>
        <v>2034</v>
      </c>
      <c r="C98">
        <f t="shared" si="29"/>
        <v>12</v>
      </c>
      <c r="D98" t="b">
        <f t="shared" si="23"/>
        <v>1</v>
      </c>
      <c r="E98" s="5">
        <f>IF($A98="", "", IFERROR(SUMIF(PersonaA!$B:$B, $B98, PersonaA!$O:$O) / PPY, 0))</f>
        <v>1609.7389905144253</v>
      </c>
      <c r="F98" s="5">
        <f>IF($A98="", "", IFERROR(SUMIF(PersonaB!$B:$B, $B98, PersonaB!$O:$O) / PPY, 0))</f>
        <v>599.35609989644581</v>
      </c>
      <c r="G98" s="5">
        <f t="shared" si="25"/>
        <v>3118.5906636628265</v>
      </c>
      <c r="H98" s="5">
        <f t="shared" si="26"/>
        <v>34304.497300291099</v>
      </c>
      <c r="I98" s="5">
        <f t="shared" si="30"/>
        <v>37423.087963953927</v>
      </c>
      <c r="J98" s="5">
        <f t="shared" si="31"/>
        <v>37423.087963953927</v>
      </c>
      <c r="K98" s="5">
        <f t="shared" si="27"/>
        <v>0</v>
      </c>
      <c r="L98" s="5">
        <f>IF($A98="", "", IFERROR(SUMIF(PersonaA!$B:$B, $B98, PersonaA!$P:$P) / PPY, 0))</f>
        <v>627.79820630062579</v>
      </c>
      <c r="M98" s="5">
        <f>IF($A98="", "", IFERROR(SUMIF(PersonaB!$B:$B, $B98, PersonaB!$P:$P) / PPY, 0))</f>
        <v>281.69736695132957</v>
      </c>
      <c r="N98" s="16">
        <f t="shared" si="24"/>
        <v>249.4872530930262</v>
      </c>
      <c r="O98" s="16">
        <f t="shared" si="28"/>
        <v>23285.88628262472</v>
      </c>
    </row>
    <row r="99" spans="1:15" x14ac:dyDescent="0.35">
      <c r="A99">
        <f t="shared" ref="A99:A130" si="32">IF(ROW()-2 &lt;= TotalPeriodsOffset, ROW()-2, "")</f>
        <v>97</v>
      </c>
      <c r="B99">
        <f t="shared" ref="B99:B130" si="33">IF($A99="", "", YEAR(StartYear) + INT(($A99-1)/PPY))</f>
        <v>2035</v>
      </c>
      <c r="C99">
        <f t="shared" si="29"/>
        <v>1</v>
      </c>
      <c r="D99" t="b">
        <f t="shared" ref="D99:D130" si="34">IF(A99="", "",C99=PPY)</f>
        <v>0</v>
      </c>
      <c r="E99" s="5">
        <f>IF($A99="", "", IFERROR(SUMIF(PersonaA!$B:$B, $B99, PersonaA!$O:$O) / PPY, 0))</f>
        <v>1774.9824652772859</v>
      </c>
      <c r="F99" s="5">
        <f>IF($A99="", "", IFERROR(SUMIF(PersonaB!$B:$B, $B99, PersonaB!$O:$O) / PPY, 0))</f>
        <v>739.3400023938575</v>
      </c>
      <c r="G99" s="5">
        <f t="shared" si="25"/>
        <v>3554.0554302543978</v>
      </c>
      <c r="H99" s="5">
        <f t="shared" si="26"/>
        <v>0</v>
      </c>
      <c r="I99" s="5">
        <f t="shared" si="30"/>
        <v>3554.0554302543978</v>
      </c>
      <c r="J99" s="5">
        <f t="shared" si="31"/>
        <v>0</v>
      </c>
      <c r="K99" s="5">
        <f t="shared" si="27"/>
        <v>3554.0554302543978</v>
      </c>
      <c r="L99" s="5">
        <f>IF($A99="", "", IFERROR(SUMIF(PersonaA!$B:$B, $B99, PersonaA!$P:$P) / PPY, 0))</f>
        <v>692.24316145814146</v>
      </c>
      <c r="M99" s="5">
        <f>IF($A99="", "", IFERROR(SUMIF(PersonaB!$B:$B, $B99, PersonaB!$P:$P) / PPY, 0))</f>
        <v>347.48980112511305</v>
      </c>
      <c r="N99" s="15">
        <f t="shared" ref="N99:N130" si="35">IF($A99="", "", I99*(LoanRate/PPY))</f>
        <v>23.693702868362653</v>
      </c>
      <c r="O99" s="15">
        <f t="shared" si="28"/>
        <v>23309.579985493085</v>
      </c>
    </row>
    <row r="100" spans="1:15" x14ac:dyDescent="0.35">
      <c r="A100">
        <f t="shared" si="32"/>
        <v>98</v>
      </c>
      <c r="B100">
        <f t="shared" si="33"/>
        <v>2035</v>
      </c>
      <c r="C100">
        <f t="shared" si="29"/>
        <v>2</v>
      </c>
      <c r="D100" t="b">
        <f t="shared" si="34"/>
        <v>0</v>
      </c>
      <c r="E100" s="5">
        <f>IF($A100="", "", IFERROR(SUMIF(PersonaA!$B:$B, $B100, PersonaA!$O:$O) / PPY, 0))</f>
        <v>1774.9824652772859</v>
      </c>
      <c r="F100" s="5">
        <f>IF($A100="", "", IFERROR(SUMIF(PersonaB!$B:$B, $B100, PersonaB!$O:$O) / PPY, 0))</f>
        <v>739.3400023938575</v>
      </c>
      <c r="G100" s="5">
        <f t="shared" si="25"/>
        <v>3554.0554302543978</v>
      </c>
      <c r="H100" s="5">
        <f t="shared" si="26"/>
        <v>3554.0554302543978</v>
      </c>
      <c r="I100" s="5">
        <f t="shared" si="30"/>
        <v>7108.1108605087957</v>
      </c>
      <c r="J100" s="5">
        <f t="shared" si="31"/>
        <v>0</v>
      </c>
      <c r="K100" s="5">
        <f t="shared" si="27"/>
        <v>7108.1108605087957</v>
      </c>
      <c r="L100" s="5">
        <f>IF($A100="", "", IFERROR(SUMIF(PersonaA!$B:$B, $B100, PersonaA!$P:$P) / PPY, 0))</f>
        <v>692.24316145814146</v>
      </c>
      <c r="M100" s="5">
        <f>IF($A100="", "", IFERROR(SUMIF(PersonaB!$B:$B, $B100, PersonaB!$P:$P) / PPY, 0))</f>
        <v>347.48980112511305</v>
      </c>
      <c r="N100" s="16">
        <f t="shared" si="35"/>
        <v>47.387405736725306</v>
      </c>
      <c r="O100" s="16">
        <f t="shared" si="28"/>
        <v>23356.967391229809</v>
      </c>
    </row>
    <row r="101" spans="1:15" x14ac:dyDescent="0.35">
      <c r="A101">
        <f t="shared" si="32"/>
        <v>99</v>
      </c>
      <c r="B101">
        <f t="shared" si="33"/>
        <v>2035</v>
      </c>
      <c r="C101">
        <f t="shared" si="29"/>
        <v>3</v>
      </c>
      <c r="D101" t="b">
        <f t="shared" si="34"/>
        <v>0</v>
      </c>
      <c r="E101" s="5">
        <f>IF($A101="", "", IFERROR(SUMIF(PersonaA!$B:$B, $B101, PersonaA!$O:$O) / PPY, 0))</f>
        <v>1774.9824652772859</v>
      </c>
      <c r="F101" s="5">
        <f>IF($A101="", "", IFERROR(SUMIF(PersonaB!$B:$B, $B101, PersonaB!$O:$O) / PPY, 0))</f>
        <v>739.3400023938575</v>
      </c>
      <c r="G101" s="5">
        <f t="shared" si="25"/>
        <v>3554.0554302543978</v>
      </c>
      <c r="H101" s="5">
        <f t="shared" si="26"/>
        <v>7108.1108605087957</v>
      </c>
      <c r="I101" s="5">
        <f t="shared" si="30"/>
        <v>10662.166290763194</v>
      </c>
      <c r="J101" s="5">
        <f t="shared" si="31"/>
        <v>0</v>
      </c>
      <c r="K101" s="5">
        <f t="shared" si="27"/>
        <v>10662.166290763194</v>
      </c>
      <c r="L101" s="5">
        <f>IF($A101="", "", IFERROR(SUMIF(PersonaA!$B:$B, $B101, PersonaA!$P:$P) / PPY, 0))</f>
        <v>692.24316145814146</v>
      </c>
      <c r="M101" s="5">
        <f>IF($A101="", "", IFERROR(SUMIF(PersonaB!$B:$B, $B101, PersonaB!$P:$P) / PPY, 0))</f>
        <v>347.48980112511305</v>
      </c>
      <c r="N101" s="15">
        <f t="shared" si="35"/>
        <v>71.081108605087962</v>
      </c>
      <c r="O101" s="15">
        <f t="shared" si="28"/>
        <v>23428.048499834898</v>
      </c>
    </row>
    <row r="102" spans="1:15" x14ac:dyDescent="0.35">
      <c r="A102">
        <f t="shared" si="32"/>
        <v>100</v>
      </c>
      <c r="B102">
        <f t="shared" si="33"/>
        <v>2035</v>
      </c>
      <c r="C102">
        <f t="shared" si="29"/>
        <v>4</v>
      </c>
      <c r="D102" t="b">
        <f t="shared" si="34"/>
        <v>0</v>
      </c>
      <c r="E102" s="5">
        <f>IF($A102="", "", IFERROR(SUMIF(PersonaA!$B:$B, $B102, PersonaA!$O:$O) / PPY, 0))</f>
        <v>1774.9824652772859</v>
      </c>
      <c r="F102" s="5">
        <f>IF($A102="", "", IFERROR(SUMIF(PersonaB!$B:$B, $B102, PersonaB!$O:$O) / PPY, 0))</f>
        <v>739.3400023938575</v>
      </c>
      <c r="G102" s="5">
        <f t="shared" si="25"/>
        <v>3554.0554302543978</v>
      </c>
      <c r="H102" s="5">
        <f t="shared" si="26"/>
        <v>10662.166290763194</v>
      </c>
      <c r="I102" s="5">
        <f t="shared" si="30"/>
        <v>14216.221721017591</v>
      </c>
      <c r="J102" s="5">
        <f t="shared" si="31"/>
        <v>0</v>
      </c>
      <c r="K102" s="5">
        <f t="shared" si="27"/>
        <v>14216.221721017591</v>
      </c>
      <c r="L102" s="5">
        <f>IF($A102="", "", IFERROR(SUMIF(PersonaA!$B:$B, $B102, PersonaA!$P:$P) / PPY, 0))</f>
        <v>692.24316145814146</v>
      </c>
      <c r="M102" s="5">
        <f>IF($A102="", "", IFERROR(SUMIF(PersonaB!$B:$B, $B102, PersonaB!$P:$P) / PPY, 0))</f>
        <v>347.48980112511305</v>
      </c>
      <c r="N102" s="16">
        <f t="shared" si="35"/>
        <v>94.774811473450612</v>
      </c>
      <c r="O102" s="16">
        <f t="shared" si="28"/>
        <v>23522.823311308348</v>
      </c>
    </row>
    <row r="103" spans="1:15" x14ac:dyDescent="0.35">
      <c r="A103">
        <f t="shared" si="32"/>
        <v>101</v>
      </c>
      <c r="B103">
        <f t="shared" si="33"/>
        <v>2035</v>
      </c>
      <c r="C103">
        <f t="shared" si="29"/>
        <v>5</v>
      </c>
      <c r="D103" t="b">
        <f t="shared" si="34"/>
        <v>0</v>
      </c>
      <c r="E103" s="5">
        <f>IF($A103="", "", IFERROR(SUMIF(PersonaA!$B:$B, $B103, PersonaA!$O:$O) / PPY, 0))</f>
        <v>1774.9824652772859</v>
      </c>
      <c r="F103" s="5">
        <f>IF($A103="", "", IFERROR(SUMIF(PersonaB!$B:$B, $B103, PersonaB!$O:$O) / PPY, 0))</f>
        <v>739.3400023938575</v>
      </c>
      <c r="G103" s="5">
        <f t="shared" si="25"/>
        <v>3554.0554302543978</v>
      </c>
      <c r="H103" s="5">
        <f t="shared" si="26"/>
        <v>14216.221721017591</v>
      </c>
      <c r="I103" s="5">
        <f t="shared" si="30"/>
        <v>17770.277151271988</v>
      </c>
      <c r="J103" s="5">
        <f t="shared" si="31"/>
        <v>0</v>
      </c>
      <c r="K103" s="5">
        <f t="shared" si="27"/>
        <v>17770.277151271988</v>
      </c>
      <c r="L103" s="5">
        <f>IF($A103="", "", IFERROR(SUMIF(PersonaA!$B:$B, $B103, PersonaA!$P:$P) / PPY, 0))</f>
        <v>692.24316145814146</v>
      </c>
      <c r="M103" s="5">
        <f>IF($A103="", "", IFERROR(SUMIF(PersonaB!$B:$B, $B103, PersonaB!$P:$P) / PPY, 0))</f>
        <v>347.48980112511305</v>
      </c>
      <c r="N103" s="15">
        <f t="shared" si="35"/>
        <v>118.46851434181326</v>
      </c>
      <c r="O103" s="15">
        <f t="shared" si="28"/>
        <v>23641.291825650162</v>
      </c>
    </row>
    <row r="104" spans="1:15" x14ac:dyDescent="0.35">
      <c r="A104">
        <f t="shared" si="32"/>
        <v>102</v>
      </c>
      <c r="B104">
        <f t="shared" si="33"/>
        <v>2035</v>
      </c>
      <c r="C104">
        <f t="shared" si="29"/>
        <v>6</v>
      </c>
      <c r="D104" t="b">
        <f t="shared" si="34"/>
        <v>0</v>
      </c>
      <c r="E104" s="5">
        <f>IF($A104="", "", IFERROR(SUMIF(PersonaA!$B:$B, $B104, PersonaA!$O:$O) / PPY, 0))</f>
        <v>1774.9824652772859</v>
      </c>
      <c r="F104" s="5">
        <f>IF($A104="", "", IFERROR(SUMIF(PersonaB!$B:$B, $B104, PersonaB!$O:$O) / PPY, 0))</f>
        <v>739.3400023938575</v>
      </c>
      <c r="G104" s="5">
        <f t="shared" si="25"/>
        <v>3554.0554302543978</v>
      </c>
      <c r="H104" s="5">
        <f t="shared" si="26"/>
        <v>17770.277151271988</v>
      </c>
      <c r="I104" s="5">
        <f t="shared" si="30"/>
        <v>21324.332581526385</v>
      </c>
      <c r="J104" s="5">
        <f t="shared" si="31"/>
        <v>0</v>
      </c>
      <c r="K104" s="5">
        <f t="shared" si="27"/>
        <v>21324.332581526385</v>
      </c>
      <c r="L104" s="5">
        <f>IF($A104="", "", IFERROR(SUMIF(PersonaA!$B:$B, $B104, PersonaA!$P:$P) / PPY, 0))</f>
        <v>692.24316145814146</v>
      </c>
      <c r="M104" s="5">
        <f>IF($A104="", "", IFERROR(SUMIF(PersonaB!$B:$B, $B104, PersonaB!$P:$P) / PPY, 0))</f>
        <v>347.48980112511305</v>
      </c>
      <c r="N104" s="16">
        <f t="shared" si="35"/>
        <v>142.1622172101759</v>
      </c>
      <c r="O104" s="16">
        <f t="shared" si="28"/>
        <v>23783.454042860336</v>
      </c>
    </row>
    <row r="105" spans="1:15" x14ac:dyDescent="0.35">
      <c r="A105">
        <f t="shared" si="32"/>
        <v>103</v>
      </c>
      <c r="B105">
        <f t="shared" si="33"/>
        <v>2035</v>
      </c>
      <c r="C105">
        <f t="shared" si="29"/>
        <v>7</v>
      </c>
      <c r="D105" t="b">
        <f t="shared" si="34"/>
        <v>0</v>
      </c>
      <c r="E105" s="5">
        <f>IF($A105="", "", IFERROR(SUMIF(PersonaA!$B:$B, $B105, PersonaA!$O:$O) / PPY, 0))</f>
        <v>1774.9824652772859</v>
      </c>
      <c r="F105" s="5">
        <f>IF($A105="", "", IFERROR(SUMIF(PersonaB!$B:$B, $B105, PersonaB!$O:$O) / PPY, 0))</f>
        <v>739.3400023938575</v>
      </c>
      <c r="G105" s="5">
        <f t="shared" si="25"/>
        <v>3554.0554302543978</v>
      </c>
      <c r="H105" s="5">
        <f t="shared" si="26"/>
        <v>21324.332581526385</v>
      </c>
      <c r="I105" s="5">
        <f t="shared" si="30"/>
        <v>24878.388011780782</v>
      </c>
      <c r="J105" s="5">
        <f t="shared" si="31"/>
        <v>0</v>
      </c>
      <c r="K105" s="5">
        <f t="shared" si="27"/>
        <v>24878.388011780782</v>
      </c>
      <c r="L105" s="5">
        <f>IF($A105="", "", IFERROR(SUMIF(PersonaA!$B:$B, $B105, PersonaA!$P:$P) / PPY, 0))</f>
        <v>692.24316145814146</v>
      </c>
      <c r="M105" s="5">
        <f>IF($A105="", "", IFERROR(SUMIF(PersonaB!$B:$B, $B105, PersonaB!$P:$P) / PPY, 0))</f>
        <v>347.48980112511305</v>
      </c>
      <c r="N105" s="15">
        <f t="shared" si="35"/>
        <v>165.85592007853856</v>
      </c>
      <c r="O105" s="15">
        <f t="shared" si="28"/>
        <v>23949.309962938874</v>
      </c>
    </row>
    <row r="106" spans="1:15" x14ac:dyDescent="0.35">
      <c r="A106">
        <f t="shared" si="32"/>
        <v>104</v>
      </c>
      <c r="B106">
        <f t="shared" si="33"/>
        <v>2035</v>
      </c>
      <c r="C106">
        <f t="shared" si="29"/>
        <v>8</v>
      </c>
      <c r="D106" t="b">
        <f t="shared" si="34"/>
        <v>0</v>
      </c>
      <c r="E106" s="5">
        <f>IF($A106="", "", IFERROR(SUMIF(PersonaA!$B:$B, $B106, PersonaA!$O:$O) / PPY, 0))</f>
        <v>1774.9824652772859</v>
      </c>
      <c r="F106" s="5">
        <f>IF($A106="", "", IFERROR(SUMIF(PersonaB!$B:$B, $B106, PersonaB!$O:$O) / PPY, 0))</f>
        <v>739.3400023938575</v>
      </c>
      <c r="G106" s="5">
        <f t="shared" si="25"/>
        <v>3554.0554302543978</v>
      </c>
      <c r="H106" s="5">
        <f t="shared" si="26"/>
        <v>24878.388011780782</v>
      </c>
      <c r="I106" s="5">
        <f t="shared" si="30"/>
        <v>28432.443442035179</v>
      </c>
      <c r="J106" s="5">
        <f t="shared" si="31"/>
        <v>0</v>
      </c>
      <c r="K106" s="5">
        <f t="shared" si="27"/>
        <v>28432.443442035179</v>
      </c>
      <c r="L106" s="5">
        <f>IF($A106="", "", IFERROR(SUMIF(PersonaA!$B:$B, $B106, PersonaA!$P:$P) / PPY, 0))</f>
        <v>692.24316145814146</v>
      </c>
      <c r="M106" s="5">
        <f>IF($A106="", "", IFERROR(SUMIF(PersonaB!$B:$B, $B106, PersonaB!$P:$P) / PPY, 0))</f>
        <v>347.48980112511305</v>
      </c>
      <c r="N106" s="16">
        <f t="shared" si="35"/>
        <v>189.5496229469012</v>
      </c>
      <c r="O106" s="16">
        <f t="shared" si="28"/>
        <v>24138.859585885777</v>
      </c>
    </row>
    <row r="107" spans="1:15" x14ac:dyDescent="0.35">
      <c r="A107">
        <f t="shared" si="32"/>
        <v>105</v>
      </c>
      <c r="B107">
        <f t="shared" si="33"/>
        <v>2035</v>
      </c>
      <c r="C107">
        <f t="shared" si="29"/>
        <v>9</v>
      </c>
      <c r="D107" t="b">
        <f t="shared" si="34"/>
        <v>0</v>
      </c>
      <c r="E107" s="5">
        <f>IF($A107="", "", IFERROR(SUMIF(PersonaA!$B:$B, $B107, PersonaA!$O:$O) / PPY, 0))</f>
        <v>1774.9824652772859</v>
      </c>
      <c r="F107" s="5">
        <f>IF($A107="", "", IFERROR(SUMIF(PersonaB!$B:$B, $B107, PersonaB!$O:$O) / PPY, 0))</f>
        <v>739.3400023938575</v>
      </c>
      <c r="G107" s="5">
        <f t="shared" si="25"/>
        <v>3554.0554302543978</v>
      </c>
      <c r="H107" s="5">
        <f t="shared" si="26"/>
        <v>28432.443442035179</v>
      </c>
      <c r="I107" s="5">
        <f t="shared" si="30"/>
        <v>31986.498872289576</v>
      </c>
      <c r="J107" s="5">
        <f t="shared" si="31"/>
        <v>0</v>
      </c>
      <c r="K107" s="5">
        <f t="shared" si="27"/>
        <v>31986.498872289576</v>
      </c>
      <c r="L107" s="5">
        <f>IF($A107="", "", IFERROR(SUMIF(PersonaA!$B:$B, $B107, PersonaA!$P:$P) / PPY, 0))</f>
        <v>692.24316145814146</v>
      </c>
      <c r="M107" s="5">
        <f>IF($A107="", "", IFERROR(SUMIF(PersonaB!$B:$B, $B107, PersonaB!$P:$P) / PPY, 0))</f>
        <v>347.48980112511305</v>
      </c>
      <c r="N107" s="15">
        <f t="shared" si="35"/>
        <v>213.24332581526386</v>
      </c>
      <c r="O107" s="15">
        <f t="shared" si="28"/>
        <v>24352.10291170104</v>
      </c>
    </row>
    <row r="108" spans="1:15" x14ac:dyDescent="0.35">
      <c r="A108">
        <f t="shared" si="32"/>
        <v>106</v>
      </c>
      <c r="B108">
        <f t="shared" si="33"/>
        <v>2035</v>
      </c>
      <c r="C108">
        <f t="shared" si="29"/>
        <v>10</v>
      </c>
      <c r="D108" t="b">
        <f t="shared" si="34"/>
        <v>0</v>
      </c>
      <c r="E108" s="5">
        <f>IF($A108="", "", IFERROR(SUMIF(PersonaA!$B:$B, $B108, PersonaA!$O:$O) / PPY, 0))</f>
        <v>1774.9824652772859</v>
      </c>
      <c r="F108" s="5">
        <f>IF($A108="", "", IFERROR(SUMIF(PersonaB!$B:$B, $B108, PersonaB!$O:$O) / PPY, 0))</f>
        <v>739.3400023938575</v>
      </c>
      <c r="G108" s="5">
        <f t="shared" si="25"/>
        <v>3554.0554302543978</v>
      </c>
      <c r="H108" s="5">
        <f t="shared" si="26"/>
        <v>31986.498872289576</v>
      </c>
      <c r="I108" s="5">
        <f t="shared" si="30"/>
        <v>35540.554302543977</v>
      </c>
      <c r="J108" s="5">
        <f t="shared" si="31"/>
        <v>0</v>
      </c>
      <c r="K108" s="5">
        <f t="shared" si="27"/>
        <v>35540.554302543977</v>
      </c>
      <c r="L108" s="5">
        <f>IF($A108="", "", IFERROR(SUMIF(PersonaA!$B:$B, $B108, PersonaA!$P:$P) / PPY, 0))</f>
        <v>692.24316145814146</v>
      </c>
      <c r="M108" s="5">
        <f>IF($A108="", "", IFERROR(SUMIF(PersonaB!$B:$B, $B108, PersonaB!$P:$P) / PPY, 0))</f>
        <v>347.48980112511305</v>
      </c>
      <c r="N108" s="16">
        <f t="shared" si="35"/>
        <v>236.93702868362652</v>
      </c>
      <c r="O108" s="16">
        <f t="shared" si="28"/>
        <v>24589.039940384668</v>
      </c>
    </row>
    <row r="109" spans="1:15" x14ac:dyDescent="0.35">
      <c r="A109">
        <f t="shared" si="32"/>
        <v>107</v>
      </c>
      <c r="B109">
        <f t="shared" si="33"/>
        <v>2035</v>
      </c>
      <c r="C109">
        <f t="shared" si="29"/>
        <v>11</v>
      </c>
      <c r="D109" t="b">
        <f t="shared" si="34"/>
        <v>0</v>
      </c>
      <c r="E109" s="5">
        <f>IF($A109="", "", IFERROR(SUMIF(PersonaA!$B:$B, $B109, PersonaA!$O:$O) / PPY, 0))</f>
        <v>1774.9824652772859</v>
      </c>
      <c r="F109" s="5">
        <f>IF($A109="", "", IFERROR(SUMIF(PersonaB!$B:$B, $B109, PersonaB!$O:$O) / PPY, 0))</f>
        <v>739.3400023938575</v>
      </c>
      <c r="G109" s="5">
        <f t="shared" si="25"/>
        <v>3554.0554302543978</v>
      </c>
      <c r="H109" s="5">
        <f t="shared" si="26"/>
        <v>35540.554302543977</v>
      </c>
      <c r="I109" s="5">
        <f t="shared" si="30"/>
        <v>39094.609732798373</v>
      </c>
      <c r="J109" s="5">
        <f t="shared" si="31"/>
        <v>0</v>
      </c>
      <c r="K109" s="5">
        <f t="shared" si="27"/>
        <v>39094.609732798373</v>
      </c>
      <c r="L109" s="5">
        <f>IF($A109="", "", IFERROR(SUMIF(PersonaA!$B:$B, $B109, PersonaA!$P:$P) / PPY, 0))</f>
        <v>692.24316145814146</v>
      </c>
      <c r="M109" s="5">
        <f>IF($A109="", "", IFERROR(SUMIF(PersonaB!$B:$B, $B109, PersonaB!$P:$P) / PPY, 0))</f>
        <v>347.48980112511305</v>
      </c>
      <c r="N109" s="15">
        <f t="shared" si="35"/>
        <v>260.63073155198919</v>
      </c>
      <c r="O109" s="15">
        <f t="shared" si="28"/>
        <v>24849.670671936656</v>
      </c>
    </row>
    <row r="110" spans="1:15" x14ac:dyDescent="0.35">
      <c r="A110">
        <f t="shared" si="32"/>
        <v>108</v>
      </c>
      <c r="B110">
        <f t="shared" si="33"/>
        <v>2035</v>
      </c>
      <c r="C110">
        <f t="shared" si="29"/>
        <v>12</v>
      </c>
      <c r="D110" t="b">
        <f t="shared" si="34"/>
        <v>1</v>
      </c>
      <c r="E110" s="5">
        <f>IF($A110="", "", IFERROR(SUMIF(PersonaA!$B:$B, $B110, PersonaA!$O:$O) / PPY, 0))</f>
        <v>1774.9824652772859</v>
      </c>
      <c r="F110" s="5">
        <f>IF($A110="", "", IFERROR(SUMIF(PersonaB!$B:$B, $B110, PersonaB!$O:$O) / PPY, 0))</f>
        <v>739.3400023938575</v>
      </c>
      <c r="G110" s="5">
        <f t="shared" si="25"/>
        <v>3554.0554302543978</v>
      </c>
      <c r="H110" s="5">
        <f t="shared" si="26"/>
        <v>39094.609732798373</v>
      </c>
      <c r="I110" s="5">
        <f t="shared" si="30"/>
        <v>42648.66516305277</v>
      </c>
      <c r="J110" s="5">
        <f t="shared" si="31"/>
        <v>42648.66516305277</v>
      </c>
      <c r="K110" s="5">
        <f t="shared" si="27"/>
        <v>0</v>
      </c>
      <c r="L110" s="5">
        <f>IF($A110="", "", IFERROR(SUMIF(PersonaA!$B:$B, $B110, PersonaA!$P:$P) / PPY, 0))</f>
        <v>692.24316145814146</v>
      </c>
      <c r="M110" s="5">
        <f>IF($A110="", "", IFERROR(SUMIF(PersonaB!$B:$B, $B110, PersonaB!$P:$P) / PPY, 0))</f>
        <v>347.48980112511305</v>
      </c>
      <c r="N110" s="16">
        <f t="shared" si="35"/>
        <v>284.32443442035179</v>
      </c>
      <c r="O110" s="16">
        <f t="shared" si="28"/>
        <v>25133.995106357008</v>
      </c>
    </row>
    <row r="111" spans="1:15" x14ac:dyDescent="0.35">
      <c r="A111">
        <f t="shared" si="32"/>
        <v>109</v>
      </c>
      <c r="B111">
        <f t="shared" si="33"/>
        <v>2036</v>
      </c>
      <c r="C111">
        <f t="shared" si="29"/>
        <v>1</v>
      </c>
      <c r="D111" t="b">
        <f t="shared" si="34"/>
        <v>0</v>
      </c>
      <c r="E111" s="5">
        <f>IF($A111="", "", IFERROR(SUMIF(PersonaA!$B:$B, $B111, PersonaA!$O:$O) / PPY, 0))</f>
        <v>1730.8153602425516</v>
      </c>
      <c r="F111" s="5">
        <f>IF($A111="", "", IFERROR(SUMIF(PersonaB!$B:$B, $B111, PersonaB!$O:$O) / PPY, 0))</f>
        <v>669.28183578703772</v>
      </c>
      <c r="G111" s="5">
        <f t="shared" si="25"/>
        <v>3389.6776493440921</v>
      </c>
      <c r="H111" s="5">
        <f t="shared" si="26"/>
        <v>0</v>
      </c>
      <c r="I111" s="5">
        <f t="shared" si="30"/>
        <v>3389.6776493440921</v>
      </c>
      <c r="J111" s="5">
        <f t="shared" si="31"/>
        <v>0</v>
      </c>
      <c r="K111" s="5">
        <f t="shared" si="27"/>
        <v>3389.6776493440921</v>
      </c>
      <c r="L111" s="5">
        <f>IF($A111="", "", IFERROR(SUMIF(PersonaA!$B:$B, $B111, PersonaA!$P:$P) / PPY, 0))</f>
        <v>675.0179904945951</v>
      </c>
      <c r="M111" s="5">
        <f>IF($A111="", "", IFERROR(SUMIF(PersonaB!$B:$B, $B111, PersonaB!$P:$P) / PPY, 0))</f>
        <v>314.56246281990769</v>
      </c>
      <c r="N111" s="15">
        <f t="shared" si="35"/>
        <v>22.597850995627283</v>
      </c>
      <c r="O111" s="15">
        <f t="shared" si="28"/>
        <v>25156.592957352634</v>
      </c>
    </row>
    <row r="112" spans="1:15" x14ac:dyDescent="0.35">
      <c r="A112">
        <f t="shared" si="32"/>
        <v>110</v>
      </c>
      <c r="B112">
        <f t="shared" si="33"/>
        <v>2036</v>
      </c>
      <c r="C112">
        <f t="shared" si="29"/>
        <v>2</v>
      </c>
      <c r="D112" t="b">
        <f t="shared" si="34"/>
        <v>0</v>
      </c>
      <c r="E112" s="5">
        <f>IF($A112="", "", IFERROR(SUMIF(PersonaA!$B:$B, $B112, PersonaA!$O:$O) / PPY, 0))</f>
        <v>1730.8153602425516</v>
      </c>
      <c r="F112" s="5">
        <f>IF($A112="", "", IFERROR(SUMIF(PersonaB!$B:$B, $B112, PersonaB!$O:$O) / PPY, 0))</f>
        <v>669.28183578703772</v>
      </c>
      <c r="G112" s="5">
        <f t="shared" si="25"/>
        <v>3389.6776493440921</v>
      </c>
      <c r="H112" s="5">
        <f t="shared" si="26"/>
        <v>3389.6776493440921</v>
      </c>
      <c r="I112" s="5">
        <f t="shared" si="30"/>
        <v>6779.3552986881841</v>
      </c>
      <c r="J112" s="5">
        <f t="shared" si="31"/>
        <v>0</v>
      </c>
      <c r="K112" s="5">
        <f t="shared" si="27"/>
        <v>6779.3552986881841</v>
      </c>
      <c r="L112" s="5">
        <f>IF($A112="", "", IFERROR(SUMIF(PersonaA!$B:$B, $B112, PersonaA!$P:$P) / PPY, 0))</f>
        <v>675.0179904945951</v>
      </c>
      <c r="M112" s="5">
        <f>IF($A112="", "", IFERROR(SUMIF(PersonaB!$B:$B, $B112, PersonaB!$P:$P) / PPY, 0))</f>
        <v>314.56246281990769</v>
      </c>
      <c r="N112" s="16">
        <f t="shared" si="35"/>
        <v>45.195701991254566</v>
      </c>
      <c r="O112" s="16">
        <f t="shared" si="28"/>
        <v>25201.788659343889</v>
      </c>
    </row>
    <row r="113" spans="1:15" x14ac:dyDescent="0.35">
      <c r="A113">
        <f t="shared" si="32"/>
        <v>111</v>
      </c>
      <c r="B113">
        <f t="shared" si="33"/>
        <v>2036</v>
      </c>
      <c r="C113">
        <f t="shared" si="29"/>
        <v>3</v>
      </c>
      <c r="D113" t="b">
        <f t="shared" si="34"/>
        <v>0</v>
      </c>
      <c r="E113" s="5">
        <f>IF($A113="", "", IFERROR(SUMIF(PersonaA!$B:$B, $B113, PersonaA!$O:$O) / PPY, 0))</f>
        <v>1730.8153602425516</v>
      </c>
      <c r="F113" s="5">
        <f>IF($A113="", "", IFERROR(SUMIF(PersonaB!$B:$B, $B113, PersonaB!$O:$O) / PPY, 0))</f>
        <v>669.28183578703772</v>
      </c>
      <c r="G113" s="5">
        <f t="shared" si="25"/>
        <v>3389.6776493440921</v>
      </c>
      <c r="H113" s="5">
        <f t="shared" si="26"/>
        <v>6779.3552986881841</v>
      </c>
      <c r="I113" s="5">
        <f t="shared" si="30"/>
        <v>10169.032948032276</v>
      </c>
      <c r="J113" s="5">
        <f t="shared" si="31"/>
        <v>0</v>
      </c>
      <c r="K113" s="5">
        <f t="shared" si="27"/>
        <v>10169.032948032276</v>
      </c>
      <c r="L113" s="5">
        <f>IF($A113="", "", IFERROR(SUMIF(PersonaA!$B:$B, $B113, PersonaA!$P:$P) / PPY, 0))</f>
        <v>675.0179904945951</v>
      </c>
      <c r="M113" s="5">
        <f>IF($A113="", "", IFERROR(SUMIF(PersonaB!$B:$B, $B113, PersonaB!$P:$P) / PPY, 0))</f>
        <v>314.56246281990769</v>
      </c>
      <c r="N113" s="15">
        <f t="shared" si="35"/>
        <v>67.793552986881849</v>
      </c>
      <c r="O113" s="15">
        <f t="shared" si="28"/>
        <v>25269.58221233077</v>
      </c>
    </row>
    <row r="114" spans="1:15" x14ac:dyDescent="0.35">
      <c r="A114">
        <f t="shared" si="32"/>
        <v>112</v>
      </c>
      <c r="B114">
        <f t="shared" si="33"/>
        <v>2036</v>
      </c>
      <c r="C114">
        <f t="shared" si="29"/>
        <v>4</v>
      </c>
      <c r="D114" t="b">
        <f t="shared" si="34"/>
        <v>0</v>
      </c>
      <c r="E114" s="5">
        <f>IF($A114="", "", IFERROR(SUMIF(PersonaA!$B:$B, $B114, PersonaA!$O:$O) / PPY, 0))</f>
        <v>1730.8153602425516</v>
      </c>
      <c r="F114" s="5">
        <f>IF($A114="", "", IFERROR(SUMIF(PersonaB!$B:$B, $B114, PersonaB!$O:$O) / PPY, 0))</f>
        <v>669.28183578703772</v>
      </c>
      <c r="G114" s="5">
        <f t="shared" si="25"/>
        <v>3389.6776493440921</v>
      </c>
      <c r="H114" s="5">
        <f t="shared" si="26"/>
        <v>10169.032948032276</v>
      </c>
      <c r="I114" s="5">
        <f t="shared" si="30"/>
        <v>13558.710597376368</v>
      </c>
      <c r="J114" s="5">
        <f t="shared" si="31"/>
        <v>0</v>
      </c>
      <c r="K114" s="5">
        <f t="shared" si="27"/>
        <v>13558.710597376368</v>
      </c>
      <c r="L114" s="5">
        <f>IF($A114="", "", IFERROR(SUMIF(PersonaA!$B:$B, $B114, PersonaA!$P:$P) / PPY, 0))</f>
        <v>675.0179904945951</v>
      </c>
      <c r="M114" s="5">
        <f>IF($A114="", "", IFERROR(SUMIF(PersonaB!$B:$B, $B114, PersonaB!$P:$P) / PPY, 0))</f>
        <v>314.56246281990769</v>
      </c>
      <c r="N114" s="16">
        <f t="shared" si="35"/>
        <v>90.391403982509132</v>
      </c>
      <c r="O114" s="16">
        <f t="shared" si="28"/>
        <v>25359.97361631328</v>
      </c>
    </row>
    <row r="115" spans="1:15" x14ac:dyDescent="0.35">
      <c r="A115">
        <f t="shared" si="32"/>
        <v>113</v>
      </c>
      <c r="B115">
        <f t="shared" si="33"/>
        <v>2036</v>
      </c>
      <c r="C115">
        <f t="shared" si="29"/>
        <v>5</v>
      </c>
      <c r="D115" t="b">
        <f t="shared" si="34"/>
        <v>0</v>
      </c>
      <c r="E115" s="5">
        <f>IF($A115="", "", IFERROR(SUMIF(PersonaA!$B:$B, $B115, PersonaA!$O:$O) / PPY, 0))</f>
        <v>1730.8153602425516</v>
      </c>
      <c r="F115" s="5">
        <f>IF($A115="", "", IFERROR(SUMIF(PersonaB!$B:$B, $B115, PersonaB!$O:$O) / PPY, 0))</f>
        <v>669.28183578703772</v>
      </c>
      <c r="G115" s="5">
        <f t="shared" si="25"/>
        <v>3389.6776493440921</v>
      </c>
      <c r="H115" s="5">
        <f t="shared" si="26"/>
        <v>13558.710597376368</v>
      </c>
      <c r="I115" s="5">
        <f t="shared" si="30"/>
        <v>16948.38824672046</v>
      </c>
      <c r="J115" s="5">
        <f t="shared" si="31"/>
        <v>0</v>
      </c>
      <c r="K115" s="5">
        <f t="shared" si="27"/>
        <v>16948.38824672046</v>
      </c>
      <c r="L115" s="5">
        <f>IF($A115="", "", IFERROR(SUMIF(PersonaA!$B:$B, $B115, PersonaA!$P:$P) / PPY, 0))</f>
        <v>675.0179904945951</v>
      </c>
      <c r="M115" s="5">
        <f>IF($A115="", "", IFERROR(SUMIF(PersonaB!$B:$B, $B115, PersonaB!$P:$P) / PPY, 0))</f>
        <v>314.56246281990769</v>
      </c>
      <c r="N115" s="15">
        <f t="shared" si="35"/>
        <v>112.98925497813642</v>
      </c>
      <c r="O115" s="15">
        <f t="shared" si="28"/>
        <v>25472.962871291416</v>
      </c>
    </row>
    <row r="116" spans="1:15" x14ac:dyDescent="0.35">
      <c r="A116">
        <f t="shared" si="32"/>
        <v>114</v>
      </c>
      <c r="B116">
        <f t="shared" si="33"/>
        <v>2036</v>
      </c>
      <c r="C116">
        <f t="shared" si="29"/>
        <v>6</v>
      </c>
      <c r="D116" t="b">
        <f t="shared" si="34"/>
        <v>0</v>
      </c>
      <c r="E116" s="5">
        <f>IF($A116="", "", IFERROR(SUMIF(PersonaA!$B:$B, $B116, PersonaA!$O:$O) / PPY, 0))</f>
        <v>1730.8153602425516</v>
      </c>
      <c r="F116" s="5">
        <f>IF($A116="", "", IFERROR(SUMIF(PersonaB!$B:$B, $B116, PersonaB!$O:$O) / PPY, 0))</f>
        <v>669.28183578703772</v>
      </c>
      <c r="G116" s="5">
        <f t="shared" si="25"/>
        <v>3389.6776493440921</v>
      </c>
      <c r="H116" s="5">
        <f t="shared" si="26"/>
        <v>16948.38824672046</v>
      </c>
      <c r="I116" s="5">
        <f t="shared" si="30"/>
        <v>20338.065896064552</v>
      </c>
      <c r="J116" s="5">
        <f t="shared" si="31"/>
        <v>0</v>
      </c>
      <c r="K116" s="5">
        <f t="shared" si="27"/>
        <v>20338.065896064552</v>
      </c>
      <c r="L116" s="5">
        <f>IF($A116="", "", IFERROR(SUMIF(PersonaA!$B:$B, $B116, PersonaA!$P:$P) / PPY, 0))</f>
        <v>675.0179904945951</v>
      </c>
      <c r="M116" s="5">
        <f>IF($A116="", "", IFERROR(SUMIF(PersonaB!$B:$B, $B116, PersonaB!$P:$P) / PPY, 0))</f>
        <v>314.56246281990769</v>
      </c>
      <c r="N116" s="16">
        <f t="shared" si="35"/>
        <v>135.5871059737637</v>
      </c>
      <c r="O116" s="16">
        <f t="shared" si="28"/>
        <v>25608.549977265178</v>
      </c>
    </row>
    <row r="117" spans="1:15" x14ac:dyDescent="0.35">
      <c r="A117">
        <f t="shared" si="32"/>
        <v>115</v>
      </c>
      <c r="B117">
        <f t="shared" si="33"/>
        <v>2036</v>
      </c>
      <c r="C117">
        <f t="shared" si="29"/>
        <v>7</v>
      </c>
      <c r="D117" t="b">
        <f t="shared" si="34"/>
        <v>0</v>
      </c>
      <c r="E117" s="5">
        <f>IF($A117="", "", IFERROR(SUMIF(PersonaA!$B:$B, $B117, PersonaA!$O:$O) / PPY, 0))</f>
        <v>1730.8153602425516</v>
      </c>
      <c r="F117" s="5">
        <f>IF($A117="", "", IFERROR(SUMIF(PersonaB!$B:$B, $B117, PersonaB!$O:$O) / PPY, 0))</f>
        <v>669.28183578703772</v>
      </c>
      <c r="G117" s="5">
        <f t="shared" si="25"/>
        <v>3389.6776493440921</v>
      </c>
      <c r="H117" s="5">
        <f t="shared" si="26"/>
        <v>20338.065896064552</v>
      </c>
      <c r="I117" s="5">
        <f t="shared" si="30"/>
        <v>23727.743545408644</v>
      </c>
      <c r="J117" s="5">
        <f t="shared" si="31"/>
        <v>0</v>
      </c>
      <c r="K117" s="5">
        <f t="shared" si="27"/>
        <v>23727.743545408644</v>
      </c>
      <c r="L117" s="5">
        <f>IF($A117="", "", IFERROR(SUMIF(PersonaA!$B:$B, $B117, PersonaA!$P:$P) / PPY, 0))</f>
        <v>675.0179904945951</v>
      </c>
      <c r="M117" s="5">
        <f>IF($A117="", "", IFERROR(SUMIF(PersonaB!$B:$B, $B117, PersonaB!$P:$P) / PPY, 0))</f>
        <v>314.56246281990769</v>
      </c>
      <c r="N117" s="15">
        <f t="shared" si="35"/>
        <v>158.18495696939098</v>
      </c>
      <c r="O117" s="15">
        <f t="shared" si="28"/>
        <v>25766.73493423457</v>
      </c>
    </row>
    <row r="118" spans="1:15" x14ac:dyDescent="0.35">
      <c r="A118">
        <f t="shared" si="32"/>
        <v>116</v>
      </c>
      <c r="B118">
        <f t="shared" si="33"/>
        <v>2036</v>
      </c>
      <c r="C118">
        <f t="shared" si="29"/>
        <v>8</v>
      </c>
      <c r="D118" t="b">
        <f t="shared" si="34"/>
        <v>0</v>
      </c>
      <c r="E118" s="5">
        <f>IF($A118="", "", IFERROR(SUMIF(PersonaA!$B:$B, $B118, PersonaA!$O:$O) / PPY, 0))</f>
        <v>1730.8153602425516</v>
      </c>
      <c r="F118" s="5">
        <f>IF($A118="", "", IFERROR(SUMIF(PersonaB!$B:$B, $B118, PersonaB!$O:$O) / PPY, 0))</f>
        <v>669.28183578703772</v>
      </c>
      <c r="G118" s="5">
        <f t="shared" si="25"/>
        <v>3389.6776493440921</v>
      </c>
      <c r="H118" s="5">
        <f t="shared" si="26"/>
        <v>23727.743545408644</v>
      </c>
      <c r="I118" s="5">
        <f t="shared" si="30"/>
        <v>27117.421194752736</v>
      </c>
      <c r="J118" s="5">
        <f t="shared" si="31"/>
        <v>0</v>
      </c>
      <c r="K118" s="5">
        <f t="shared" si="27"/>
        <v>27117.421194752736</v>
      </c>
      <c r="L118" s="5">
        <f>IF($A118="", "", IFERROR(SUMIF(PersonaA!$B:$B, $B118, PersonaA!$P:$P) / PPY, 0))</f>
        <v>675.0179904945951</v>
      </c>
      <c r="M118" s="5">
        <f>IF($A118="", "", IFERROR(SUMIF(PersonaB!$B:$B, $B118, PersonaB!$P:$P) / PPY, 0))</f>
        <v>314.56246281990769</v>
      </c>
      <c r="N118" s="16">
        <f t="shared" si="35"/>
        <v>180.78280796501826</v>
      </c>
      <c r="O118" s="16">
        <f t="shared" si="28"/>
        <v>25947.517742199587</v>
      </c>
    </row>
    <row r="119" spans="1:15" x14ac:dyDescent="0.35">
      <c r="A119">
        <f t="shared" si="32"/>
        <v>117</v>
      </c>
      <c r="B119">
        <f t="shared" si="33"/>
        <v>2036</v>
      </c>
      <c r="C119">
        <f t="shared" si="29"/>
        <v>9</v>
      </c>
      <c r="D119" t="b">
        <f t="shared" si="34"/>
        <v>0</v>
      </c>
      <c r="E119" s="5">
        <f>IF($A119="", "", IFERROR(SUMIF(PersonaA!$B:$B, $B119, PersonaA!$O:$O) / PPY, 0))</f>
        <v>1730.8153602425516</v>
      </c>
      <c r="F119" s="5">
        <f>IF($A119="", "", IFERROR(SUMIF(PersonaB!$B:$B, $B119, PersonaB!$O:$O) / PPY, 0))</f>
        <v>669.28183578703772</v>
      </c>
      <c r="G119" s="5">
        <f t="shared" si="25"/>
        <v>3389.6776493440921</v>
      </c>
      <c r="H119" s="5">
        <f t="shared" si="26"/>
        <v>27117.421194752736</v>
      </c>
      <c r="I119" s="5">
        <f t="shared" si="30"/>
        <v>30507.098844096829</v>
      </c>
      <c r="J119" s="5">
        <f t="shared" si="31"/>
        <v>0</v>
      </c>
      <c r="K119" s="5">
        <f t="shared" si="27"/>
        <v>30507.098844096829</v>
      </c>
      <c r="L119" s="5">
        <f>IF($A119="", "", IFERROR(SUMIF(PersonaA!$B:$B, $B119, PersonaA!$P:$P) / PPY, 0))</f>
        <v>675.0179904945951</v>
      </c>
      <c r="M119" s="5">
        <f>IF($A119="", "", IFERROR(SUMIF(PersonaB!$B:$B, $B119, PersonaB!$P:$P) / PPY, 0))</f>
        <v>314.56246281990769</v>
      </c>
      <c r="N119" s="15">
        <f t="shared" si="35"/>
        <v>203.38065896064555</v>
      </c>
      <c r="O119" s="15">
        <f t="shared" si="28"/>
        <v>26150.898401160233</v>
      </c>
    </row>
    <row r="120" spans="1:15" x14ac:dyDescent="0.35">
      <c r="A120">
        <f t="shared" si="32"/>
        <v>118</v>
      </c>
      <c r="B120">
        <f t="shared" si="33"/>
        <v>2036</v>
      </c>
      <c r="C120">
        <f t="shared" si="29"/>
        <v>10</v>
      </c>
      <c r="D120" t="b">
        <f t="shared" si="34"/>
        <v>0</v>
      </c>
      <c r="E120" s="5">
        <f>IF($A120="", "", IFERROR(SUMIF(PersonaA!$B:$B, $B120, PersonaA!$O:$O) / PPY, 0))</f>
        <v>1730.8153602425516</v>
      </c>
      <c r="F120" s="5">
        <f>IF($A120="", "", IFERROR(SUMIF(PersonaB!$B:$B, $B120, PersonaB!$O:$O) / PPY, 0))</f>
        <v>669.28183578703772</v>
      </c>
      <c r="G120" s="5">
        <f t="shared" si="25"/>
        <v>3389.6776493440921</v>
      </c>
      <c r="H120" s="5">
        <f t="shared" si="26"/>
        <v>30507.098844096829</v>
      </c>
      <c r="I120" s="5">
        <f t="shared" si="30"/>
        <v>33896.776493440921</v>
      </c>
      <c r="J120" s="5">
        <f t="shared" si="31"/>
        <v>0</v>
      </c>
      <c r="K120" s="5">
        <f t="shared" si="27"/>
        <v>33896.776493440921</v>
      </c>
      <c r="L120" s="5">
        <f>IF($A120="", "", IFERROR(SUMIF(PersonaA!$B:$B, $B120, PersonaA!$P:$P) / PPY, 0))</f>
        <v>675.0179904945951</v>
      </c>
      <c r="M120" s="5">
        <f>IF($A120="", "", IFERROR(SUMIF(PersonaB!$B:$B, $B120, PersonaB!$P:$P) / PPY, 0))</f>
        <v>314.56246281990769</v>
      </c>
      <c r="N120" s="16">
        <f t="shared" si="35"/>
        <v>225.97850995627283</v>
      </c>
      <c r="O120" s="16">
        <f t="shared" si="28"/>
        <v>26376.876911116506</v>
      </c>
    </row>
    <row r="121" spans="1:15" x14ac:dyDescent="0.35">
      <c r="A121">
        <f t="shared" si="32"/>
        <v>119</v>
      </c>
      <c r="B121">
        <f t="shared" si="33"/>
        <v>2036</v>
      </c>
      <c r="C121">
        <f t="shared" si="29"/>
        <v>11</v>
      </c>
      <c r="D121" t="b">
        <f t="shared" si="34"/>
        <v>0</v>
      </c>
      <c r="E121" s="5">
        <f>IF($A121="", "", IFERROR(SUMIF(PersonaA!$B:$B, $B121, PersonaA!$O:$O) / PPY, 0))</f>
        <v>1730.8153602425516</v>
      </c>
      <c r="F121" s="5">
        <f>IF($A121="", "", IFERROR(SUMIF(PersonaB!$B:$B, $B121, PersonaB!$O:$O) / PPY, 0))</f>
        <v>669.28183578703772</v>
      </c>
      <c r="G121" s="5">
        <f t="shared" si="25"/>
        <v>3389.6776493440921</v>
      </c>
      <c r="H121" s="5">
        <f t="shared" si="26"/>
        <v>33896.776493440921</v>
      </c>
      <c r="I121" s="5">
        <f t="shared" si="30"/>
        <v>37286.454142785013</v>
      </c>
      <c r="J121" s="5">
        <f t="shared" si="31"/>
        <v>0</v>
      </c>
      <c r="K121" s="5">
        <f t="shared" si="27"/>
        <v>37286.454142785013</v>
      </c>
      <c r="L121" s="5">
        <f>IF($A121="", "", IFERROR(SUMIF(PersonaA!$B:$B, $B121, PersonaA!$P:$P) / PPY, 0))</f>
        <v>675.0179904945951</v>
      </c>
      <c r="M121" s="5">
        <f>IF($A121="", "", IFERROR(SUMIF(PersonaB!$B:$B, $B121, PersonaB!$P:$P) / PPY, 0))</f>
        <v>314.56246281990769</v>
      </c>
      <c r="N121" s="15">
        <f t="shared" si="35"/>
        <v>248.57636095190011</v>
      </c>
      <c r="O121" s="15">
        <f t="shared" si="28"/>
        <v>26625.453272068407</v>
      </c>
    </row>
    <row r="122" spans="1:15" x14ac:dyDescent="0.35">
      <c r="A122">
        <f t="shared" si="32"/>
        <v>120</v>
      </c>
      <c r="B122">
        <f t="shared" si="33"/>
        <v>2036</v>
      </c>
      <c r="C122">
        <f t="shared" si="29"/>
        <v>12</v>
      </c>
      <c r="D122" t="b">
        <f t="shared" si="34"/>
        <v>1</v>
      </c>
      <c r="E122" s="5">
        <f>IF($A122="", "", IFERROR(SUMIF(PersonaA!$B:$B, $B122, PersonaA!$O:$O) / PPY, 0))</f>
        <v>1730.8153602425516</v>
      </c>
      <c r="F122" s="5">
        <f>IF($A122="", "", IFERROR(SUMIF(PersonaB!$B:$B, $B122, PersonaB!$O:$O) / PPY, 0))</f>
        <v>669.28183578703772</v>
      </c>
      <c r="G122" s="5">
        <f t="shared" si="25"/>
        <v>3389.6776493440921</v>
      </c>
      <c r="H122" s="5">
        <f t="shared" si="26"/>
        <v>37286.454142785013</v>
      </c>
      <c r="I122" s="5">
        <f t="shared" si="30"/>
        <v>40676.131792129105</v>
      </c>
      <c r="J122" s="5">
        <f t="shared" si="31"/>
        <v>40676.131792129105</v>
      </c>
      <c r="K122" s="5">
        <f t="shared" si="27"/>
        <v>0</v>
      </c>
      <c r="L122" s="5">
        <f>IF($A122="", "", IFERROR(SUMIF(PersonaA!$B:$B, $B122, PersonaA!$P:$P) / PPY, 0))</f>
        <v>675.0179904945951</v>
      </c>
      <c r="M122" s="5">
        <f>IF($A122="", "", IFERROR(SUMIF(PersonaB!$B:$B, $B122, PersonaB!$P:$P) / PPY, 0))</f>
        <v>314.56246281990769</v>
      </c>
      <c r="N122" s="16">
        <f t="shared" si="35"/>
        <v>271.1742119475274</v>
      </c>
      <c r="O122" s="16">
        <f t="shared" si="28"/>
        <v>26896.627484015935</v>
      </c>
    </row>
    <row r="123" spans="1:15" x14ac:dyDescent="0.35">
      <c r="A123">
        <f t="shared" si="32"/>
        <v>121</v>
      </c>
      <c r="B123">
        <f t="shared" si="33"/>
        <v>2037</v>
      </c>
      <c r="C123">
        <f t="shared" ref="C123:C158" si="36">IF(A123="", "",MOD(A123-1, PPY)+1)</f>
        <v>1</v>
      </c>
      <c r="D123" t="b">
        <f t="shared" si="34"/>
        <v>0</v>
      </c>
      <c r="E123" s="5">
        <f>IF($A123="", "", IFERROR(SUMIF(PersonaA!$B:$B, $B123, PersonaA!$O:$O) / PPY, 0))</f>
        <v>1893.8774109152821</v>
      </c>
      <c r="F123" s="5">
        <f>IF($A123="", "", IFERROR(SUMIF(PersonaB!$B:$B, $B123, PersonaB!$O:$O) / PPY, 0))</f>
        <v>805.8055483483804</v>
      </c>
      <c r="G123" s="5">
        <f t="shared" si="25"/>
        <v>3817.0237572443607</v>
      </c>
      <c r="H123" s="5">
        <f t="shared" si="26"/>
        <v>0</v>
      </c>
      <c r="I123" s="5">
        <f t="shared" ref="I123:I158" si="37">IF(A123="", "",H123+G123)</f>
        <v>3817.0237572443607</v>
      </c>
      <c r="J123" s="5">
        <f t="shared" ref="J123:J158" si="38">IF(A123="", "",IF(D123,I123,0))</f>
        <v>0</v>
      </c>
      <c r="K123" s="5">
        <f t="shared" si="27"/>
        <v>3817.0237572443607</v>
      </c>
      <c r="L123" s="5">
        <f>IF($A123="", "", IFERROR(SUMIF(PersonaA!$B:$B, $B123, PersonaA!$P:$P) / PPY, 0))</f>
        <v>738.61219025695993</v>
      </c>
      <c r="M123" s="5">
        <f>IF($A123="", "", IFERROR(SUMIF(PersonaB!$B:$B, $B123, PersonaB!$P:$P) / PPY, 0))</f>
        <v>378.72860772373878</v>
      </c>
      <c r="N123" s="15">
        <f t="shared" si="35"/>
        <v>25.446825048295739</v>
      </c>
      <c r="O123" s="15">
        <f t="shared" si="28"/>
        <v>26922.074309064232</v>
      </c>
    </row>
    <row r="124" spans="1:15" x14ac:dyDescent="0.35">
      <c r="A124">
        <f t="shared" si="32"/>
        <v>122</v>
      </c>
      <c r="B124">
        <f t="shared" si="33"/>
        <v>2037</v>
      </c>
      <c r="C124">
        <f t="shared" si="36"/>
        <v>2</v>
      </c>
      <c r="D124" t="b">
        <f t="shared" si="34"/>
        <v>0</v>
      </c>
      <c r="E124" s="5">
        <f>IF($A124="", "", IFERROR(SUMIF(PersonaA!$B:$B, $B124, PersonaA!$O:$O) / PPY, 0))</f>
        <v>1893.8774109152821</v>
      </c>
      <c r="F124" s="5">
        <f>IF($A124="", "", IFERROR(SUMIF(PersonaB!$B:$B, $B124, PersonaB!$O:$O) / PPY, 0))</f>
        <v>805.8055483483804</v>
      </c>
      <c r="G124" s="5">
        <f t="shared" si="25"/>
        <v>3817.0237572443607</v>
      </c>
      <c r="H124" s="5">
        <f t="shared" si="26"/>
        <v>3817.0237572443607</v>
      </c>
      <c r="I124" s="5">
        <f t="shared" si="37"/>
        <v>7634.0475144887214</v>
      </c>
      <c r="J124" s="5">
        <f t="shared" si="38"/>
        <v>0</v>
      </c>
      <c r="K124" s="5">
        <f t="shared" si="27"/>
        <v>7634.0475144887214</v>
      </c>
      <c r="L124" s="5">
        <f>IF($A124="", "", IFERROR(SUMIF(PersonaA!$B:$B, $B124, PersonaA!$P:$P) / PPY, 0))</f>
        <v>738.61219025695993</v>
      </c>
      <c r="M124" s="5">
        <f>IF($A124="", "", IFERROR(SUMIF(PersonaB!$B:$B, $B124, PersonaB!$P:$P) / PPY, 0))</f>
        <v>378.72860772373878</v>
      </c>
      <c r="N124" s="16">
        <f t="shared" si="35"/>
        <v>50.893650096591479</v>
      </c>
      <c r="O124" s="16">
        <f t="shared" si="28"/>
        <v>26972.967959160822</v>
      </c>
    </row>
    <row r="125" spans="1:15" x14ac:dyDescent="0.35">
      <c r="A125">
        <f t="shared" si="32"/>
        <v>123</v>
      </c>
      <c r="B125">
        <f t="shared" si="33"/>
        <v>2037</v>
      </c>
      <c r="C125">
        <f t="shared" si="36"/>
        <v>3</v>
      </c>
      <c r="D125" t="b">
        <f t="shared" si="34"/>
        <v>0</v>
      </c>
      <c r="E125" s="5">
        <f>IF($A125="", "", IFERROR(SUMIF(PersonaA!$B:$B, $B125, PersonaA!$O:$O) / PPY, 0))</f>
        <v>1893.8774109152821</v>
      </c>
      <c r="F125" s="5">
        <f>IF($A125="", "", IFERROR(SUMIF(PersonaB!$B:$B, $B125, PersonaB!$O:$O) / PPY, 0))</f>
        <v>805.8055483483804</v>
      </c>
      <c r="G125" s="5">
        <f t="shared" si="25"/>
        <v>3817.0237572443607</v>
      </c>
      <c r="H125" s="5">
        <f t="shared" si="26"/>
        <v>7634.0475144887214</v>
      </c>
      <c r="I125" s="5">
        <f t="shared" si="37"/>
        <v>11451.071271733083</v>
      </c>
      <c r="J125" s="5">
        <f t="shared" si="38"/>
        <v>0</v>
      </c>
      <c r="K125" s="5">
        <f t="shared" si="27"/>
        <v>11451.071271733083</v>
      </c>
      <c r="L125" s="5">
        <f>IF($A125="", "", IFERROR(SUMIF(PersonaA!$B:$B, $B125, PersonaA!$P:$P) / PPY, 0))</f>
        <v>738.61219025695993</v>
      </c>
      <c r="M125" s="5">
        <f>IF($A125="", "", IFERROR(SUMIF(PersonaB!$B:$B, $B125, PersonaB!$P:$P) / PPY, 0))</f>
        <v>378.72860772373878</v>
      </c>
      <c r="N125" s="15">
        <f t="shared" si="35"/>
        <v>76.340475144887222</v>
      </c>
      <c r="O125" s="15">
        <f t="shared" si="28"/>
        <v>27049.308434305709</v>
      </c>
    </row>
    <row r="126" spans="1:15" x14ac:dyDescent="0.35">
      <c r="A126">
        <f t="shared" si="32"/>
        <v>124</v>
      </c>
      <c r="B126">
        <f t="shared" si="33"/>
        <v>2037</v>
      </c>
      <c r="C126">
        <f t="shared" si="36"/>
        <v>4</v>
      </c>
      <c r="D126" t="b">
        <f t="shared" si="34"/>
        <v>0</v>
      </c>
      <c r="E126" s="5">
        <f>IF($A126="", "", IFERROR(SUMIF(PersonaA!$B:$B, $B126, PersonaA!$O:$O) / PPY, 0))</f>
        <v>1893.8774109152821</v>
      </c>
      <c r="F126" s="5">
        <f>IF($A126="", "", IFERROR(SUMIF(PersonaB!$B:$B, $B126, PersonaB!$O:$O) / PPY, 0))</f>
        <v>805.8055483483804</v>
      </c>
      <c r="G126" s="5">
        <f t="shared" si="25"/>
        <v>3817.0237572443607</v>
      </c>
      <c r="H126" s="5">
        <f t="shared" si="26"/>
        <v>11451.071271733083</v>
      </c>
      <c r="I126" s="5">
        <f t="shared" si="37"/>
        <v>15268.095028977443</v>
      </c>
      <c r="J126" s="5">
        <f t="shared" si="38"/>
        <v>0</v>
      </c>
      <c r="K126" s="5">
        <f t="shared" si="27"/>
        <v>15268.095028977443</v>
      </c>
      <c r="L126" s="5">
        <f>IF($A126="", "", IFERROR(SUMIF(PersonaA!$B:$B, $B126, PersonaA!$P:$P) / PPY, 0))</f>
        <v>738.61219025695993</v>
      </c>
      <c r="M126" s="5">
        <f>IF($A126="", "", IFERROR(SUMIF(PersonaB!$B:$B, $B126, PersonaB!$P:$P) / PPY, 0))</f>
        <v>378.72860772373878</v>
      </c>
      <c r="N126" s="16">
        <f t="shared" si="35"/>
        <v>101.78730019318296</v>
      </c>
      <c r="O126" s="16">
        <f t="shared" si="28"/>
        <v>27151.095734498893</v>
      </c>
    </row>
    <row r="127" spans="1:15" x14ac:dyDescent="0.35">
      <c r="A127">
        <f t="shared" si="32"/>
        <v>125</v>
      </c>
      <c r="B127">
        <f t="shared" si="33"/>
        <v>2037</v>
      </c>
      <c r="C127">
        <f t="shared" si="36"/>
        <v>5</v>
      </c>
      <c r="D127" t="b">
        <f t="shared" si="34"/>
        <v>0</v>
      </c>
      <c r="E127" s="5">
        <f>IF($A127="", "", IFERROR(SUMIF(PersonaA!$B:$B, $B127, PersonaA!$O:$O) / PPY, 0))</f>
        <v>1893.8774109152821</v>
      </c>
      <c r="F127" s="5">
        <f>IF($A127="", "", IFERROR(SUMIF(PersonaB!$B:$B, $B127, PersonaB!$O:$O) / PPY, 0))</f>
        <v>805.8055483483804</v>
      </c>
      <c r="G127" s="5">
        <f t="shared" si="25"/>
        <v>3817.0237572443607</v>
      </c>
      <c r="H127" s="5">
        <f t="shared" si="26"/>
        <v>15268.095028977443</v>
      </c>
      <c r="I127" s="5">
        <f t="shared" si="37"/>
        <v>19085.118786221803</v>
      </c>
      <c r="J127" s="5">
        <f t="shared" si="38"/>
        <v>0</v>
      </c>
      <c r="K127" s="5">
        <f t="shared" si="27"/>
        <v>19085.118786221803</v>
      </c>
      <c r="L127" s="5">
        <f>IF($A127="", "", IFERROR(SUMIF(PersonaA!$B:$B, $B127, PersonaA!$P:$P) / PPY, 0))</f>
        <v>738.61219025695993</v>
      </c>
      <c r="M127" s="5">
        <f>IF($A127="", "", IFERROR(SUMIF(PersonaB!$B:$B, $B127, PersonaB!$P:$P) / PPY, 0))</f>
        <v>378.72860772373878</v>
      </c>
      <c r="N127" s="15">
        <f t="shared" si="35"/>
        <v>127.23412524147869</v>
      </c>
      <c r="O127" s="15">
        <f t="shared" si="28"/>
        <v>27278.32985974037</v>
      </c>
    </row>
    <row r="128" spans="1:15" x14ac:dyDescent="0.35">
      <c r="A128">
        <f t="shared" si="32"/>
        <v>126</v>
      </c>
      <c r="B128">
        <f t="shared" si="33"/>
        <v>2037</v>
      </c>
      <c r="C128">
        <f t="shared" si="36"/>
        <v>6</v>
      </c>
      <c r="D128" t="b">
        <f t="shared" si="34"/>
        <v>0</v>
      </c>
      <c r="E128" s="5">
        <f>IF($A128="", "", IFERROR(SUMIF(PersonaA!$B:$B, $B128, PersonaA!$O:$O) / PPY, 0))</f>
        <v>1893.8774109152821</v>
      </c>
      <c r="F128" s="5">
        <f>IF($A128="", "", IFERROR(SUMIF(PersonaB!$B:$B, $B128, PersonaB!$O:$O) / PPY, 0))</f>
        <v>805.8055483483804</v>
      </c>
      <c r="G128" s="5">
        <f t="shared" si="25"/>
        <v>3817.0237572443607</v>
      </c>
      <c r="H128" s="5">
        <f t="shared" si="26"/>
        <v>19085.118786221803</v>
      </c>
      <c r="I128" s="5">
        <f t="shared" si="37"/>
        <v>22902.142543466165</v>
      </c>
      <c r="J128" s="5">
        <f t="shared" si="38"/>
        <v>0</v>
      </c>
      <c r="K128" s="5">
        <f t="shared" si="27"/>
        <v>22902.142543466165</v>
      </c>
      <c r="L128" s="5">
        <f>IF($A128="", "", IFERROR(SUMIF(PersonaA!$B:$B, $B128, PersonaA!$P:$P) / PPY, 0))</f>
        <v>738.61219025695993</v>
      </c>
      <c r="M128" s="5">
        <f>IF($A128="", "", IFERROR(SUMIF(PersonaB!$B:$B, $B128, PersonaB!$P:$P) / PPY, 0))</f>
        <v>378.72860772373878</v>
      </c>
      <c r="N128" s="16">
        <f t="shared" si="35"/>
        <v>152.68095028977444</v>
      </c>
      <c r="O128" s="16">
        <f t="shared" si="28"/>
        <v>27431.010810030144</v>
      </c>
    </row>
    <row r="129" spans="1:15" x14ac:dyDescent="0.35">
      <c r="A129">
        <f t="shared" si="32"/>
        <v>127</v>
      </c>
      <c r="B129">
        <f t="shared" si="33"/>
        <v>2037</v>
      </c>
      <c r="C129">
        <f t="shared" si="36"/>
        <v>7</v>
      </c>
      <c r="D129" t="b">
        <f t="shared" si="34"/>
        <v>0</v>
      </c>
      <c r="E129" s="5">
        <f>IF($A129="", "", IFERROR(SUMIF(PersonaA!$B:$B, $B129, PersonaA!$O:$O) / PPY, 0))</f>
        <v>1893.8774109152821</v>
      </c>
      <c r="F129" s="5">
        <f>IF($A129="", "", IFERROR(SUMIF(PersonaB!$B:$B, $B129, PersonaB!$O:$O) / PPY, 0))</f>
        <v>805.8055483483804</v>
      </c>
      <c r="G129" s="5">
        <f t="shared" si="25"/>
        <v>3817.0237572443607</v>
      </c>
      <c r="H129" s="5">
        <f t="shared" si="26"/>
        <v>22902.142543466165</v>
      </c>
      <c r="I129" s="5">
        <f t="shared" si="37"/>
        <v>26719.166300710527</v>
      </c>
      <c r="J129" s="5">
        <f t="shared" si="38"/>
        <v>0</v>
      </c>
      <c r="K129" s="5">
        <f t="shared" si="27"/>
        <v>26719.166300710527</v>
      </c>
      <c r="L129" s="5">
        <f>IF($A129="", "", IFERROR(SUMIF(PersonaA!$B:$B, $B129, PersonaA!$P:$P) / PPY, 0))</f>
        <v>738.61219025695993</v>
      </c>
      <c r="M129" s="5">
        <f>IF($A129="", "", IFERROR(SUMIF(PersonaB!$B:$B, $B129, PersonaB!$P:$P) / PPY, 0))</f>
        <v>378.72860772373878</v>
      </c>
      <c r="N129" s="15">
        <f t="shared" si="35"/>
        <v>178.12777533807019</v>
      </c>
      <c r="O129" s="15">
        <f t="shared" si="28"/>
        <v>27609.138585368215</v>
      </c>
    </row>
    <row r="130" spans="1:15" x14ac:dyDescent="0.35">
      <c r="A130">
        <f t="shared" si="32"/>
        <v>128</v>
      </c>
      <c r="B130">
        <f t="shared" si="33"/>
        <v>2037</v>
      </c>
      <c r="C130">
        <f t="shared" si="36"/>
        <v>8</v>
      </c>
      <c r="D130" t="b">
        <f t="shared" si="34"/>
        <v>0</v>
      </c>
      <c r="E130" s="5">
        <f>IF($A130="", "", IFERROR(SUMIF(PersonaA!$B:$B, $B130, PersonaA!$O:$O) / PPY, 0))</f>
        <v>1893.8774109152821</v>
      </c>
      <c r="F130" s="5">
        <f>IF($A130="", "", IFERROR(SUMIF(PersonaB!$B:$B, $B130, PersonaB!$O:$O) / PPY, 0))</f>
        <v>805.8055483483804</v>
      </c>
      <c r="G130" s="5">
        <f t="shared" si="25"/>
        <v>3817.0237572443607</v>
      </c>
      <c r="H130" s="5">
        <f t="shared" si="26"/>
        <v>26719.166300710527</v>
      </c>
      <c r="I130" s="5">
        <f t="shared" si="37"/>
        <v>30536.190057954889</v>
      </c>
      <c r="J130" s="5">
        <f t="shared" si="38"/>
        <v>0</v>
      </c>
      <c r="K130" s="5">
        <f t="shared" si="27"/>
        <v>30536.190057954889</v>
      </c>
      <c r="L130" s="5">
        <f>IF($A130="", "", IFERROR(SUMIF(PersonaA!$B:$B, $B130, PersonaA!$P:$P) / PPY, 0))</f>
        <v>738.61219025695993</v>
      </c>
      <c r="M130" s="5">
        <f>IF($A130="", "", IFERROR(SUMIF(PersonaB!$B:$B, $B130, PersonaB!$P:$P) / PPY, 0))</f>
        <v>378.72860772373878</v>
      </c>
      <c r="N130" s="16">
        <f t="shared" si="35"/>
        <v>203.57460038636594</v>
      </c>
      <c r="O130" s="16">
        <f t="shared" si="28"/>
        <v>27812.713185754579</v>
      </c>
    </row>
    <row r="131" spans="1:15" x14ac:dyDescent="0.35">
      <c r="A131">
        <f t="shared" ref="A131:A182" si="39">IF(ROW()-2 &lt;= TotalPeriodsOffset, ROW()-2, "")</f>
        <v>129</v>
      </c>
      <c r="B131">
        <f t="shared" ref="B131:B182" si="40">IF($A131="", "", YEAR(StartYear) + INT(($A131-1)/PPY))</f>
        <v>2037</v>
      </c>
      <c r="C131">
        <f t="shared" si="36"/>
        <v>9</v>
      </c>
      <c r="D131" t="b">
        <f t="shared" ref="D131:D158" si="41">IF(A131="", "",C131=PPY)</f>
        <v>0</v>
      </c>
      <c r="E131" s="5">
        <f>IF($A131="", "", IFERROR(SUMIF(PersonaA!$B:$B, $B131, PersonaA!$O:$O) / PPY, 0))</f>
        <v>1893.8774109152821</v>
      </c>
      <c r="F131" s="5">
        <f>IF($A131="", "", IFERROR(SUMIF(PersonaB!$B:$B, $B131, PersonaB!$O:$O) / PPY, 0))</f>
        <v>805.8055483483804</v>
      </c>
      <c r="G131" s="5">
        <f t="shared" si="25"/>
        <v>3817.0237572443607</v>
      </c>
      <c r="H131" s="5">
        <f t="shared" si="26"/>
        <v>30536.190057954889</v>
      </c>
      <c r="I131" s="5">
        <f t="shared" si="37"/>
        <v>34353.213815199248</v>
      </c>
      <c r="J131" s="5">
        <f t="shared" si="38"/>
        <v>0</v>
      </c>
      <c r="K131" s="5">
        <f t="shared" si="27"/>
        <v>34353.213815199248</v>
      </c>
      <c r="L131" s="5">
        <f>IF($A131="", "", IFERROR(SUMIF(PersonaA!$B:$B, $B131, PersonaA!$P:$P) / PPY, 0))</f>
        <v>738.61219025695993</v>
      </c>
      <c r="M131" s="5">
        <f>IF($A131="", "", IFERROR(SUMIF(PersonaB!$B:$B, $B131, PersonaB!$P:$P) / PPY, 0))</f>
        <v>378.72860772373878</v>
      </c>
      <c r="N131" s="15">
        <f t="shared" ref="N131:N158" si="42">IF($A131="", "", I131*(LoanRate/PPY))</f>
        <v>229.02142543466167</v>
      </c>
      <c r="O131" s="15">
        <f t="shared" si="28"/>
        <v>28041.73461118924</v>
      </c>
    </row>
    <row r="132" spans="1:15" x14ac:dyDescent="0.35">
      <c r="A132">
        <f t="shared" si="39"/>
        <v>130</v>
      </c>
      <c r="B132">
        <f t="shared" si="40"/>
        <v>2037</v>
      </c>
      <c r="C132">
        <f t="shared" si="36"/>
        <v>10</v>
      </c>
      <c r="D132" t="b">
        <f t="shared" si="41"/>
        <v>0</v>
      </c>
      <c r="E132" s="5">
        <f>IF($A132="", "", IFERROR(SUMIF(PersonaA!$B:$B, $B132, PersonaA!$O:$O) / PPY, 0))</f>
        <v>1893.8774109152821</v>
      </c>
      <c r="F132" s="5">
        <f>IF($A132="", "", IFERROR(SUMIF(PersonaB!$B:$B, $B132, PersonaB!$O:$O) / PPY, 0))</f>
        <v>805.8055483483804</v>
      </c>
      <c r="G132" s="5">
        <f t="shared" ref="G132:G158" si="43">IF(A132="", "", E132+F132+L132+M132)</f>
        <v>3817.0237572443607</v>
      </c>
      <c r="H132" s="5">
        <f t="shared" si="26"/>
        <v>34353.213815199248</v>
      </c>
      <c r="I132" s="5">
        <f t="shared" si="37"/>
        <v>38170.237572443606</v>
      </c>
      <c r="J132" s="5">
        <f t="shared" si="38"/>
        <v>0</v>
      </c>
      <c r="K132" s="5">
        <f t="shared" si="27"/>
        <v>38170.237572443606</v>
      </c>
      <c r="L132" s="5">
        <f>IF($A132="", "", IFERROR(SUMIF(PersonaA!$B:$B, $B132, PersonaA!$P:$P) / PPY, 0))</f>
        <v>738.61219025695993</v>
      </c>
      <c r="M132" s="5">
        <f>IF($A132="", "", IFERROR(SUMIF(PersonaB!$B:$B, $B132, PersonaB!$P:$P) / PPY, 0))</f>
        <v>378.72860772373878</v>
      </c>
      <c r="N132" s="16">
        <f t="shared" si="42"/>
        <v>254.46825048295739</v>
      </c>
      <c r="O132" s="16">
        <f t="shared" si="28"/>
        <v>28296.202861672198</v>
      </c>
    </row>
    <row r="133" spans="1:15" x14ac:dyDescent="0.35">
      <c r="A133">
        <f t="shared" si="39"/>
        <v>131</v>
      </c>
      <c r="B133">
        <f t="shared" si="40"/>
        <v>2037</v>
      </c>
      <c r="C133">
        <f t="shared" si="36"/>
        <v>11</v>
      </c>
      <c r="D133" t="b">
        <f t="shared" si="41"/>
        <v>0</v>
      </c>
      <c r="E133" s="5">
        <f>IF($A133="", "", IFERROR(SUMIF(PersonaA!$B:$B, $B133, PersonaA!$O:$O) / PPY, 0))</f>
        <v>1893.8774109152821</v>
      </c>
      <c r="F133" s="5">
        <f>IF($A133="", "", IFERROR(SUMIF(PersonaB!$B:$B, $B133, PersonaB!$O:$O) / PPY, 0))</f>
        <v>805.8055483483804</v>
      </c>
      <c r="G133" s="5">
        <f t="shared" si="43"/>
        <v>3817.0237572443607</v>
      </c>
      <c r="H133" s="5">
        <f t="shared" ref="H133:H158" si="44">IF($A133="", "", K132)</f>
        <v>38170.237572443606</v>
      </c>
      <c r="I133" s="5">
        <f t="shared" si="37"/>
        <v>41987.261329687964</v>
      </c>
      <c r="J133" s="5">
        <f t="shared" si="38"/>
        <v>0</v>
      </c>
      <c r="K133" s="5">
        <f t="shared" ref="K133:K158" si="45">IF(A133="", "",IF(D133,0,I133-J133))</f>
        <v>41987.261329687964</v>
      </c>
      <c r="L133" s="5">
        <f>IF($A133="", "", IFERROR(SUMIF(PersonaA!$B:$B, $B133, PersonaA!$P:$P) / PPY, 0))</f>
        <v>738.61219025695993</v>
      </c>
      <c r="M133" s="5">
        <f>IF($A133="", "", IFERROR(SUMIF(PersonaB!$B:$B, $B133, PersonaB!$P:$P) / PPY, 0))</f>
        <v>378.72860772373878</v>
      </c>
      <c r="N133" s="15">
        <f t="shared" si="42"/>
        <v>279.91507553125314</v>
      </c>
      <c r="O133" s="15">
        <f t="shared" ref="O133:O158" si="46">IF($A133="", "", O132+N133)</f>
        <v>28576.117937203453</v>
      </c>
    </row>
    <row r="134" spans="1:15" x14ac:dyDescent="0.35">
      <c r="A134">
        <f t="shared" si="39"/>
        <v>132</v>
      </c>
      <c r="B134">
        <f t="shared" si="40"/>
        <v>2037</v>
      </c>
      <c r="C134">
        <f t="shared" si="36"/>
        <v>12</v>
      </c>
      <c r="D134" t="b">
        <f t="shared" si="41"/>
        <v>1</v>
      </c>
      <c r="E134" s="5">
        <f>IF($A134="", "", IFERROR(SUMIF(PersonaA!$B:$B, $B134, PersonaA!$O:$O) / PPY, 0))</f>
        <v>1893.8774109152821</v>
      </c>
      <c r="F134" s="5">
        <f>IF($A134="", "", IFERROR(SUMIF(PersonaB!$B:$B, $B134, PersonaB!$O:$O) / PPY, 0))</f>
        <v>805.8055483483804</v>
      </c>
      <c r="G134" s="5">
        <f t="shared" si="43"/>
        <v>3817.0237572443607</v>
      </c>
      <c r="H134" s="5">
        <f t="shared" si="44"/>
        <v>41987.261329687964</v>
      </c>
      <c r="I134" s="5">
        <f t="shared" si="37"/>
        <v>45804.285086932323</v>
      </c>
      <c r="J134" s="5">
        <f t="shared" si="38"/>
        <v>45804.285086932323</v>
      </c>
      <c r="K134" s="5">
        <f t="shared" si="45"/>
        <v>0</v>
      </c>
      <c r="L134" s="5">
        <f>IF($A134="", "", IFERROR(SUMIF(PersonaA!$B:$B, $B134, PersonaA!$P:$P) / PPY, 0))</f>
        <v>738.61219025695993</v>
      </c>
      <c r="M134" s="5">
        <f>IF($A134="", "", IFERROR(SUMIF(PersonaB!$B:$B, $B134, PersonaB!$P:$P) / PPY, 0))</f>
        <v>378.72860772373878</v>
      </c>
      <c r="N134" s="16">
        <f t="shared" si="42"/>
        <v>305.36190057954883</v>
      </c>
      <c r="O134" s="16">
        <f t="shared" si="46"/>
        <v>28881.479837783001</v>
      </c>
    </row>
    <row r="135" spans="1:15" x14ac:dyDescent="0.35">
      <c r="A135">
        <f t="shared" si="39"/>
        <v>133</v>
      </c>
      <c r="B135">
        <f t="shared" si="40"/>
        <v>2038</v>
      </c>
      <c r="C135">
        <f t="shared" si="36"/>
        <v>1</v>
      </c>
      <c r="D135" t="b">
        <f t="shared" si="41"/>
        <v>0</v>
      </c>
      <c r="E135" s="5">
        <f>IF($A135="", "", IFERROR(SUMIF(PersonaA!$B:$B, $B135, PersonaA!$O:$O) / PPY, 0))</f>
        <v>1847.4743461881644</v>
      </c>
      <c r="F135" s="5">
        <f>IF($A135="", "", IFERROR(SUMIF(PersonaB!$B:$B, $B135, PersonaB!$O:$O) / PPY, 0))</f>
        <v>732.20068705709002</v>
      </c>
      <c r="G135" s="5">
        <f t="shared" si="43"/>
        <v>3792.122298870524</v>
      </c>
      <c r="H135" s="5">
        <f t="shared" si="44"/>
        <v>0</v>
      </c>
      <c r="I135" s="5">
        <f t="shared" si="37"/>
        <v>3792.122298870524</v>
      </c>
      <c r="J135" s="5">
        <f t="shared" si="38"/>
        <v>0</v>
      </c>
      <c r="K135" s="5">
        <f t="shared" si="45"/>
        <v>3792.122298870524</v>
      </c>
      <c r="L135" s="5">
        <f>IF($A135="", "", IFERROR(SUMIF(PersonaA!$B:$B, $B135, PersonaA!$P:$P) / PPY, 0))</f>
        <v>868.31294270843739</v>
      </c>
      <c r="M135" s="5">
        <f>IF($A135="", "", IFERROR(SUMIF(PersonaB!$B:$B, $B135, PersonaB!$P:$P) / PPY, 0))</f>
        <v>344.13432291683233</v>
      </c>
      <c r="N135" s="15">
        <f t="shared" si="42"/>
        <v>25.280815325803495</v>
      </c>
      <c r="O135" s="15">
        <f t="shared" si="46"/>
        <v>28906.760653108806</v>
      </c>
    </row>
    <row r="136" spans="1:15" x14ac:dyDescent="0.35">
      <c r="A136">
        <f t="shared" si="39"/>
        <v>134</v>
      </c>
      <c r="B136">
        <f t="shared" si="40"/>
        <v>2038</v>
      </c>
      <c r="C136">
        <f t="shared" si="36"/>
        <v>2</v>
      </c>
      <c r="D136" t="b">
        <f t="shared" si="41"/>
        <v>0</v>
      </c>
      <c r="E136" s="5">
        <f>IF($A136="", "", IFERROR(SUMIF(PersonaA!$B:$B, $B136, PersonaA!$O:$O) / PPY, 0))</f>
        <v>1847.4743461881644</v>
      </c>
      <c r="F136" s="5">
        <f>IF($A136="", "", IFERROR(SUMIF(PersonaB!$B:$B, $B136, PersonaB!$O:$O) / PPY, 0))</f>
        <v>732.20068705709002</v>
      </c>
      <c r="G136" s="5">
        <f t="shared" si="43"/>
        <v>3792.122298870524</v>
      </c>
      <c r="H136" s="5">
        <f t="shared" si="44"/>
        <v>3792.122298870524</v>
      </c>
      <c r="I136" s="5">
        <f t="shared" si="37"/>
        <v>7584.244597741048</v>
      </c>
      <c r="J136" s="5">
        <f t="shared" si="38"/>
        <v>0</v>
      </c>
      <c r="K136" s="5">
        <f t="shared" si="45"/>
        <v>7584.244597741048</v>
      </c>
      <c r="L136" s="5">
        <f>IF($A136="", "", IFERROR(SUMIF(PersonaA!$B:$B, $B136, PersonaA!$P:$P) / PPY, 0))</f>
        <v>868.31294270843739</v>
      </c>
      <c r="M136" s="5">
        <f>IF($A136="", "", IFERROR(SUMIF(PersonaB!$B:$B, $B136, PersonaB!$P:$P) / PPY, 0))</f>
        <v>344.13432291683233</v>
      </c>
      <c r="N136" s="16">
        <f t="shared" si="42"/>
        <v>50.56163065160699</v>
      </c>
      <c r="O136" s="16">
        <f t="shared" si="46"/>
        <v>28957.322283760412</v>
      </c>
    </row>
    <row r="137" spans="1:15" x14ac:dyDescent="0.35">
      <c r="A137">
        <f t="shared" si="39"/>
        <v>135</v>
      </c>
      <c r="B137">
        <f t="shared" si="40"/>
        <v>2038</v>
      </c>
      <c r="C137">
        <f t="shared" si="36"/>
        <v>3</v>
      </c>
      <c r="D137" t="b">
        <f t="shared" si="41"/>
        <v>0</v>
      </c>
      <c r="E137" s="5">
        <f>IF($A137="", "", IFERROR(SUMIF(PersonaA!$B:$B, $B137, PersonaA!$O:$O) / PPY, 0))</f>
        <v>1847.4743461881644</v>
      </c>
      <c r="F137" s="5">
        <f>IF($A137="", "", IFERROR(SUMIF(PersonaB!$B:$B, $B137, PersonaB!$O:$O) / PPY, 0))</f>
        <v>732.20068705709002</v>
      </c>
      <c r="G137" s="5">
        <f t="shared" si="43"/>
        <v>3792.122298870524</v>
      </c>
      <c r="H137" s="5">
        <f t="shared" si="44"/>
        <v>7584.244597741048</v>
      </c>
      <c r="I137" s="5">
        <f t="shared" si="37"/>
        <v>11376.366896611573</v>
      </c>
      <c r="J137" s="5">
        <f t="shared" si="38"/>
        <v>0</v>
      </c>
      <c r="K137" s="5">
        <f t="shared" si="45"/>
        <v>11376.366896611573</v>
      </c>
      <c r="L137" s="5">
        <f>IF($A137="", "", IFERROR(SUMIF(PersonaA!$B:$B, $B137, PersonaA!$P:$P) / PPY, 0))</f>
        <v>868.31294270843739</v>
      </c>
      <c r="M137" s="5">
        <f>IF($A137="", "", IFERROR(SUMIF(PersonaB!$B:$B, $B137, PersonaB!$P:$P) / PPY, 0))</f>
        <v>344.13432291683233</v>
      </c>
      <c r="N137" s="15">
        <f t="shared" si="42"/>
        <v>75.842445977410492</v>
      </c>
      <c r="O137" s="15">
        <f t="shared" si="46"/>
        <v>29033.164729737822</v>
      </c>
    </row>
    <row r="138" spans="1:15" x14ac:dyDescent="0.35">
      <c r="A138">
        <f t="shared" si="39"/>
        <v>136</v>
      </c>
      <c r="B138">
        <f t="shared" si="40"/>
        <v>2038</v>
      </c>
      <c r="C138">
        <f t="shared" si="36"/>
        <v>4</v>
      </c>
      <c r="D138" t="b">
        <f t="shared" si="41"/>
        <v>0</v>
      </c>
      <c r="E138" s="5">
        <f>IF($A138="", "", IFERROR(SUMIF(PersonaA!$B:$B, $B138, PersonaA!$O:$O) / PPY, 0))</f>
        <v>1847.4743461881644</v>
      </c>
      <c r="F138" s="5">
        <f>IF($A138="", "", IFERROR(SUMIF(PersonaB!$B:$B, $B138, PersonaB!$O:$O) / PPY, 0))</f>
        <v>732.20068705709002</v>
      </c>
      <c r="G138" s="5">
        <f t="shared" si="43"/>
        <v>3792.122298870524</v>
      </c>
      <c r="H138" s="5">
        <f t="shared" si="44"/>
        <v>11376.366896611573</v>
      </c>
      <c r="I138" s="5">
        <f t="shared" si="37"/>
        <v>15168.489195482096</v>
      </c>
      <c r="J138" s="5">
        <f t="shared" si="38"/>
        <v>0</v>
      </c>
      <c r="K138" s="5">
        <f t="shared" si="45"/>
        <v>15168.489195482096</v>
      </c>
      <c r="L138" s="5">
        <f>IF($A138="", "", IFERROR(SUMIF(PersonaA!$B:$B, $B138, PersonaA!$P:$P) / PPY, 0))</f>
        <v>868.31294270843739</v>
      </c>
      <c r="M138" s="5">
        <f>IF($A138="", "", IFERROR(SUMIF(PersonaB!$B:$B, $B138, PersonaB!$P:$P) / PPY, 0))</f>
        <v>344.13432291683233</v>
      </c>
      <c r="N138" s="16">
        <f t="shared" si="42"/>
        <v>101.12326130321398</v>
      </c>
      <c r="O138" s="16">
        <f t="shared" si="46"/>
        <v>29134.287991041037</v>
      </c>
    </row>
    <row r="139" spans="1:15" x14ac:dyDescent="0.35">
      <c r="A139">
        <f t="shared" si="39"/>
        <v>137</v>
      </c>
      <c r="B139">
        <f t="shared" si="40"/>
        <v>2038</v>
      </c>
      <c r="C139">
        <f t="shared" si="36"/>
        <v>5</v>
      </c>
      <c r="D139" t="b">
        <f t="shared" si="41"/>
        <v>0</v>
      </c>
      <c r="E139" s="5">
        <f>IF($A139="", "", IFERROR(SUMIF(PersonaA!$B:$B, $B139, PersonaA!$O:$O) / PPY, 0))</f>
        <v>1847.4743461881644</v>
      </c>
      <c r="F139" s="5">
        <f>IF($A139="", "", IFERROR(SUMIF(PersonaB!$B:$B, $B139, PersonaB!$O:$O) / PPY, 0))</f>
        <v>732.20068705709002</v>
      </c>
      <c r="G139" s="5">
        <f t="shared" si="43"/>
        <v>3792.122298870524</v>
      </c>
      <c r="H139" s="5">
        <f t="shared" si="44"/>
        <v>15168.489195482096</v>
      </c>
      <c r="I139" s="5">
        <f t="shared" si="37"/>
        <v>18960.611494352619</v>
      </c>
      <c r="J139" s="5">
        <f t="shared" si="38"/>
        <v>0</v>
      </c>
      <c r="K139" s="5">
        <f t="shared" si="45"/>
        <v>18960.611494352619</v>
      </c>
      <c r="L139" s="5">
        <f>IF($A139="", "", IFERROR(SUMIF(PersonaA!$B:$B, $B139, PersonaA!$P:$P) / PPY, 0))</f>
        <v>868.31294270843739</v>
      </c>
      <c r="M139" s="5">
        <f>IF($A139="", "", IFERROR(SUMIF(PersonaB!$B:$B, $B139, PersonaB!$P:$P) / PPY, 0))</f>
        <v>344.13432291683233</v>
      </c>
      <c r="N139" s="15">
        <f t="shared" si="42"/>
        <v>126.40407662901747</v>
      </c>
      <c r="O139" s="15">
        <f t="shared" si="46"/>
        <v>29260.692067670054</v>
      </c>
    </row>
    <row r="140" spans="1:15" x14ac:dyDescent="0.35">
      <c r="A140">
        <f t="shared" si="39"/>
        <v>138</v>
      </c>
      <c r="B140">
        <f t="shared" si="40"/>
        <v>2038</v>
      </c>
      <c r="C140">
        <f t="shared" si="36"/>
        <v>6</v>
      </c>
      <c r="D140" t="b">
        <f t="shared" si="41"/>
        <v>0</v>
      </c>
      <c r="E140" s="5">
        <f>IF($A140="", "", IFERROR(SUMIF(PersonaA!$B:$B, $B140, PersonaA!$O:$O) / PPY, 0))</f>
        <v>1847.4743461881644</v>
      </c>
      <c r="F140" s="5">
        <f>IF($A140="", "", IFERROR(SUMIF(PersonaB!$B:$B, $B140, PersonaB!$O:$O) / PPY, 0))</f>
        <v>732.20068705709002</v>
      </c>
      <c r="G140" s="5">
        <f t="shared" si="43"/>
        <v>3792.122298870524</v>
      </c>
      <c r="H140" s="5">
        <f t="shared" si="44"/>
        <v>18960.611494352619</v>
      </c>
      <c r="I140" s="5">
        <f t="shared" si="37"/>
        <v>22752.733793223142</v>
      </c>
      <c r="J140" s="5">
        <f t="shared" si="38"/>
        <v>0</v>
      </c>
      <c r="K140" s="5">
        <f t="shared" si="45"/>
        <v>22752.733793223142</v>
      </c>
      <c r="L140" s="5">
        <f>IF($A140="", "", IFERROR(SUMIF(PersonaA!$B:$B, $B140, PersonaA!$P:$P) / PPY, 0))</f>
        <v>868.31294270843739</v>
      </c>
      <c r="M140" s="5">
        <f>IF($A140="", "", IFERROR(SUMIF(PersonaB!$B:$B, $B140, PersonaB!$P:$P) / PPY, 0))</f>
        <v>344.13432291683233</v>
      </c>
      <c r="N140" s="16">
        <f t="shared" si="42"/>
        <v>151.68489195482096</v>
      </c>
      <c r="O140" s="16">
        <f t="shared" si="46"/>
        <v>29412.376959624875</v>
      </c>
    </row>
    <row r="141" spans="1:15" x14ac:dyDescent="0.35">
      <c r="A141">
        <f t="shared" si="39"/>
        <v>139</v>
      </c>
      <c r="B141">
        <f t="shared" si="40"/>
        <v>2038</v>
      </c>
      <c r="C141">
        <f t="shared" si="36"/>
        <v>7</v>
      </c>
      <c r="D141" t="b">
        <f t="shared" si="41"/>
        <v>0</v>
      </c>
      <c r="E141" s="5">
        <f>IF($A141="", "", IFERROR(SUMIF(PersonaA!$B:$B, $B141, PersonaA!$O:$O) / PPY, 0))</f>
        <v>1847.4743461881644</v>
      </c>
      <c r="F141" s="5">
        <f>IF($A141="", "", IFERROR(SUMIF(PersonaB!$B:$B, $B141, PersonaB!$O:$O) / PPY, 0))</f>
        <v>732.20068705709002</v>
      </c>
      <c r="G141" s="5">
        <f t="shared" si="43"/>
        <v>3792.122298870524</v>
      </c>
      <c r="H141" s="5">
        <f t="shared" si="44"/>
        <v>22752.733793223142</v>
      </c>
      <c r="I141" s="5">
        <f t="shared" si="37"/>
        <v>26544.856092093665</v>
      </c>
      <c r="J141" s="5">
        <f t="shared" si="38"/>
        <v>0</v>
      </c>
      <c r="K141" s="5">
        <f t="shared" si="45"/>
        <v>26544.856092093665</v>
      </c>
      <c r="L141" s="5">
        <f>IF($A141="", "", IFERROR(SUMIF(PersonaA!$B:$B, $B141, PersonaA!$P:$P) / PPY, 0))</f>
        <v>868.31294270843739</v>
      </c>
      <c r="M141" s="5">
        <f>IF($A141="", "", IFERROR(SUMIF(PersonaB!$B:$B, $B141, PersonaB!$P:$P) / PPY, 0))</f>
        <v>344.13432291683233</v>
      </c>
      <c r="N141" s="15">
        <f t="shared" si="42"/>
        <v>176.96570728062446</v>
      </c>
      <c r="O141" s="15">
        <f t="shared" si="46"/>
        <v>29589.342666905501</v>
      </c>
    </row>
    <row r="142" spans="1:15" x14ac:dyDescent="0.35">
      <c r="A142">
        <f t="shared" si="39"/>
        <v>140</v>
      </c>
      <c r="B142">
        <f t="shared" si="40"/>
        <v>2038</v>
      </c>
      <c r="C142">
        <f t="shared" si="36"/>
        <v>8</v>
      </c>
      <c r="D142" t="b">
        <f t="shared" si="41"/>
        <v>0</v>
      </c>
      <c r="E142" s="5">
        <f>IF($A142="", "", IFERROR(SUMIF(PersonaA!$B:$B, $B142, PersonaA!$O:$O) / PPY, 0))</f>
        <v>1847.4743461881644</v>
      </c>
      <c r="F142" s="5">
        <f>IF($A142="", "", IFERROR(SUMIF(PersonaB!$B:$B, $B142, PersonaB!$O:$O) / PPY, 0))</f>
        <v>732.20068705709002</v>
      </c>
      <c r="G142" s="5">
        <f t="shared" si="43"/>
        <v>3792.122298870524</v>
      </c>
      <c r="H142" s="5">
        <f t="shared" si="44"/>
        <v>26544.856092093665</v>
      </c>
      <c r="I142" s="5">
        <f t="shared" si="37"/>
        <v>30336.978390964188</v>
      </c>
      <c r="J142" s="5">
        <f t="shared" si="38"/>
        <v>0</v>
      </c>
      <c r="K142" s="5">
        <f t="shared" si="45"/>
        <v>30336.978390964188</v>
      </c>
      <c r="L142" s="5">
        <f>IF($A142="", "", IFERROR(SUMIF(PersonaA!$B:$B, $B142, PersonaA!$P:$P) / PPY, 0))</f>
        <v>868.31294270843739</v>
      </c>
      <c r="M142" s="5">
        <f>IF($A142="", "", IFERROR(SUMIF(PersonaB!$B:$B, $B142, PersonaB!$P:$P) / PPY, 0))</f>
        <v>344.13432291683233</v>
      </c>
      <c r="N142" s="16">
        <f t="shared" si="42"/>
        <v>202.24652260642793</v>
      </c>
      <c r="O142" s="16">
        <f t="shared" si="46"/>
        <v>29791.589189511928</v>
      </c>
    </row>
    <row r="143" spans="1:15" x14ac:dyDescent="0.35">
      <c r="A143">
        <f t="shared" si="39"/>
        <v>141</v>
      </c>
      <c r="B143">
        <f t="shared" si="40"/>
        <v>2038</v>
      </c>
      <c r="C143">
        <f t="shared" si="36"/>
        <v>9</v>
      </c>
      <c r="D143" t="b">
        <f t="shared" si="41"/>
        <v>0</v>
      </c>
      <c r="E143" s="5">
        <f>IF($A143="", "", IFERROR(SUMIF(PersonaA!$B:$B, $B143, PersonaA!$O:$O) / PPY, 0))</f>
        <v>1847.4743461881644</v>
      </c>
      <c r="F143" s="5">
        <f>IF($A143="", "", IFERROR(SUMIF(PersonaB!$B:$B, $B143, PersonaB!$O:$O) / PPY, 0))</f>
        <v>732.20068705709002</v>
      </c>
      <c r="G143" s="5">
        <f t="shared" si="43"/>
        <v>3792.122298870524</v>
      </c>
      <c r="H143" s="5">
        <f t="shared" si="44"/>
        <v>30336.978390964188</v>
      </c>
      <c r="I143" s="5">
        <f t="shared" si="37"/>
        <v>34129.100689834711</v>
      </c>
      <c r="J143" s="5">
        <f t="shared" si="38"/>
        <v>0</v>
      </c>
      <c r="K143" s="5">
        <f t="shared" si="45"/>
        <v>34129.100689834711</v>
      </c>
      <c r="L143" s="5">
        <f>IF($A143="", "", IFERROR(SUMIF(PersonaA!$B:$B, $B143, PersonaA!$P:$P) / PPY, 0))</f>
        <v>868.31294270843739</v>
      </c>
      <c r="M143" s="5">
        <f>IF($A143="", "", IFERROR(SUMIF(PersonaB!$B:$B, $B143, PersonaB!$P:$P) / PPY, 0))</f>
        <v>344.13432291683233</v>
      </c>
      <c r="N143" s="15">
        <f t="shared" si="42"/>
        <v>227.52733793223143</v>
      </c>
      <c r="O143" s="15">
        <f t="shared" si="46"/>
        <v>30019.116527444159</v>
      </c>
    </row>
    <row r="144" spans="1:15" x14ac:dyDescent="0.35">
      <c r="A144">
        <f t="shared" si="39"/>
        <v>142</v>
      </c>
      <c r="B144">
        <f t="shared" si="40"/>
        <v>2038</v>
      </c>
      <c r="C144">
        <f t="shared" si="36"/>
        <v>10</v>
      </c>
      <c r="D144" t="b">
        <f t="shared" si="41"/>
        <v>0</v>
      </c>
      <c r="E144" s="5">
        <f>IF($A144="", "", IFERROR(SUMIF(PersonaA!$B:$B, $B144, PersonaA!$O:$O) / PPY, 0))</f>
        <v>1847.4743461881644</v>
      </c>
      <c r="F144" s="5">
        <f>IF($A144="", "", IFERROR(SUMIF(PersonaB!$B:$B, $B144, PersonaB!$O:$O) / PPY, 0))</f>
        <v>732.20068705709002</v>
      </c>
      <c r="G144" s="5">
        <f t="shared" si="43"/>
        <v>3792.122298870524</v>
      </c>
      <c r="H144" s="5">
        <f t="shared" si="44"/>
        <v>34129.100689834711</v>
      </c>
      <c r="I144" s="5">
        <f t="shared" si="37"/>
        <v>37921.222988705238</v>
      </c>
      <c r="J144" s="5">
        <f t="shared" si="38"/>
        <v>0</v>
      </c>
      <c r="K144" s="5">
        <f t="shared" si="45"/>
        <v>37921.222988705238</v>
      </c>
      <c r="L144" s="5">
        <f>IF($A144="", "", IFERROR(SUMIF(PersonaA!$B:$B, $B144, PersonaA!$P:$P) / PPY, 0))</f>
        <v>868.31294270843739</v>
      </c>
      <c r="M144" s="5">
        <f>IF($A144="", "", IFERROR(SUMIF(PersonaB!$B:$B, $B144, PersonaB!$P:$P) / PPY, 0))</f>
        <v>344.13432291683233</v>
      </c>
      <c r="N144" s="16">
        <f t="shared" si="42"/>
        <v>252.80815325803493</v>
      </c>
      <c r="O144" s="16">
        <f t="shared" si="46"/>
        <v>30271.924680702195</v>
      </c>
    </row>
    <row r="145" spans="1:15" x14ac:dyDescent="0.35">
      <c r="A145">
        <f t="shared" si="39"/>
        <v>143</v>
      </c>
      <c r="B145">
        <f t="shared" si="40"/>
        <v>2038</v>
      </c>
      <c r="C145">
        <f t="shared" si="36"/>
        <v>11</v>
      </c>
      <c r="D145" t="b">
        <f t="shared" si="41"/>
        <v>0</v>
      </c>
      <c r="E145" s="5">
        <f>IF($A145="", "", IFERROR(SUMIF(PersonaA!$B:$B, $B145, PersonaA!$O:$O) / PPY, 0))</f>
        <v>1847.4743461881644</v>
      </c>
      <c r="F145" s="5">
        <f>IF($A145="", "", IFERROR(SUMIF(PersonaB!$B:$B, $B145, PersonaB!$O:$O) / PPY, 0))</f>
        <v>732.20068705709002</v>
      </c>
      <c r="G145" s="5">
        <f t="shared" si="43"/>
        <v>3792.122298870524</v>
      </c>
      <c r="H145" s="5">
        <f t="shared" si="44"/>
        <v>37921.222988705238</v>
      </c>
      <c r="I145" s="5">
        <f t="shared" si="37"/>
        <v>41713.345287575765</v>
      </c>
      <c r="J145" s="5">
        <f t="shared" si="38"/>
        <v>0</v>
      </c>
      <c r="K145" s="5">
        <f t="shared" si="45"/>
        <v>41713.345287575765</v>
      </c>
      <c r="L145" s="5">
        <f>IF($A145="", "", IFERROR(SUMIF(PersonaA!$B:$B, $B145, PersonaA!$P:$P) / PPY, 0))</f>
        <v>868.31294270843739</v>
      </c>
      <c r="M145" s="5">
        <f>IF($A145="", "", IFERROR(SUMIF(PersonaB!$B:$B, $B145, PersonaB!$P:$P) / PPY, 0))</f>
        <v>344.13432291683233</v>
      </c>
      <c r="N145" s="15">
        <f t="shared" si="42"/>
        <v>278.08896858383844</v>
      </c>
      <c r="O145" s="15">
        <f t="shared" si="46"/>
        <v>30550.013649286033</v>
      </c>
    </row>
    <row r="146" spans="1:15" x14ac:dyDescent="0.35">
      <c r="A146">
        <f t="shared" si="39"/>
        <v>144</v>
      </c>
      <c r="B146">
        <f t="shared" si="40"/>
        <v>2038</v>
      </c>
      <c r="C146">
        <f t="shared" si="36"/>
        <v>12</v>
      </c>
      <c r="D146" t="b">
        <f t="shared" si="41"/>
        <v>1</v>
      </c>
      <c r="E146" s="5">
        <f>IF($A146="", "", IFERROR(SUMIF(PersonaA!$B:$B, $B146, PersonaA!$O:$O) / PPY, 0))</f>
        <v>1847.4743461881644</v>
      </c>
      <c r="F146" s="5">
        <f>IF($A146="", "", IFERROR(SUMIF(PersonaB!$B:$B, $B146, PersonaB!$O:$O) / PPY, 0))</f>
        <v>732.20068705709002</v>
      </c>
      <c r="G146" s="5">
        <f t="shared" si="43"/>
        <v>3792.122298870524</v>
      </c>
      <c r="H146" s="5">
        <f t="shared" si="44"/>
        <v>41713.345287575765</v>
      </c>
      <c r="I146" s="5">
        <f t="shared" si="37"/>
        <v>45505.467586446292</v>
      </c>
      <c r="J146" s="5">
        <f t="shared" si="38"/>
        <v>45505.467586446292</v>
      </c>
      <c r="K146" s="5">
        <f t="shared" si="45"/>
        <v>0</v>
      </c>
      <c r="L146" s="5">
        <f>IF($A146="", "", IFERROR(SUMIF(PersonaA!$B:$B, $B146, PersonaA!$P:$P) / PPY, 0))</f>
        <v>868.31294270843739</v>
      </c>
      <c r="M146" s="5">
        <f>IF($A146="", "", IFERROR(SUMIF(PersonaB!$B:$B, $B146, PersonaB!$P:$P) / PPY, 0))</f>
        <v>344.13432291683233</v>
      </c>
      <c r="N146" s="16">
        <f t="shared" si="42"/>
        <v>303.36978390964197</v>
      </c>
      <c r="O146" s="16">
        <f t="shared" si="46"/>
        <v>30853.383433195675</v>
      </c>
    </row>
    <row r="147" spans="1:15" x14ac:dyDescent="0.35">
      <c r="A147">
        <f t="shared" si="39"/>
        <v>145</v>
      </c>
      <c r="B147">
        <f t="shared" si="40"/>
        <v>2039</v>
      </c>
      <c r="C147">
        <f t="shared" si="36"/>
        <v>1</v>
      </c>
      <c r="D147" t="b">
        <f t="shared" si="41"/>
        <v>0</v>
      </c>
      <c r="E147" s="5">
        <f>IF($A147="", "", IFERROR(SUMIF(PersonaA!$B:$B, $B147, PersonaA!$O:$O) / PPY, 0))</f>
        <v>0</v>
      </c>
      <c r="F147" s="5">
        <f>IF($A147="", "", IFERROR(SUMIF(PersonaB!$B:$B, $B147, PersonaB!$O:$O) / PPY, 0))</f>
        <v>865.0890375668514</v>
      </c>
      <c r="G147" s="5">
        <f t="shared" si="43"/>
        <v>1271.6808852232716</v>
      </c>
      <c r="H147" s="5">
        <f t="shared" si="44"/>
        <v>0</v>
      </c>
      <c r="I147" s="5">
        <f t="shared" si="37"/>
        <v>1271.6808852232716</v>
      </c>
      <c r="J147" s="5">
        <f t="shared" si="38"/>
        <v>0</v>
      </c>
      <c r="K147" s="5">
        <f t="shared" si="45"/>
        <v>1271.6808852232716</v>
      </c>
      <c r="L147" s="5">
        <f>IF($A147="", "", IFERROR(SUMIF(PersonaA!$B:$B, $B147, PersonaA!$P:$P) / PPY, 0))</f>
        <v>0</v>
      </c>
      <c r="M147" s="5">
        <f>IF($A147="", "", IFERROR(SUMIF(PersonaB!$B:$B, $B147, PersonaB!$P:$P) / PPY, 0))</f>
        <v>406.59184765642016</v>
      </c>
      <c r="N147" s="15">
        <f t="shared" si="42"/>
        <v>8.4778725681551439</v>
      </c>
      <c r="O147" s="15">
        <f t="shared" si="46"/>
        <v>30861.861305763829</v>
      </c>
    </row>
    <row r="148" spans="1:15" x14ac:dyDescent="0.35">
      <c r="A148">
        <f t="shared" si="39"/>
        <v>146</v>
      </c>
      <c r="B148">
        <f t="shared" si="40"/>
        <v>2039</v>
      </c>
      <c r="C148">
        <f t="shared" si="36"/>
        <v>2</v>
      </c>
      <c r="D148" t="b">
        <f t="shared" si="41"/>
        <v>0</v>
      </c>
      <c r="E148" s="5">
        <f>IF($A148="", "", IFERROR(SUMIF(PersonaA!$B:$B, $B148, PersonaA!$O:$O) / PPY, 0))</f>
        <v>0</v>
      </c>
      <c r="F148" s="5">
        <f>IF($A148="", "", IFERROR(SUMIF(PersonaB!$B:$B, $B148, PersonaB!$O:$O) / PPY, 0))</f>
        <v>865.0890375668514</v>
      </c>
      <c r="G148" s="5">
        <f t="shared" si="43"/>
        <v>1271.6808852232716</v>
      </c>
      <c r="H148" s="5">
        <f t="shared" si="44"/>
        <v>1271.6808852232716</v>
      </c>
      <c r="I148" s="5">
        <f t="shared" si="37"/>
        <v>2543.3617704465432</v>
      </c>
      <c r="J148" s="5">
        <f t="shared" si="38"/>
        <v>0</v>
      </c>
      <c r="K148" s="5">
        <f t="shared" si="45"/>
        <v>2543.3617704465432</v>
      </c>
      <c r="L148" s="5">
        <f>IF($A148="", "", IFERROR(SUMIF(PersonaA!$B:$B, $B148, PersonaA!$P:$P) / PPY, 0))</f>
        <v>0</v>
      </c>
      <c r="M148" s="5">
        <f>IF($A148="", "", IFERROR(SUMIF(PersonaB!$B:$B, $B148, PersonaB!$P:$P) / PPY, 0))</f>
        <v>406.59184765642016</v>
      </c>
      <c r="N148" s="16">
        <f t="shared" si="42"/>
        <v>16.955745136310288</v>
      </c>
      <c r="O148" s="16">
        <f t="shared" si="46"/>
        <v>30878.817050900139</v>
      </c>
    </row>
    <row r="149" spans="1:15" x14ac:dyDescent="0.35">
      <c r="A149">
        <f t="shared" si="39"/>
        <v>147</v>
      </c>
      <c r="B149">
        <f t="shared" si="40"/>
        <v>2039</v>
      </c>
      <c r="C149">
        <f t="shared" si="36"/>
        <v>3</v>
      </c>
      <c r="D149" t="b">
        <f t="shared" si="41"/>
        <v>0</v>
      </c>
      <c r="E149" s="5">
        <f>IF($A149="", "", IFERROR(SUMIF(PersonaA!$B:$B, $B149, PersonaA!$O:$O) / PPY, 0))</f>
        <v>0</v>
      </c>
      <c r="F149" s="5">
        <f>IF($A149="", "", IFERROR(SUMIF(PersonaB!$B:$B, $B149, PersonaB!$O:$O) / PPY, 0))</f>
        <v>865.0890375668514</v>
      </c>
      <c r="G149" s="5">
        <f t="shared" si="43"/>
        <v>1271.6808852232716</v>
      </c>
      <c r="H149" s="5">
        <f t="shared" si="44"/>
        <v>2543.3617704465432</v>
      </c>
      <c r="I149" s="5">
        <f t="shared" si="37"/>
        <v>3815.0426556698148</v>
      </c>
      <c r="J149" s="5">
        <f t="shared" si="38"/>
        <v>0</v>
      </c>
      <c r="K149" s="5">
        <f t="shared" si="45"/>
        <v>3815.0426556698148</v>
      </c>
      <c r="L149" s="5">
        <f>IF($A149="", "", IFERROR(SUMIF(PersonaA!$B:$B, $B149, PersonaA!$P:$P) / PPY, 0))</f>
        <v>0</v>
      </c>
      <c r="M149" s="5">
        <f>IF($A149="", "", IFERROR(SUMIF(PersonaB!$B:$B, $B149, PersonaB!$P:$P) / PPY, 0))</f>
        <v>406.59184765642016</v>
      </c>
      <c r="N149" s="15">
        <f t="shared" si="42"/>
        <v>25.433617704465433</v>
      </c>
      <c r="O149" s="15">
        <f t="shared" si="46"/>
        <v>30904.250668604604</v>
      </c>
    </row>
    <row r="150" spans="1:15" x14ac:dyDescent="0.35">
      <c r="A150">
        <f t="shared" si="39"/>
        <v>148</v>
      </c>
      <c r="B150">
        <f t="shared" si="40"/>
        <v>2039</v>
      </c>
      <c r="C150">
        <f t="shared" si="36"/>
        <v>4</v>
      </c>
      <c r="D150" t="b">
        <f t="shared" si="41"/>
        <v>0</v>
      </c>
      <c r="E150" s="5">
        <f>IF($A150="", "", IFERROR(SUMIF(PersonaA!$B:$B, $B150, PersonaA!$O:$O) / PPY, 0))</f>
        <v>0</v>
      </c>
      <c r="F150" s="5">
        <f>IF($A150="", "", IFERROR(SUMIF(PersonaB!$B:$B, $B150, PersonaB!$O:$O) / PPY, 0))</f>
        <v>865.0890375668514</v>
      </c>
      <c r="G150" s="5">
        <f t="shared" si="43"/>
        <v>1271.6808852232716</v>
      </c>
      <c r="H150" s="5">
        <f t="shared" si="44"/>
        <v>3815.0426556698148</v>
      </c>
      <c r="I150" s="5">
        <f t="shared" si="37"/>
        <v>5086.7235408930865</v>
      </c>
      <c r="J150" s="5">
        <f t="shared" si="38"/>
        <v>0</v>
      </c>
      <c r="K150" s="5">
        <f t="shared" si="45"/>
        <v>5086.7235408930865</v>
      </c>
      <c r="L150" s="5">
        <f>IF($A150="", "", IFERROR(SUMIF(PersonaA!$B:$B, $B150, PersonaA!$P:$P) / PPY, 0))</f>
        <v>0</v>
      </c>
      <c r="M150" s="5">
        <f>IF($A150="", "", IFERROR(SUMIF(PersonaB!$B:$B, $B150, PersonaB!$P:$P) / PPY, 0))</f>
        <v>406.59184765642016</v>
      </c>
      <c r="N150" s="16">
        <f t="shared" si="42"/>
        <v>33.911490272620576</v>
      </c>
      <c r="O150" s="16">
        <f t="shared" si="46"/>
        <v>30938.162158877225</v>
      </c>
    </row>
    <row r="151" spans="1:15" x14ac:dyDescent="0.35">
      <c r="A151">
        <f t="shared" si="39"/>
        <v>149</v>
      </c>
      <c r="B151">
        <f t="shared" si="40"/>
        <v>2039</v>
      </c>
      <c r="C151">
        <f t="shared" si="36"/>
        <v>5</v>
      </c>
      <c r="D151" t="b">
        <f t="shared" si="41"/>
        <v>0</v>
      </c>
      <c r="E151" s="5">
        <f>IF($A151="", "", IFERROR(SUMIF(PersonaA!$B:$B, $B151, PersonaA!$O:$O) / PPY, 0))</f>
        <v>0</v>
      </c>
      <c r="F151" s="5">
        <f>IF($A151="", "", IFERROR(SUMIF(PersonaB!$B:$B, $B151, PersonaB!$O:$O) / PPY, 0))</f>
        <v>865.0890375668514</v>
      </c>
      <c r="G151" s="5">
        <f t="shared" si="43"/>
        <v>1271.6808852232716</v>
      </c>
      <c r="H151" s="5">
        <f t="shared" si="44"/>
        <v>5086.7235408930865</v>
      </c>
      <c r="I151" s="5">
        <f t="shared" si="37"/>
        <v>6358.4044261163581</v>
      </c>
      <c r="J151" s="5">
        <f t="shared" si="38"/>
        <v>0</v>
      </c>
      <c r="K151" s="5">
        <f t="shared" si="45"/>
        <v>6358.4044261163581</v>
      </c>
      <c r="L151" s="5">
        <f>IF($A151="", "", IFERROR(SUMIF(PersonaA!$B:$B, $B151, PersonaA!$P:$P) / PPY, 0))</f>
        <v>0</v>
      </c>
      <c r="M151" s="5">
        <f>IF($A151="", "", IFERROR(SUMIF(PersonaB!$B:$B, $B151, PersonaB!$P:$P) / PPY, 0))</f>
        <v>406.59184765642016</v>
      </c>
      <c r="N151" s="15">
        <f t="shared" si="42"/>
        <v>42.389362840775725</v>
      </c>
      <c r="O151" s="15">
        <f t="shared" si="46"/>
        <v>30980.551521718</v>
      </c>
    </row>
    <row r="152" spans="1:15" x14ac:dyDescent="0.35">
      <c r="A152">
        <f t="shared" si="39"/>
        <v>150</v>
      </c>
      <c r="B152">
        <f t="shared" si="40"/>
        <v>2039</v>
      </c>
      <c r="C152">
        <f t="shared" si="36"/>
        <v>6</v>
      </c>
      <c r="D152" t="b">
        <f t="shared" si="41"/>
        <v>0</v>
      </c>
      <c r="E152" s="5">
        <f>IF($A152="", "", IFERROR(SUMIF(PersonaA!$B:$B, $B152, PersonaA!$O:$O) / PPY, 0))</f>
        <v>0</v>
      </c>
      <c r="F152" s="5">
        <f>IF($A152="", "", IFERROR(SUMIF(PersonaB!$B:$B, $B152, PersonaB!$O:$O) / PPY, 0))</f>
        <v>865.0890375668514</v>
      </c>
      <c r="G152" s="5">
        <f t="shared" si="43"/>
        <v>1271.6808852232716</v>
      </c>
      <c r="H152" s="5">
        <f t="shared" si="44"/>
        <v>6358.4044261163581</v>
      </c>
      <c r="I152" s="5">
        <f t="shared" si="37"/>
        <v>7630.0853113396297</v>
      </c>
      <c r="J152" s="5">
        <f t="shared" si="38"/>
        <v>0</v>
      </c>
      <c r="K152" s="5">
        <f t="shared" si="45"/>
        <v>7630.0853113396297</v>
      </c>
      <c r="L152" s="5">
        <f>IF($A152="", "", IFERROR(SUMIF(PersonaA!$B:$B, $B152, PersonaA!$P:$P) / PPY, 0))</f>
        <v>0</v>
      </c>
      <c r="M152" s="5">
        <f>IF($A152="", "", IFERROR(SUMIF(PersonaB!$B:$B, $B152, PersonaB!$P:$P) / PPY, 0))</f>
        <v>406.59184765642016</v>
      </c>
      <c r="N152" s="16">
        <f t="shared" si="42"/>
        <v>50.867235408930867</v>
      </c>
      <c r="O152" s="16">
        <f t="shared" si="46"/>
        <v>31031.418757126932</v>
      </c>
    </row>
    <row r="153" spans="1:15" x14ac:dyDescent="0.35">
      <c r="A153">
        <f t="shared" si="39"/>
        <v>151</v>
      </c>
      <c r="B153">
        <f t="shared" si="40"/>
        <v>2039</v>
      </c>
      <c r="C153">
        <f t="shared" si="36"/>
        <v>7</v>
      </c>
      <c r="D153" t="b">
        <f t="shared" si="41"/>
        <v>0</v>
      </c>
      <c r="E153" s="5">
        <f>IF($A153="", "", IFERROR(SUMIF(PersonaA!$B:$B, $B153, PersonaA!$O:$O) / PPY, 0))</f>
        <v>0</v>
      </c>
      <c r="F153" s="5">
        <f>IF($A153="", "", IFERROR(SUMIF(PersonaB!$B:$B, $B153, PersonaB!$O:$O) / PPY, 0))</f>
        <v>865.0890375668514</v>
      </c>
      <c r="G153" s="5">
        <f t="shared" si="43"/>
        <v>1271.6808852232716</v>
      </c>
      <c r="H153" s="5">
        <f t="shared" si="44"/>
        <v>7630.0853113396297</v>
      </c>
      <c r="I153" s="5">
        <f t="shared" si="37"/>
        <v>8901.7661965629013</v>
      </c>
      <c r="J153" s="5">
        <f t="shared" si="38"/>
        <v>0</v>
      </c>
      <c r="K153" s="5">
        <f t="shared" si="45"/>
        <v>8901.7661965629013</v>
      </c>
      <c r="L153" s="5">
        <f>IF($A153="", "", IFERROR(SUMIF(PersonaA!$B:$B, $B153, PersonaA!$P:$P) / PPY, 0))</f>
        <v>0</v>
      </c>
      <c r="M153" s="5">
        <f>IF($A153="", "", IFERROR(SUMIF(PersonaB!$B:$B, $B153, PersonaB!$P:$P) / PPY, 0))</f>
        <v>406.59184765642016</v>
      </c>
      <c r="N153" s="15">
        <f t="shared" si="42"/>
        <v>59.345107977086009</v>
      </c>
      <c r="O153" s="15">
        <f t="shared" si="46"/>
        <v>31090.763865104018</v>
      </c>
    </row>
    <row r="154" spans="1:15" x14ac:dyDescent="0.35">
      <c r="A154">
        <f t="shared" si="39"/>
        <v>152</v>
      </c>
      <c r="B154">
        <f t="shared" si="40"/>
        <v>2039</v>
      </c>
      <c r="C154">
        <f t="shared" si="36"/>
        <v>8</v>
      </c>
      <c r="D154" t="b">
        <f t="shared" si="41"/>
        <v>0</v>
      </c>
      <c r="E154" s="5">
        <f>IF($A154="", "", IFERROR(SUMIF(PersonaA!$B:$B, $B154, PersonaA!$O:$O) / PPY, 0))</f>
        <v>0</v>
      </c>
      <c r="F154" s="5">
        <f>IF($A154="", "", IFERROR(SUMIF(PersonaB!$B:$B, $B154, PersonaB!$O:$O) / PPY, 0))</f>
        <v>865.0890375668514</v>
      </c>
      <c r="G154" s="5">
        <f t="shared" si="43"/>
        <v>1271.6808852232716</v>
      </c>
      <c r="H154" s="5">
        <f t="shared" si="44"/>
        <v>8901.7661965629013</v>
      </c>
      <c r="I154" s="5">
        <f t="shared" si="37"/>
        <v>10173.447081786173</v>
      </c>
      <c r="J154" s="5">
        <f t="shared" si="38"/>
        <v>0</v>
      </c>
      <c r="K154" s="5">
        <f t="shared" si="45"/>
        <v>10173.447081786173</v>
      </c>
      <c r="L154" s="5">
        <f>IF($A154="", "", IFERROR(SUMIF(PersonaA!$B:$B, $B154, PersonaA!$P:$P) / PPY, 0))</f>
        <v>0</v>
      </c>
      <c r="M154" s="5">
        <f>IF($A154="", "", IFERROR(SUMIF(PersonaB!$B:$B, $B154, PersonaB!$P:$P) / PPY, 0))</f>
        <v>406.59184765642016</v>
      </c>
      <c r="N154" s="16">
        <f t="shared" si="42"/>
        <v>67.822980545241151</v>
      </c>
      <c r="O154" s="16">
        <f t="shared" si="46"/>
        <v>31158.586845649261</v>
      </c>
    </row>
    <row r="155" spans="1:15" x14ac:dyDescent="0.35">
      <c r="A155">
        <f t="shared" si="39"/>
        <v>153</v>
      </c>
      <c r="B155">
        <f t="shared" si="40"/>
        <v>2039</v>
      </c>
      <c r="C155">
        <f t="shared" si="36"/>
        <v>9</v>
      </c>
      <c r="D155" t="b">
        <f t="shared" si="41"/>
        <v>0</v>
      </c>
      <c r="E155" s="5">
        <f>IF($A155="", "", IFERROR(SUMIF(PersonaA!$B:$B, $B155, PersonaA!$O:$O) / PPY, 0))</f>
        <v>0</v>
      </c>
      <c r="F155" s="5">
        <f>IF($A155="", "", IFERROR(SUMIF(PersonaB!$B:$B, $B155, PersonaB!$O:$O) / PPY, 0))</f>
        <v>865.0890375668514</v>
      </c>
      <c r="G155" s="5">
        <f t="shared" si="43"/>
        <v>1271.6808852232716</v>
      </c>
      <c r="H155" s="5">
        <f t="shared" si="44"/>
        <v>10173.447081786173</v>
      </c>
      <c r="I155" s="5">
        <f t="shared" si="37"/>
        <v>11445.127967009445</v>
      </c>
      <c r="J155" s="5">
        <f t="shared" si="38"/>
        <v>0</v>
      </c>
      <c r="K155" s="5">
        <f t="shared" si="45"/>
        <v>11445.127967009445</v>
      </c>
      <c r="L155" s="5">
        <f>IF($A155="", "", IFERROR(SUMIF(PersonaA!$B:$B, $B155, PersonaA!$P:$P) / PPY, 0))</f>
        <v>0</v>
      </c>
      <c r="M155" s="5">
        <f>IF($A155="", "", IFERROR(SUMIF(PersonaB!$B:$B, $B155, PersonaB!$P:$P) / PPY, 0))</f>
        <v>406.59184765642016</v>
      </c>
      <c r="N155" s="15">
        <f t="shared" si="42"/>
        <v>76.3008531133963</v>
      </c>
      <c r="O155" s="15">
        <f t="shared" si="46"/>
        <v>31234.887698762657</v>
      </c>
    </row>
    <row r="156" spans="1:15" x14ac:dyDescent="0.35">
      <c r="A156">
        <f t="shared" si="39"/>
        <v>154</v>
      </c>
      <c r="B156">
        <f t="shared" si="40"/>
        <v>2039</v>
      </c>
      <c r="C156">
        <f t="shared" si="36"/>
        <v>10</v>
      </c>
      <c r="D156" t="b">
        <f t="shared" si="41"/>
        <v>0</v>
      </c>
      <c r="E156" s="5">
        <f>IF($A156="", "", IFERROR(SUMIF(PersonaA!$B:$B, $B156, PersonaA!$O:$O) / PPY, 0))</f>
        <v>0</v>
      </c>
      <c r="F156" s="5">
        <f>IF($A156="", "", IFERROR(SUMIF(PersonaB!$B:$B, $B156, PersonaB!$O:$O) / PPY, 0))</f>
        <v>865.0890375668514</v>
      </c>
      <c r="G156" s="5">
        <f t="shared" si="43"/>
        <v>1271.6808852232716</v>
      </c>
      <c r="H156" s="5">
        <f t="shared" si="44"/>
        <v>11445.127967009445</v>
      </c>
      <c r="I156" s="5">
        <f t="shared" si="37"/>
        <v>12716.808852232716</v>
      </c>
      <c r="J156" s="5">
        <f t="shared" si="38"/>
        <v>0</v>
      </c>
      <c r="K156" s="5">
        <f t="shared" si="45"/>
        <v>12716.808852232716</v>
      </c>
      <c r="L156" s="5">
        <f>IF($A156="", "", IFERROR(SUMIF(PersonaA!$B:$B, $B156, PersonaA!$P:$P) / PPY, 0))</f>
        <v>0</v>
      </c>
      <c r="M156" s="5">
        <f>IF($A156="", "", IFERROR(SUMIF(PersonaB!$B:$B, $B156, PersonaB!$P:$P) / PPY, 0))</f>
        <v>406.59184765642016</v>
      </c>
      <c r="N156" s="16">
        <f t="shared" si="42"/>
        <v>84.77872568155145</v>
      </c>
      <c r="O156" s="16">
        <f t="shared" si="46"/>
        <v>31319.666424444207</v>
      </c>
    </row>
    <row r="157" spans="1:15" x14ac:dyDescent="0.35">
      <c r="A157">
        <f t="shared" si="39"/>
        <v>155</v>
      </c>
      <c r="B157">
        <f t="shared" si="40"/>
        <v>2039</v>
      </c>
      <c r="C157">
        <f t="shared" si="36"/>
        <v>11</v>
      </c>
      <c r="D157" t="b">
        <f t="shared" si="41"/>
        <v>0</v>
      </c>
      <c r="E157" s="5">
        <f>IF($A157="", "", IFERROR(SUMIF(PersonaA!$B:$B, $B157, PersonaA!$O:$O) / PPY, 0))</f>
        <v>0</v>
      </c>
      <c r="F157" s="5">
        <f>IF($A157="", "", IFERROR(SUMIF(PersonaB!$B:$B, $B157, PersonaB!$O:$O) / PPY, 0))</f>
        <v>865.0890375668514</v>
      </c>
      <c r="G157" s="5">
        <f t="shared" si="43"/>
        <v>1271.6808852232716</v>
      </c>
      <c r="H157" s="5">
        <f t="shared" si="44"/>
        <v>12716.808852232716</v>
      </c>
      <c r="I157" s="5">
        <f t="shared" si="37"/>
        <v>13988.489737455988</v>
      </c>
      <c r="J157" s="5">
        <f t="shared" si="38"/>
        <v>0</v>
      </c>
      <c r="K157" s="5">
        <f t="shared" si="45"/>
        <v>13988.489737455988</v>
      </c>
      <c r="L157" s="5">
        <f>IF($A157="", "", IFERROR(SUMIF(PersonaA!$B:$B, $B157, PersonaA!$P:$P) / PPY, 0))</f>
        <v>0</v>
      </c>
      <c r="M157" s="5">
        <f>IF($A157="", "", IFERROR(SUMIF(PersonaB!$B:$B, $B157, PersonaB!$P:$P) / PPY, 0))</f>
        <v>406.59184765642016</v>
      </c>
      <c r="N157" s="15">
        <f t="shared" si="42"/>
        <v>93.256598249706585</v>
      </c>
      <c r="O157" s="15">
        <f t="shared" si="46"/>
        <v>31412.923022693914</v>
      </c>
    </row>
    <row r="158" spans="1:15" x14ac:dyDescent="0.35">
      <c r="A158">
        <f t="shared" si="39"/>
        <v>156</v>
      </c>
      <c r="B158">
        <f t="shared" si="40"/>
        <v>2039</v>
      </c>
      <c r="C158">
        <f t="shared" si="36"/>
        <v>12</v>
      </c>
      <c r="D158" t="b">
        <f t="shared" si="41"/>
        <v>1</v>
      </c>
      <c r="E158" s="5">
        <f>IF($A158="", "", IFERROR(SUMIF(PersonaA!$B:$B, $B158, PersonaA!$O:$O) / PPY, 0))</f>
        <v>0</v>
      </c>
      <c r="F158" s="5">
        <f>IF($A158="", "", IFERROR(SUMIF(PersonaB!$B:$B, $B158, PersonaB!$O:$O) / PPY, 0))</f>
        <v>865.0890375668514</v>
      </c>
      <c r="G158" s="5">
        <f t="shared" si="43"/>
        <v>1271.6808852232716</v>
      </c>
      <c r="H158" s="5">
        <f t="shared" si="44"/>
        <v>13988.489737455988</v>
      </c>
      <c r="I158" s="5">
        <f t="shared" si="37"/>
        <v>15260.170622679259</v>
      </c>
      <c r="J158" s="5">
        <f t="shared" si="38"/>
        <v>15260.170622679259</v>
      </c>
      <c r="K158" s="5">
        <f t="shared" si="45"/>
        <v>0</v>
      </c>
      <c r="L158" s="5">
        <f>IF($A158="", "", IFERROR(SUMIF(PersonaA!$B:$B, $B158, PersonaA!$P:$P) / PPY, 0))</f>
        <v>0</v>
      </c>
      <c r="M158" s="5">
        <f>IF($A158="", "", IFERROR(SUMIF(PersonaB!$B:$B, $B158, PersonaB!$P:$P) / PPY, 0))</f>
        <v>406.59184765642016</v>
      </c>
      <c r="N158" s="18">
        <f t="shared" si="42"/>
        <v>101.73447081786173</v>
      </c>
      <c r="O158" s="18">
        <f t="shared" si="46"/>
        <v>31514.657493511775</v>
      </c>
    </row>
    <row r="159" spans="1:15" x14ac:dyDescent="0.35">
      <c r="A159">
        <f t="shared" si="39"/>
        <v>157</v>
      </c>
      <c r="B159">
        <f t="shared" si="40"/>
        <v>2040</v>
      </c>
      <c r="C159">
        <f t="shared" ref="C159:C182" si="47">IF(A159="", "",MOD(A159-1, PPY)+1)</f>
        <v>1</v>
      </c>
      <c r="D159" t="b">
        <f t="shared" ref="D159:D182" si="48">IF(A159="", "",C159=PPY)</f>
        <v>0</v>
      </c>
      <c r="E159" s="5">
        <f>IF($A159="", "", IFERROR(SUMIF(PersonaA!$B:$B, $B159, PersonaA!$O:$O) / PPY, 0))</f>
        <v>0</v>
      </c>
      <c r="F159" s="5">
        <f>IF($A159="", "", IFERROR(SUMIF(PersonaB!$B:$B, $B159, PersonaB!$O:$O) / PPY, 0))</f>
        <v>787.75793017268973</v>
      </c>
      <c r="G159" s="5">
        <f t="shared" ref="G159:G182" si="49">IF(A159="", "", E159+F159+L159+M159)</f>
        <v>1158.0041573538538</v>
      </c>
      <c r="H159" s="5">
        <f t="shared" ref="H159:H182" si="50">IF($A159="", "", K158)</f>
        <v>0</v>
      </c>
      <c r="I159" s="5">
        <f t="shared" ref="I159:I182" si="51">IF(A159="", "",H159+G159)</f>
        <v>1158.0041573538538</v>
      </c>
      <c r="J159" s="5">
        <f t="shared" ref="J159:J182" si="52">IF(A159="", "",IF(D159,I159,0))</f>
        <v>0</v>
      </c>
      <c r="K159" s="5">
        <f t="shared" ref="K159:K182" si="53">IF(A159="", "",IF(D159,0,I159-J159))</f>
        <v>1158.0041573538538</v>
      </c>
      <c r="L159" s="5">
        <f>IF($A159="", "", IFERROR(SUMIF(PersonaA!$B:$B, $B159, PersonaA!$P:$P) / PPY, 0))</f>
        <v>0</v>
      </c>
      <c r="M159" s="5">
        <f>IF($A159="", "", IFERROR(SUMIF(PersonaB!$B:$B, $B159, PersonaB!$P:$P) / PPY, 0))</f>
        <v>370.24622718116416</v>
      </c>
      <c r="N159" s="5">
        <f t="shared" ref="N159:N182" si="54">IF($A159="", "", I159*(LoanRate/PPY))</f>
        <v>7.7200277156923587</v>
      </c>
      <c r="O159" s="5">
        <f t="shared" ref="O159:O182" si="55">IF($A159="", "", O158+N159)</f>
        <v>31522.377521227467</v>
      </c>
    </row>
    <row r="160" spans="1:15" x14ac:dyDescent="0.35">
      <c r="A160">
        <f t="shared" si="39"/>
        <v>158</v>
      </c>
      <c r="B160">
        <f t="shared" si="40"/>
        <v>2040</v>
      </c>
      <c r="C160">
        <f t="shared" si="47"/>
        <v>2</v>
      </c>
      <c r="D160" t="b">
        <f t="shared" si="48"/>
        <v>0</v>
      </c>
      <c r="E160" s="5">
        <f>IF($A160="", "", IFERROR(SUMIF(PersonaA!$B:$B, $B160, PersonaA!$O:$O) / PPY, 0))</f>
        <v>0</v>
      </c>
      <c r="F160" s="5">
        <f>IF($A160="", "", IFERROR(SUMIF(PersonaB!$B:$B, $B160, PersonaB!$O:$O) / PPY, 0))</f>
        <v>787.75793017268973</v>
      </c>
      <c r="G160" s="5">
        <f t="shared" si="49"/>
        <v>1158.0041573538538</v>
      </c>
      <c r="H160" s="5">
        <f t="shared" si="50"/>
        <v>1158.0041573538538</v>
      </c>
      <c r="I160" s="5">
        <f t="shared" si="51"/>
        <v>2316.0083147077075</v>
      </c>
      <c r="J160" s="5">
        <f t="shared" si="52"/>
        <v>0</v>
      </c>
      <c r="K160" s="5">
        <f t="shared" si="53"/>
        <v>2316.0083147077075</v>
      </c>
      <c r="L160" s="5">
        <f>IF($A160="", "", IFERROR(SUMIF(PersonaA!$B:$B, $B160, PersonaA!$P:$P) / PPY, 0))</f>
        <v>0</v>
      </c>
      <c r="M160" s="5">
        <f>IF($A160="", "", IFERROR(SUMIF(PersonaB!$B:$B, $B160, PersonaB!$P:$P) / PPY, 0))</f>
        <v>370.24622718116416</v>
      </c>
      <c r="N160" s="5">
        <f t="shared" si="54"/>
        <v>15.440055431384717</v>
      </c>
      <c r="O160" s="5">
        <f t="shared" si="55"/>
        <v>31537.81757665885</v>
      </c>
    </row>
    <row r="161" spans="1:15" x14ac:dyDescent="0.35">
      <c r="A161">
        <f t="shared" si="39"/>
        <v>159</v>
      </c>
      <c r="B161">
        <f t="shared" si="40"/>
        <v>2040</v>
      </c>
      <c r="C161">
        <f t="shared" si="47"/>
        <v>3</v>
      </c>
      <c r="D161" t="b">
        <f t="shared" si="48"/>
        <v>0</v>
      </c>
      <c r="E161" s="5">
        <f>IF($A161="", "", IFERROR(SUMIF(PersonaA!$B:$B, $B161, PersonaA!$O:$O) / PPY, 0))</f>
        <v>0</v>
      </c>
      <c r="F161" s="5">
        <f>IF($A161="", "", IFERROR(SUMIF(PersonaB!$B:$B, $B161, PersonaB!$O:$O) / PPY, 0))</f>
        <v>787.75793017268973</v>
      </c>
      <c r="G161" s="5">
        <f t="shared" si="49"/>
        <v>1158.0041573538538</v>
      </c>
      <c r="H161" s="5">
        <f t="shared" si="50"/>
        <v>2316.0083147077075</v>
      </c>
      <c r="I161" s="5">
        <f t="shared" si="51"/>
        <v>3474.0124720615613</v>
      </c>
      <c r="J161" s="5">
        <f t="shared" si="52"/>
        <v>0</v>
      </c>
      <c r="K161" s="5">
        <f t="shared" si="53"/>
        <v>3474.0124720615613</v>
      </c>
      <c r="L161" s="5">
        <f>IF($A161="", "", IFERROR(SUMIF(PersonaA!$B:$B, $B161, PersonaA!$P:$P) / PPY, 0))</f>
        <v>0</v>
      </c>
      <c r="M161" s="5">
        <f>IF($A161="", "", IFERROR(SUMIF(PersonaB!$B:$B, $B161, PersonaB!$P:$P) / PPY, 0))</f>
        <v>370.24622718116416</v>
      </c>
      <c r="N161" s="5">
        <f t="shared" si="54"/>
        <v>23.160083147077078</v>
      </c>
      <c r="O161" s="5">
        <f t="shared" si="55"/>
        <v>31560.977659805929</v>
      </c>
    </row>
    <row r="162" spans="1:15" x14ac:dyDescent="0.35">
      <c r="A162">
        <f t="shared" si="39"/>
        <v>160</v>
      </c>
      <c r="B162">
        <f t="shared" si="40"/>
        <v>2040</v>
      </c>
      <c r="C162">
        <f t="shared" si="47"/>
        <v>4</v>
      </c>
      <c r="D162" t="b">
        <f t="shared" si="48"/>
        <v>0</v>
      </c>
      <c r="E162" s="5">
        <f>IF($A162="", "", IFERROR(SUMIF(PersonaA!$B:$B, $B162, PersonaA!$O:$O) / PPY, 0))</f>
        <v>0</v>
      </c>
      <c r="F162" s="5">
        <f>IF($A162="", "", IFERROR(SUMIF(PersonaB!$B:$B, $B162, PersonaB!$O:$O) / PPY, 0))</f>
        <v>787.75793017268973</v>
      </c>
      <c r="G162" s="5">
        <f t="shared" si="49"/>
        <v>1158.0041573538538</v>
      </c>
      <c r="H162" s="5">
        <f t="shared" si="50"/>
        <v>3474.0124720615613</v>
      </c>
      <c r="I162" s="5">
        <f t="shared" si="51"/>
        <v>4632.0166294154151</v>
      </c>
      <c r="J162" s="5">
        <f t="shared" si="52"/>
        <v>0</v>
      </c>
      <c r="K162" s="5">
        <f t="shared" si="53"/>
        <v>4632.0166294154151</v>
      </c>
      <c r="L162" s="5">
        <f>IF($A162="", "", IFERROR(SUMIF(PersonaA!$B:$B, $B162, PersonaA!$P:$P) / PPY, 0))</f>
        <v>0</v>
      </c>
      <c r="M162" s="5">
        <f>IF($A162="", "", IFERROR(SUMIF(PersonaB!$B:$B, $B162, PersonaB!$P:$P) / PPY, 0))</f>
        <v>370.24622718116416</v>
      </c>
      <c r="N162" s="5">
        <f t="shared" si="54"/>
        <v>30.880110862769435</v>
      </c>
      <c r="O162" s="5">
        <f t="shared" si="55"/>
        <v>31591.857770668699</v>
      </c>
    </row>
    <row r="163" spans="1:15" x14ac:dyDescent="0.35">
      <c r="A163">
        <f t="shared" si="39"/>
        <v>161</v>
      </c>
      <c r="B163">
        <f t="shared" si="40"/>
        <v>2040</v>
      </c>
      <c r="C163">
        <f t="shared" si="47"/>
        <v>5</v>
      </c>
      <c r="D163" t="b">
        <f t="shared" si="48"/>
        <v>0</v>
      </c>
      <c r="E163" s="5">
        <f>IF($A163="", "", IFERROR(SUMIF(PersonaA!$B:$B, $B163, PersonaA!$O:$O) / PPY, 0))</f>
        <v>0</v>
      </c>
      <c r="F163" s="5">
        <f>IF($A163="", "", IFERROR(SUMIF(PersonaB!$B:$B, $B163, PersonaB!$O:$O) / PPY, 0))</f>
        <v>787.75793017268973</v>
      </c>
      <c r="G163" s="5">
        <f t="shared" si="49"/>
        <v>1158.0041573538538</v>
      </c>
      <c r="H163" s="5">
        <f t="shared" si="50"/>
        <v>4632.0166294154151</v>
      </c>
      <c r="I163" s="5">
        <f t="shared" si="51"/>
        <v>5790.0207867692689</v>
      </c>
      <c r="J163" s="5">
        <f t="shared" si="52"/>
        <v>0</v>
      </c>
      <c r="K163" s="5">
        <f t="shared" si="53"/>
        <v>5790.0207867692689</v>
      </c>
      <c r="L163" s="5">
        <f>IF($A163="", "", IFERROR(SUMIF(PersonaA!$B:$B, $B163, PersonaA!$P:$P) / PPY, 0))</f>
        <v>0</v>
      </c>
      <c r="M163" s="5">
        <f>IF($A163="", "", IFERROR(SUMIF(PersonaB!$B:$B, $B163, PersonaB!$P:$P) / PPY, 0))</f>
        <v>370.24622718116416</v>
      </c>
      <c r="N163" s="5">
        <f t="shared" si="54"/>
        <v>38.600138578461795</v>
      </c>
      <c r="O163" s="5">
        <f t="shared" si="55"/>
        <v>31630.457909247161</v>
      </c>
    </row>
    <row r="164" spans="1:15" x14ac:dyDescent="0.35">
      <c r="A164">
        <f t="shared" si="39"/>
        <v>162</v>
      </c>
      <c r="B164">
        <f t="shared" si="40"/>
        <v>2040</v>
      </c>
      <c r="C164">
        <f t="shared" si="47"/>
        <v>6</v>
      </c>
      <c r="D164" t="b">
        <f t="shared" si="48"/>
        <v>0</v>
      </c>
      <c r="E164" s="5">
        <f>IF($A164="", "", IFERROR(SUMIF(PersonaA!$B:$B, $B164, PersonaA!$O:$O) / PPY, 0))</f>
        <v>0</v>
      </c>
      <c r="F164" s="5">
        <f>IF($A164="", "", IFERROR(SUMIF(PersonaB!$B:$B, $B164, PersonaB!$O:$O) / PPY, 0))</f>
        <v>787.75793017268973</v>
      </c>
      <c r="G164" s="5">
        <f t="shared" si="49"/>
        <v>1158.0041573538538</v>
      </c>
      <c r="H164" s="5">
        <f t="shared" si="50"/>
        <v>5790.0207867692689</v>
      </c>
      <c r="I164" s="5">
        <f t="shared" si="51"/>
        <v>6948.0249441231226</v>
      </c>
      <c r="J164" s="5">
        <f t="shared" si="52"/>
        <v>0</v>
      </c>
      <c r="K164" s="5">
        <f t="shared" si="53"/>
        <v>6948.0249441231226</v>
      </c>
      <c r="L164" s="5">
        <f>IF($A164="", "", IFERROR(SUMIF(PersonaA!$B:$B, $B164, PersonaA!$P:$P) / PPY, 0))</f>
        <v>0</v>
      </c>
      <c r="M164" s="5">
        <f>IF($A164="", "", IFERROR(SUMIF(PersonaB!$B:$B, $B164, PersonaB!$P:$P) / PPY, 0))</f>
        <v>370.24622718116416</v>
      </c>
      <c r="N164" s="5">
        <f t="shared" si="54"/>
        <v>46.320166294154156</v>
      </c>
      <c r="O164" s="5">
        <f t="shared" si="55"/>
        <v>31676.778075541315</v>
      </c>
    </row>
    <row r="165" spans="1:15" x14ac:dyDescent="0.35">
      <c r="A165">
        <f t="shared" si="39"/>
        <v>163</v>
      </c>
      <c r="B165">
        <f t="shared" si="40"/>
        <v>2040</v>
      </c>
      <c r="C165">
        <f t="shared" si="47"/>
        <v>7</v>
      </c>
      <c r="D165" t="b">
        <f t="shared" si="48"/>
        <v>0</v>
      </c>
      <c r="E165" s="5">
        <f>IF($A165="", "", IFERROR(SUMIF(PersonaA!$B:$B, $B165, PersonaA!$O:$O) / PPY, 0))</f>
        <v>0</v>
      </c>
      <c r="F165" s="5">
        <f>IF($A165="", "", IFERROR(SUMIF(PersonaB!$B:$B, $B165, PersonaB!$O:$O) / PPY, 0))</f>
        <v>787.75793017268973</v>
      </c>
      <c r="G165" s="5">
        <f t="shared" si="49"/>
        <v>1158.0041573538538</v>
      </c>
      <c r="H165" s="5">
        <f t="shared" si="50"/>
        <v>6948.0249441231226</v>
      </c>
      <c r="I165" s="5">
        <f t="shared" si="51"/>
        <v>8106.0291014769764</v>
      </c>
      <c r="J165" s="5">
        <f t="shared" si="52"/>
        <v>0</v>
      </c>
      <c r="K165" s="5">
        <f t="shared" si="53"/>
        <v>8106.0291014769764</v>
      </c>
      <c r="L165" s="5">
        <f>IF($A165="", "", IFERROR(SUMIF(PersonaA!$B:$B, $B165, PersonaA!$P:$P) / PPY, 0))</f>
        <v>0</v>
      </c>
      <c r="M165" s="5">
        <f>IF($A165="", "", IFERROR(SUMIF(PersonaB!$B:$B, $B165, PersonaB!$P:$P) / PPY, 0))</f>
        <v>370.24622718116416</v>
      </c>
      <c r="N165" s="5">
        <f t="shared" si="54"/>
        <v>54.040194009846516</v>
      </c>
      <c r="O165" s="5">
        <f t="shared" si="55"/>
        <v>31730.81826955116</v>
      </c>
    </row>
    <row r="166" spans="1:15" x14ac:dyDescent="0.35">
      <c r="A166">
        <f t="shared" si="39"/>
        <v>164</v>
      </c>
      <c r="B166">
        <f t="shared" si="40"/>
        <v>2040</v>
      </c>
      <c r="C166">
        <f t="shared" si="47"/>
        <v>8</v>
      </c>
      <c r="D166" t="b">
        <f t="shared" si="48"/>
        <v>0</v>
      </c>
      <c r="E166" s="5">
        <f>IF($A166="", "", IFERROR(SUMIF(PersonaA!$B:$B, $B166, PersonaA!$O:$O) / PPY, 0))</f>
        <v>0</v>
      </c>
      <c r="F166" s="5">
        <f>IF($A166="", "", IFERROR(SUMIF(PersonaB!$B:$B, $B166, PersonaB!$O:$O) / PPY, 0))</f>
        <v>787.75793017268973</v>
      </c>
      <c r="G166" s="5">
        <f t="shared" si="49"/>
        <v>1158.0041573538538</v>
      </c>
      <c r="H166" s="5">
        <f t="shared" si="50"/>
        <v>8106.0291014769764</v>
      </c>
      <c r="I166" s="5">
        <f t="shared" si="51"/>
        <v>9264.0332588308302</v>
      </c>
      <c r="J166" s="5">
        <f t="shared" si="52"/>
        <v>0</v>
      </c>
      <c r="K166" s="5">
        <f t="shared" si="53"/>
        <v>9264.0332588308302</v>
      </c>
      <c r="L166" s="5">
        <f>IF($A166="", "", IFERROR(SUMIF(PersonaA!$B:$B, $B166, PersonaA!$P:$P) / PPY, 0))</f>
        <v>0</v>
      </c>
      <c r="M166" s="5">
        <f>IF($A166="", "", IFERROR(SUMIF(PersonaB!$B:$B, $B166, PersonaB!$P:$P) / PPY, 0))</f>
        <v>370.24622718116416</v>
      </c>
      <c r="N166" s="5">
        <f t="shared" si="54"/>
        <v>61.760221725538869</v>
      </c>
      <c r="O166" s="5">
        <f t="shared" si="55"/>
        <v>31792.578491276698</v>
      </c>
    </row>
    <row r="167" spans="1:15" x14ac:dyDescent="0.35">
      <c r="A167">
        <f t="shared" si="39"/>
        <v>165</v>
      </c>
      <c r="B167">
        <f t="shared" si="40"/>
        <v>2040</v>
      </c>
      <c r="C167">
        <f t="shared" si="47"/>
        <v>9</v>
      </c>
      <c r="D167" t="b">
        <f t="shared" si="48"/>
        <v>0</v>
      </c>
      <c r="E167" s="5">
        <f>IF($A167="", "", IFERROR(SUMIF(PersonaA!$B:$B, $B167, PersonaA!$O:$O) / PPY, 0))</f>
        <v>0</v>
      </c>
      <c r="F167" s="5">
        <f>IF($A167="", "", IFERROR(SUMIF(PersonaB!$B:$B, $B167, PersonaB!$O:$O) / PPY, 0))</f>
        <v>787.75793017268973</v>
      </c>
      <c r="G167" s="5">
        <f t="shared" si="49"/>
        <v>1158.0041573538538</v>
      </c>
      <c r="H167" s="5">
        <f t="shared" si="50"/>
        <v>9264.0332588308302</v>
      </c>
      <c r="I167" s="5">
        <f t="shared" si="51"/>
        <v>10422.037416184685</v>
      </c>
      <c r="J167" s="5">
        <f t="shared" si="52"/>
        <v>0</v>
      </c>
      <c r="K167" s="5">
        <f t="shared" si="53"/>
        <v>10422.037416184685</v>
      </c>
      <c r="L167" s="5">
        <f>IF($A167="", "", IFERROR(SUMIF(PersonaA!$B:$B, $B167, PersonaA!$P:$P) / PPY, 0))</f>
        <v>0</v>
      </c>
      <c r="M167" s="5">
        <f>IF($A167="", "", IFERROR(SUMIF(PersonaB!$B:$B, $B167, PersonaB!$P:$P) / PPY, 0))</f>
        <v>370.24622718116416</v>
      </c>
      <c r="N167" s="5">
        <f t="shared" si="54"/>
        <v>69.480249441231237</v>
      </c>
      <c r="O167" s="5">
        <f t="shared" si="55"/>
        <v>31862.05874071793</v>
      </c>
    </row>
    <row r="168" spans="1:15" x14ac:dyDescent="0.35">
      <c r="A168">
        <f t="shared" si="39"/>
        <v>166</v>
      </c>
      <c r="B168">
        <f t="shared" si="40"/>
        <v>2040</v>
      </c>
      <c r="C168">
        <f t="shared" si="47"/>
        <v>10</v>
      </c>
      <c r="D168" t="b">
        <f t="shared" si="48"/>
        <v>0</v>
      </c>
      <c r="E168" s="5">
        <f>IF($A168="", "", IFERROR(SUMIF(PersonaA!$B:$B, $B168, PersonaA!$O:$O) / PPY, 0))</f>
        <v>0</v>
      </c>
      <c r="F168" s="5">
        <f>IF($A168="", "", IFERROR(SUMIF(PersonaB!$B:$B, $B168, PersonaB!$O:$O) / PPY, 0))</f>
        <v>787.75793017268973</v>
      </c>
      <c r="G168" s="5">
        <f t="shared" si="49"/>
        <v>1158.0041573538538</v>
      </c>
      <c r="H168" s="5">
        <f t="shared" si="50"/>
        <v>10422.037416184685</v>
      </c>
      <c r="I168" s="5">
        <f t="shared" si="51"/>
        <v>11580.04157353854</v>
      </c>
      <c r="J168" s="5">
        <f t="shared" si="52"/>
        <v>0</v>
      </c>
      <c r="K168" s="5">
        <f t="shared" si="53"/>
        <v>11580.04157353854</v>
      </c>
      <c r="L168" s="5">
        <f>IF($A168="", "", IFERROR(SUMIF(PersonaA!$B:$B, $B168, PersonaA!$P:$P) / PPY, 0))</f>
        <v>0</v>
      </c>
      <c r="M168" s="5">
        <f>IF($A168="", "", IFERROR(SUMIF(PersonaB!$B:$B, $B168, PersonaB!$P:$P) / PPY, 0))</f>
        <v>370.24622718116416</v>
      </c>
      <c r="N168" s="5">
        <f t="shared" si="54"/>
        <v>77.200277156923605</v>
      </c>
      <c r="O168" s="5">
        <f t="shared" si="55"/>
        <v>31939.259017874854</v>
      </c>
    </row>
    <row r="169" spans="1:15" x14ac:dyDescent="0.35">
      <c r="A169">
        <f t="shared" si="39"/>
        <v>167</v>
      </c>
      <c r="B169">
        <f t="shared" si="40"/>
        <v>2040</v>
      </c>
      <c r="C169">
        <f t="shared" si="47"/>
        <v>11</v>
      </c>
      <c r="D169" t="b">
        <f t="shared" si="48"/>
        <v>0</v>
      </c>
      <c r="E169" s="5">
        <f>IF($A169="", "", IFERROR(SUMIF(PersonaA!$B:$B, $B169, PersonaA!$O:$O) / PPY, 0))</f>
        <v>0</v>
      </c>
      <c r="F169" s="5">
        <f>IF($A169="", "", IFERROR(SUMIF(PersonaB!$B:$B, $B169, PersonaB!$O:$O) / PPY, 0))</f>
        <v>787.75793017268973</v>
      </c>
      <c r="G169" s="5">
        <f t="shared" si="49"/>
        <v>1158.0041573538538</v>
      </c>
      <c r="H169" s="5">
        <f t="shared" si="50"/>
        <v>11580.04157353854</v>
      </c>
      <c r="I169" s="5">
        <f t="shared" si="51"/>
        <v>12738.045730892394</v>
      </c>
      <c r="J169" s="5">
        <f t="shared" si="52"/>
        <v>0</v>
      </c>
      <c r="K169" s="5">
        <f t="shared" si="53"/>
        <v>12738.045730892394</v>
      </c>
      <c r="L169" s="5">
        <f>IF($A169="", "", IFERROR(SUMIF(PersonaA!$B:$B, $B169, PersonaA!$P:$P) / PPY, 0))</f>
        <v>0</v>
      </c>
      <c r="M169" s="5">
        <f>IF($A169="", "", IFERROR(SUMIF(PersonaB!$B:$B, $B169, PersonaB!$P:$P) / PPY, 0))</f>
        <v>370.24622718116416</v>
      </c>
      <c r="N169" s="5">
        <f t="shared" si="54"/>
        <v>84.920304872615972</v>
      </c>
      <c r="O169" s="5">
        <f t="shared" si="55"/>
        <v>32024.17932274747</v>
      </c>
    </row>
    <row r="170" spans="1:15" x14ac:dyDescent="0.35">
      <c r="A170">
        <f t="shared" si="39"/>
        <v>168</v>
      </c>
      <c r="B170">
        <f t="shared" si="40"/>
        <v>2040</v>
      </c>
      <c r="C170">
        <f t="shared" si="47"/>
        <v>12</v>
      </c>
      <c r="D170" t="b">
        <f t="shared" si="48"/>
        <v>1</v>
      </c>
      <c r="E170" s="5">
        <f>IF($A170="", "", IFERROR(SUMIF(PersonaA!$B:$B, $B170, PersonaA!$O:$O) / PPY, 0))</f>
        <v>0</v>
      </c>
      <c r="F170" s="5">
        <f>IF($A170="", "", IFERROR(SUMIF(PersonaB!$B:$B, $B170, PersonaB!$O:$O) / PPY, 0))</f>
        <v>787.75793017268973</v>
      </c>
      <c r="G170" s="5">
        <f t="shared" si="49"/>
        <v>1158.0041573538538</v>
      </c>
      <c r="H170" s="5">
        <f t="shared" si="50"/>
        <v>12738.045730892394</v>
      </c>
      <c r="I170" s="5">
        <f t="shared" si="51"/>
        <v>13896.049888246249</v>
      </c>
      <c r="J170" s="5">
        <f t="shared" si="52"/>
        <v>13896.049888246249</v>
      </c>
      <c r="K170" s="5">
        <f t="shared" si="53"/>
        <v>0</v>
      </c>
      <c r="L170" s="5">
        <f>IF($A170="", "", IFERROR(SUMIF(PersonaA!$B:$B, $B170, PersonaA!$P:$P) / PPY, 0))</f>
        <v>0</v>
      </c>
      <c r="M170" s="5">
        <f>IF($A170="", "", IFERROR(SUMIF(PersonaB!$B:$B, $B170, PersonaB!$P:$P) / PPY, 0))</f>
        <v>370.24622718116416</v>
      </c>
      <c r="N170" s="5">
        <f t="shared" si="54"/>
        <v>92.640332588308326</v>
      </c>
      <c r="O170" s="5">
        <f t="shared" si="55"/>
        <v>32116.819655335777</v>
      </c>
    </row>
    <row r="171" spans="1:15" x14ac:dyDescent="0.35">
      <c r="A171">
        <f t="shared" si="39"/>
        <v>169</v>
      </c>
      <c r="B171">
        <f t="shared" si="40"/>
        <v>2041</v>
      </c>
      <c r="C171">
        <f t="shared" si="47"/>
        <v>1</v>
      </c>
      <c r="D171" t="b">
        <f t="shared" si="48"/>
        <v>0</v>
      </c>
      <c r="E171" s="5">
        <f>IF($A171="", "", IFERROR(SUMIF(PersonaA!$B:$B, $B171, PersonaA!$O:$O) / PPY, 0))</f>
        <v>0</v>
      </c>
      <c r="F171" s="5">
        <f>IF($A171="", "", IFERROR(SUMIF(PersonaB!$B:$B, $B171, PersonaB!$O:$O) / PPY, 0))</f>
        <v>916.82687842700761</v>
      </c>
      <c r="G171" s="5">
        <f t="shared" si="49"/>
        <v>1347.7355112877012</v>
      </c>
      <c r="H171" s="5">
        <f t="shared" si="50"/>
        <v>0</v>
      </c>
      <c r="I171" s="5">
        <f t="shared" si="51"/>
        <v>1347.7355112877012</v>
      </c>
      <c r="J171" s="5">
        <f t="shared" si="52"/>
        <v>0</v>
      </c>
      <c r="K171" s="5">
        <f t="shared" si="53"/>
        <v>1347.7355112877012</v>
      </c>
      <c r="L171" s="5">
        <f>IF($A171="", "", IFERROR(SUMIF(PersonaA!$B:$B, $B171, PersonaA!$P:$P) / PPY, 0))</f>
        <v>0</v>
      </c>
      <c r="M171" s="5">
        <f>IF($A171="", "", IFERROR(SUMIF(PersonaB!$B:$B, $B171, PersonaB!$P:$P) / PPY, 0))</f>
        <v>430.90863286069356</v>
      </c>
      <c r="N171" s="5">
        <f t="shared" si="54"/>
        <v>8.9849034085846746</v>
      </c>
      <c r="O171" s="5">
        <f t="shared" si="55"/>
        <v>32125.804558744363</v>
      </c>
    </row>
    <row r="172" spans="1:15" x14ac:dyDescent="0.35">
      <c r="A172">
        <f t="shared" si="39"/>
        <v>170</v>
      </c>
      <c r="B172">
        <f t="shared" si="40"/>
        <v>2041</v>
      </c>
      <c r="C172">
        <f t="shared" si="47"/>
        <v>2</v>
      </c>
      <c r="D172" t="b">
        <f t="shared" si="48"/>
        <v>0</v>
      </c>
      <c r="E172" s="5">
        <f>IF($A172="", "", IFERROR(SUMIF(PersonaA!$B:$B, $B172, PersonaA!$O:$O) / PPY, 0))</f>
        <v>0</v>
      </c>
      <c r="F172" s="5">
        <f>IF($A172="", "", IFERROR(SUMIF(PersonaB!$B:$B, $B172, PersonaB!$O:$O) / PPY, 0))</f>
        <v>916.82687842700761</v>
      </c>
      <c r="G172" s="5">
        <f t="shared" si="49"/>
        <v>1347.7355112877012</v>
      </c>
      <c r="H172" s="5">
        <f t="shared" si="50"/>
        <v>1347.7355112877012</v>
      </c>
      <c r="I172" s="5">
        <f t="shared" si="51"/>
        <v>2695.4710225754025</v>
      </c>
      <c r="J172" s="5">
        <f t="shared" si="52"/>
        <v>0</v>
      </c>
      <c r="K172" s="5">
        <f t="shared" si="53"/>
        <v>2695.4710225754025</v>
      </c>
      <c r="L172" s="5">
        <f>IF($A172="", "", IFERROR(SUMIF(PersonaA!$B:$B, $B172, PersonaA!$P:$P) / PPY, 0))</f>
        <v>0</v>
      </c>
      <c r="M172" s="5">
        <f>IF($A172="", "", IFERROR(SUMIF(PersonaB!$B:$B, $B172, PersonaB!$P:$P) / PPY, 0))</f>
        <v>430.90863286069356</v>
      </c>
      <c r="N172" s="5">
        <f t="shared" si="54"/>
        <v>17.969806817169349</v>
      </c>
      <c r="O172" s="5">
        <f t="shared" si="55"/>
        <v>32143.774365561534</v>
      </c>
    </row>
    <row r="173" spans="1:15" x14ac:dyDescent="0.35">
      <c r="A173">
        <f t="shared" si="39"/>
        <v>171</v>
      </c>
      <c r="B173">
        <f t="shared" si="40"/>
        <v>2041</v>
      </c>
      <c r="C173">
        <f t="shared" si="47"/>
        <v>3</v>
      </c>
      <c r="D173" t="b">
        <f t="shared" si="48"/>
        <v>0</v>
      </c>
      <c r="E173" s="5">
        <f>IF($A173="", "", IFERROR(SUMIF(PersonaA!$B:$B, $B173, PersonaA!$O:$O) / PPY, 0))</f>
        <v>0</v>
      </c>
      <c r="F173" s="5">
        <f>IF($A173="", "", IFERROR(SUMIF(PersonaB!$B:$B, $B173, PersonaB!$O:$O) / PPY, 0))</f>
        <v>916.82687842700761</v>
      </c>
      <c r="G173" s="5">
        <f t="shared" si="49"/>
        <v>1347.7355112877012</v>
      </c>
      <c r="H173" s="5">
        <f t="shared" si="50"/>
        <v>2695.4710225754025</v>
      </c>
      <c r="I173" s="5">
        <f t="shared" si="51"/>
        <v>4043.2065338631037</v>
      </c>
      <c r="J173" s="5">
        <f t="shared" si="52"/>
        <v>0</v>
      </c>
      <c r="K173" s="5">
        <f t="shared" si="53"/>
        <v>4043.2065338631037</v>
      </c>
      <c r="L173" s="5">
        <f>IF($A173="", "", IFERROR(SUMIF(PersonaA!$B:$B, $B173, PersonaA!$P:$P) / PPY, 0))</f>
        <v>0</v>
      </c>
      <c r="M173" s="5">
        <f>IF($A173="", "", IFERROR(SUMIF(PersonaB!$B:$B, $B173, PersonaB!$P:$P) / PPY, 0))</f>
        <v>430.90863286069356</v>
      </c>
      <c r="N173" s="5">
        <f t="shared" si="54"/>
        <v>26.954710225754027</v>
      </c>
      <c r="O173" s="5">
        <f t="shared" si="55"/>
        <v>32170.729075787287</v>
      </c>
    </row>
    <row r="174" spans="1:15" x14ac:dyDescent="0.35">
      <c r="A174">
        <f t="shared" si="39"/>
        <v>172</v>
      </c>
      <c r="B174">
        <f t="shared" si="40"/>
        <v>2041</v>
      </c>
      <c r="C174">
        <f t="shared" si="47"/>
        <v>4</v>
      </c>
      <c r="D174" t="b">
        <f t="shared" si="48"/>
        <v>0</v>
      </c>
      <c r="E174" s="5">
        <f>IF($A174="", "", IFERROR(SUMIF(PersonaA!$B:$B, $B174, PersonaA!$O:$O) / PPY, 0))</f>
        <v>0</v>
      </c>
      <c r="F174" s="5">
        <f>IF($A174="", "", IFERROR(SUMIF(PersonaB!$B:$B, $B174, PersonaB!$O:$O) / PPY, 0))</f>
        <v>916.82687842700761</v>
      </c>
      <c r="G174" s="5">
        <f t="shared" si="49"/>
        <v>1347.7355112877012</v>
      </c>
      <c r="H174" s="5">
        <f t="shared" si="50"/>
        <v>4043.2065338631037</v>
      </c>
      <c r="I174" s="5">
        <f t="shared" si="51"/>
        <v>5390.9420451508049</v>
      </c>
      <c r="J174" s="5">
        <f t="shared" si="52"/>
        <v>0</v>
      </c>
      <c r="K174" s="5">
        <f t="shared" si="53"/>
        <v>5390.9420451508049</v>
      </c>
      <c r="L174" s="5">
        <f>IF($A174="", "", IFERROR(SUMIF(PersonaA!$B:$B, $B174, PersonaA!$P:$P) / PPY, 0))</f>
        <v>0</v>
      </c>
      <c r="M174" s="5">
        <f>IF($A174="", "", IFERROR(SUMIF(PersonaB!$B:$B, $B174, PersonaB!$P:$P) / PPY, 0))</f>
        <v>430.90863286069356</v>
      </c>
      <c r="N174" s="5">
        <f t="shared" si="54"/>
        <v>35.939613634338698</v>
      </c>
      <c r="O174" s="5">
        <f t="shared" si="55"/>
        <v>32206.668689421625</v>
      </c>
    </row>
    <row r="175" spans="1:15" x14ac:dyDescent="0.35">
      <c r="A175">
        <f t="shared" si="39"/>
        <v>173</v>
      </c>
      <c r="B175">
        <f t="shared" si="40"/>
        <v>2041</v>
      </c>
      <c r="C175">
        <f t="shared" si="47"/>
        <v>5</v>
      </c>
      <c r="D175" t="b">
        <f t="shared" si="48"/>
        <v>0</v>
      </c>
      <c r="E175" s="5">
        <f>IF($A175="", "", IFERROR(SUMIF(PersonaA!$B:$B, $B175, PersonaA!$O:$O) / PPY, 0))</f>
        <v>0</v>
      </c>
      <c r="F175" s="5">
        <f>IF($A175="", "", IFERROR(SUMIF(PersonaB!$B:$B, $B175, PersonaB!$O:$O) / PPY, 0))</f>
        <v>916.82687842700761</v>
      </c>
      <c r="G175" s="5">
        <f t="shared" si="49"/>
        <v>1347.7355112877012</v>
      </c>
      <c r="H175" s="5">
        <f t="shared" si="50"/>
        <v>5390.9420451508049</v>
      </c>
      <c r="I175" s="5">
        <f t="shared" si="51"/>
        <v>6738.6775564385061</v>
      </c>
      <c r="J175" s="5">
        <f t="shared" si="52"/>
        <v>0</v>
      </c>
      <c r="K175" s="5">
        <f t="shared" si="53"/>
        <v>6738.6775564385061</v>
      </c>
      <c r="L175" s="5">
        <f>IF($A175="", "", IFERROR(SUMIF(PersonaA!$B:$B, $B175, PersonaA!$P:$P) / PPY, 0))</f>
        <v>0</v>
      </c>
      <c r="M175" s="5">
        <f>IF($A175="", "", IFERROR(SUMIF(PersonaB!$B:$B, $B175, PersonaB!$P:$P) / PPY, 0))</f>
        <v>430.90863286069356</v>
      </c>
      <c r="N175" s="5">
        <f t="shared" si="54"/>
        <v>44.924517042923377</v>
      </c>
      <c r="O175" s="5">
        <f t="shared" si="55"/>
        <v>32251.593206464549</v>
      </c>
    </row>
    <row r="176" spans="1:15" x14ac:dyDescent="0.35">
      <c r="A176">
        <f t="shared" si="39"/>
        <v>174</v>
      </c>
      <c r="B176">
        <f t="shared" si="40"/>
        <v>2041</v>
      </c>
      <c r="C176">
        <f t="shared" si="47"/>
        <v>6</v>
      </c>
      <c r="D176" t="b">
        <f t="shared" si="48"/>
        <v>0</v>
      </c>
      <c r="E176" s="5">
        <f>IF($A176="", "", IFERROR(SUMIF(PersonaA!$B:$B, $B176, PersonaA!$O:$O) / PPY, 0))</f>
        <v>0</v>
      </c>
      <c r="F176" s="5">
        <f>IF($A176="", "", IFERROR(SUMIF(PersonaB!$B:$B, $B176, PersonaB!$O:$O) / PPY, 0))</f>
        <v>916.82687842700761</v>
      </c>
      <c r="G176" s="5">
        <f t="shared" si="49"/>
        <v>1347.7355112877012</v>
      </c>
      <c r="H176" s="5">
        <f t="shared" si="50"/>
        <v>6738.6775564385061</v>
      </c>
      <c r="I176" s="5">
        <f t="shared" si="51"/>
        <v>8086.4130677262074</v>
      </c>
      <c r="J176" s="5">
        <f t="shared" si="52"/>
        <v>0</v>
      </c>
      <c r="K176" s="5">
        <f t="shared" si="53"/>
        <v>8086.4130677262074</v>
      </c>
      <c r="L176" s="5">
        <f>IF($A176="", "", IFERROR(SUMIF(PersonaA!$B:$B, $B176, PersonaA!$P:$P) / PPY, 0))</f>
        <v>0</v>
      </c>
      <c r="M176" s="5">
        <f>IF($A176="", "", IFERROR(SUMIF(PersonaB!$B:$B, $B176, PersonaB!$P:$P) / PPY, 0))</f>
        <v>430.90863286069356</v>
      </c>
      <c r="N176" s="5">
        <f t="shared" si="54"/>
        <v>53.909420451508055</v>
      </c>
      <c r="O176" s="5">
        <f t="shared" si="55"/>
        <v>32305.502626916059</v>
      </c>
    </row>
    <row r="177" spans="1:15" x14ac:dyDescent="0.35">
      <c r="A177">
        <f t="shared" si="39"/>
        <v>175</v>
      </c>
      <c r="B177">
        <f t="shared" si="40"/>
        <v>2041</v>
      </c>
      <c r="C177">
        <f t="shared" si="47"/>
        <v>7</v>
      </c>
      <c r="D177" t="b">
        <f t="shared" si="48"/>
        <v>0</v>
      </c>
      <c r="E177" s="5">
        <f>IF($A177="", "", IFERROR(SUMIF(PersonaA!$B:$B, $B177, PersonaA!$O:$O) / PPY, 0))</f>
        <v>0</v>
      </c>
      <c r="F177" s="5">
        <f>IF($A177="", "", IFERROR(SUMIF(PersonaB!$B:$B, $B177, PersonaB!$O:$O) / PPY, 0))</f>
        <v>916.82687842700761</v>
      </c>
      <c r="G177" s="5">
        <f t="shared" si="49"/>
        <v>1347.7355112877012</v>
      </c>
      <c r="H177" s="5">
        <f t="shared" si="50"/>
        <v>8086.4130677262074</v>
      </c>
      <c r="I177" s="5">
        <f t="shared" si="51"/>
        <v>9434.1485790139086</v>
      </c>
      <c r="J177" s="5">
        <f t="shared" si="52"/>
        <v>0</v>
      </c>
      <c r="K177" s="5">
        <f t="shared" si="53"/>
        <v>9434.1485790139086</v>
      </c>
      <c r="L177" s="5">
        <f>IF($A177="", "", IFERROR(SUMIF(PersonaA!$B:$B, $B177, PersonaA!$P:$P) / PPY, 0))</f>
        <v>0</v>
      </c>
      <c r="M177" s="5">
        <f>IF($A177="", "", IFERROR(SUMIF(PersonaB!$B:$B, $B177, PersonaB!$P:$P) / PPY, 0))</f>
        <v>430.90863286069356</v>
      </c>
      <c r="N177" s="5">
        <f t="shared" si="54"/>
        <v>62.894323860092726</v>
      </c>
      <c r="O177" s="5">
        <f t="shared" si="55"/>
        <v>32368.39695077615</v>
      </c>
    </row>
    <row r="178" spans="1:15" x14ac:dyDescent="0.35">
      <c r="A178">
        <f t="shared" si="39"/>
        <v>176</v>
      </c>
      <c r="B178">
        <f t="shared" si="40"/>
        <v>2041</v>
      </c>
      <c r="C178">
        <f t="shared" si="47"/>
        <v>8</v>
      </c>
      <c r="D178" t="b">
        <f t="shared" si="48"/>
        <v>0</v>
      </c>
      <c r="E178" s="5">
        <f>IF($A178="", "", IFERROR(SUMIF(PersonaA!$B:$B, $B178, PersonaA!$O:$O) / PPY, 0))</f>
        <v>0</v>
      </c>
      <c r="F178" s="5">
        <f>IF($A178="", "", IFERROR(SUMIF(PersonaB!$B:$B, $B178, PersonaB!$O:$O) / PPY, 0))</f>
        <v>916.82687842700761</v>
      </c>
      <c r="G178" s="5">
        <f t="shared" si="49"/>
        <v>1347.7355112877012</v>
      </c>
      <c r="H178" s="5">
        <f t="shared" si="50"/>
        <v>9434.1485790139086</v>
      </c>
      <c r="I178" s="5">
        <f t="shared" si="51"/>
        <v>10781.88409030161</v>
      </c>
      <c r="J178" s="5">
        <f t="shared" si="52"/>
        <v>0</v>
      </c>
      <c r="K178" s="5">
        <f t="shared" si="53"/>
        <v>10781.88409030161</v>
      </c>
      <c r="L178" s="5">
        <f>IF($A178="", "", IFERROR(SUMIF(PersonaA!$B:$B, $B178, PersonaA!$P:$P) / PPY, 0))</f>
        <v>0</v>
      </c>
      <c r="M178" s="5">
        <f>IF($A178="", "", IFERROR(SUMIF(PersonaB!$B:$B, $B178, PersonaB!$P:$P) / PPY, 0))</f>
        <v>430.90863286069356</v>
      </c>
      <c r="N178" s="5">
        <f t="shared" si="54"/>
        <v>71.879227268677397</v>
      </c>
      <c r="O178" s="5">
        <f t="shared" si="55"/>
        <v>32440.276178044827</v>
      </c>
    </row>
    <row r="179" spans="1:15" x14ac:dyDescent="0.35">
      <c r="A179">
        <f t="shared" si="39"/>
        <v>177</v>
      </c>
      <c r="B179">
        <f t="shared" si="40"/>
        <v>2041</v>
      </c>
      <c r="C179">
        <f t="shared" si="47"/>
        <v>9</v>
      </c>
      <c r="D179" t="b">
        <f t="shared" si="48"/>
        <v>0</v>
      </c>
      <c r="E179" s="5">
        <f>IF($A179="", "", IFERROR(SUMIF(PersonaA!$B:$B, $B179, PersonaA!$O:$O) / PPY, 0))</f>
        <v>0</v>
      </c>
      <c r="F179" s="5">
        <f>IF($A179="", "", IFERROR(SUMIF(PersonaB!$B:$B, $B179, PersonaB!$O:$O) / PPY, 0))</f>
        <v>916.82687842700761</v>
      </c>
      <c r="G179" s="5">
        <f t="shared" si="49"/>
        <v>1347.7355112877012</v>
      </c>
      <c r="H179" s="5">
        <f t="shared" si="50"/>
        <v>10781.88409030161</v>
      </c>
      <c r="I179" s="5">
        <f t="shared" si="51"/>
        <v>12129.619601589311</v>
      </c>
      <c r="J179" s="5">
        <f t="shared" si="52"/>
        <v>0</v>
      </c>
      <c r="K179" s="5">
        <f t="shared" si="53"/>
        <v>12129.619601589311</v>
      </c>
      <c r="L179" s="5">
        <f>IF($A179="", "", IFERROR(SUMIF(PersonaA!$B:$B, $B179, PersonaA!$P:$P) / PPY, 0))</f>
        <v>0</v>
      </c>
      <c r="M179" s="5">
        <f>IF($A179="", "", IFERROR(SUMIF(PersonaB!$B:$B, $B179, PersonaB!$P:$P) / PPY, 0))</f>
        <v>430.90863286069356</v>
      </c>
      <c r="N179" s="5">
        <f t="shared" si="54"/>
        <v>80.864130677262082</v>
      </c>
      <c r="O179" s="5">
        <f t="shared" si="55"/>
        <v>32521.14030872209</v>
      </c>
    </row>
    <row r="180" spans="1:15" x14ac:dyDescent="0.35">
      <c r="A180">
        <f t="shared" si="39"/>
        <v>178</v>
      </c>
      <c r="B180">
        <f t="shared" si="40"/>
        <v>2041</v>
      </c>
      <c r="C180">
        <f t="shared" si="47"/>
        <v>10</v>
      </c>
      <c r="D180" t="b">
        <f t="shared" si="48"/>
        <v>0</v>
      </c>
      <c r="E180" s="5">
        <f>IF($A180="", "", IFERROR(SUMIF(PersonaA!$B:$B, $B180, PersonaA!$O:$O) / PPY, 0))</f>
        <v>0</v>
      </c>
      <c r="F180" s="5">
        <f>IF($A180="", "", IFERROR(SUMIF(PersonaB!$B:$B, $B180, PersonaB!$O:$O) / PPY, 0))</f>
        <v>916.82687842700761</v>
      </c>
      <c r="G180" s="5">
        <f t="shared" si="49"/>
        <v>1347.7355112877012</v>
      </c>
      <c r="H180" s="5">
        <f t="shared" si="50"/>
        <v>12129.619601589311</v>
      </c>
      <c r="I180" s="5">
        <f t="shared" si="51"/>
        <v>13477.355112877012</v>
      </c>
      <c r="J180" s="5">
        <f t="shared" si="52"/>
        <v>0</v>
      </c>
      <c r="K180" s="5">
        <f t="shared" si="53"/>
        <v>13477.355112877012</v>
      </c>
      <c r="L180" s="5">
        <f>IF($A180="", "", IFERROR(SUMIF(PersonaA!$B:$B, $B180, PersonaA!$P:$P) / PPY, 0))</f>
        <v>0</v>
      </c>
      <c r="M180" s="5">
        <f>IF($A180="", "", IFERROR(SUMIF(PersonaB!$B:$B, $B180, PersonaB!$P:$P) / PPY, 0))</f>
        <v>430.90863286069356</v>
      </c>
      <c r="N180" s="5">
        <f t="shared" si="54"/>
        <v>89.849034085846753</v>
      </c>
      <c r="O180" s="5">
        <f t="shared" si="55"/>
        <v>32610.989342807938</v>
      </c>
    </row>
    <row r="181" spans="1:15" x14ac:dyDescent="0.35">
      <c r="A181">
        <f t="shared" si="39"/>
        <v>179</v>
      </c>
      <c r="B181">
        <f t="shared" si="40"/>
        <v>2041</v>
      </c>
      <c r="C181">
        <f t="shared" si="47"/>
        <v>11</v>
      </c>
      <c r="D181" t="b">
        <f t="shared" si="48"/>
        <v>0</v>
      </c>
      <c r="E181" s="5">
        <f>IF($A181="", "", IFERROR(SUMIF(PersonaA!$B:$B, $B181, PersonaA!$O:$O) / PPY, 0))</f>
        <v>0</v>
      </c>
      <c r="F181" s="5">
        <f>IF($A181="", "", IFERROR(SUMIF(PersonaB!$B:$B, $B181, PersonaB!$O:$O) / PPY, 0))</f>
        <v>916.82687842700761</v>
      </c>
      <c r="G181" s="5">
        <f t="shared" si="49"/>
        <v>1347.7355112877012</v>
      </c>
      <c r="H181" s="5">
        <f t="shared" si="50"/>
        <v>13477.355112877012</v>
      </c>
      <c r="I181" s="5">
        <f t="shared" si="51"/>
        <v>14825.090624164714</v>
      </c>
      <c r="J181" s="5">
        <f t="shared" si="52"/>
        <v>0</v>
      </c>
      <c r="K181" s="5">
        <f t="shared" si="53"/>
        <v>14825.090624164714</v>
      </c>
      <c r="L181" s="5">
        <f>IF($A181="", "", IFERROR(SUMIF(PersonaA!$B:$B, $B181, PersonaA!$P:$P) / PPY, 0))</f>
        <v>0</v>
      </c>
      <c r="M181" s="5">
        <f>IF($A181="", "", IFERROR(SUMIF(PersonaB!$B:$B, $B181, PersonaB!$P:$P) / PPY, 0))</f>
        <v>430.90863286069356</v>
      </c>
      <c r="N181" s="5">
        <f t="shared" si="54"/>
        <v>98.833937494431424</v>
      </c>
      <c r="O181" s="5">
        <f t="shared" si="55"/>
        <v>32709.823280302367</v>
      </c>
    </row>
    <row r="182" spans="1:15" x14ac:dyDescent="0.35">
      <c r="A182">
        <f t="shared" si="39"/>
        <v>180</v>
      </c>
      <c r="B182">
        <f t="shared" si="40"/>
        <v>2041</v>
      </c>
      <c r="C182">
        <f t="shared" si="47"/>
        <v>12</v>
      </c>
      <c r="D182" t="b">
        <f t="shared" si="48"/>
        <v>1</v>
      </c>
      <c r="E182" s="5">
        <f>IF($A182="", "", IFERROR(SUMIF(PersonaA!$B:$B, $B182, PersonaA!$O:$O) / PPY, 0))</f>
        <v>0</v>
      </c>
      <c r="F182" s="5">
        <f>IF($A182="", "", IFERROR(SUMIF(PersonaB!$B:$B, $B182, PersonaB!$O:$O) / PPY, 0))</f>
        <v>916.82687842700761</v>
      </c>
      <c r="G182" s="5">
        <f t="shared" si="49"/>
        <v>1347.7355112877012</v>
      </c>
      <c r="H182" s="5">
        <f t="shared" si="50"/>
        <v>14825.090624164714</v>
      </c>
      <c r="I182" s="5">
        <f t="shared" si="51"/>
        <v>16172.826135452415</v>
      </c>
      <c r="J182" s="5">
        <f t="shared" si="52"/>
        <v>16172.826135452415</v>
      </c>
      <c r="K182" s="5">
        <f t="shared" si="53"/>
        <v>0</v>
      </c>
      <c r="L182" s="5">
        <f>IF($A182="", "", IFERROR(SUMIF(PersonaA!$B:$B, $B182, PersonaA!$P:$P) / PPY, 0))</f>
        <v>0</v>
      </c>
      <c r="M182" s="5">
        <f>IF($A182="", "", IFERROR(SUMIF(PersonaB!$B:$B, $B182, PersonaB!$P:$P) / PPY, 0))</f>
        <v>430.90863286069356</v>
      </c>
      <c r="N182" s="5">
        <f t="shared" si="54"/>
        <v>107.81884090301611</v>
      </c>
      <c r="O182" s="5">
        <f t="shared" si="55"/>
        <v>32817.642121205383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9876-845F-475E-8060-22CCFB36595E}">
  <sheetPr>
    <tabColor rgb="FF00B4D8"/>
  </sheetPr>
  <dimension ref="A1:AC99"/>
  <sheetViews>
    <sheetView workbookViewId="0">
      <pane ySplit="1" topLeftCell="A2" activePane="bottomLeft" state="frozen"/>
      <selection activeCell="F54" sqref="F54"/>
      <selection pane="bottomLeft" activeCell="G14" sqref="G14"/>
    </sheetView>
  </sheetViews>
  <sheetFormatPr defaultRowHeight="14.5" x14ac:dyDescent="0.35"/>
  <cols>
    <col min="1" max="1" width="8.7265625" style="12"/>
    <col min="2" max="2" width="15" style="5" customWidth="1"/>
    <col min="3" max="3" width="13" style="5" customWidth="1"/>
    <col min="4" max="4" width="13.36328125" style="5" customWidth="1"/>
    <col min="5" max="5" width="14.7265625" style="5" customWidth="1"/>
    <col min="6" max="6" width="25" style="5" customWidth="1"/>
    <col min="7" max="7" width="19.7265625" style="5" customWidth="1"/>
    <col min="8" max="8" width="17" style="5" customWidth="1"/>
    <col min="9" max="9" width="24.1796875" style="5" customWidth="1"/>
    <col min="10" max="10" width="18.453125" style="5" customWidth="1"/>
    <col min="11" max="11" width="17.6328125" style="5" customWidth="1"/>
    <col min="12" max="12" width="14.81640625" style="5" customWidth="1"/>
    <col min="13" max="13" width="11.36328125" style="5" customWidth="1"/>
    <col min="14" max="19" width="10.90625" style="5" bestFit="1" customWidth="1"/>
    <col min="20" max="20" width="9.90625" style="5" bestFit="1" customWidth="1"/>
    <col min="21" max="25" width="8.7265625" style="5"/>
    <col min="26" max="26" width="12.90625" bestFit="1" customWidth="1"/>
    <col min="27" max="27" width="24.1796875" bestFit="1" customWidth="1"/>
    <col min="28" max="28" width="20.08984375" bestFit="1" customWidth="1"/>
  </cols>
  <sheetData>
    <row r="1" spans="1:29" s="80" customFormat="1" ht="24" customHeight="1" x14ac:dyDescent="0.3">
      <c r="A1" s="110" t="s">
        <v>23</v>
      </c>
      <c r="B1" s="126" t="s">
        <v>37</v>
      </c>
      <c r="C1" s="126" t="s">
        <v>38</v>
      </c>
      <c r="D1" s="89" t="s">
        <v>62</v>
      </c>
      <c r="E1" s="89" t="s">
        <v>39</v>
      </c>
      <c r="F1" s="89" t="s">
        <v>63</v>
      </c>
      <c r="G1" s="89" t="s">
        <v>40</v>
      </c>
      <c r="H1" s="89" t="s">
        <v>41</v>
      </c>
      <c r="I1" s="89" t="s">
        <v>29</v>
      </c>
      <c r="J1" s="127" t="s">
        <v>64</v>
      </c>
      <c r="K1" s="127" t="s">
        <v>44</v>
      </c>
      <c r="L1" s="127" t="s">
        <v>65</v>
      </c>
      <c r="M1" s="127" t="s">
        <v>66</v>
      </c>
      <c r="N1" s="128" t="s">
        <v>109</v>
      </c>
      <c r="O1" s="128" t="s">
        <v>110</v>
      </c>
      <c r="P1" s="128" t="s">
        <v>111</v>
      </c>
      <c r="Q1" s="128" t="s">
        <v>112</v>
      </c>
      <c r="R1" s="128" t="s">
        <v>113</v>
      </c>
      <c r="S1" s="128" t="s">
        <v>114</v>
      </c>
      <c r="T1" s="129" t="s">
        <v>67</v>
      </c>
      <c r="U1" s="129" t="s">
        <v>68</v>
      </c>
      <c r="V1" s="129" t="s">
        <v>69</v>
      </c>
      <c r="W1" s="129" t="s">
        <v>70</v>
      </c>
      <c r="X1" s="129" t="s">
        <v>71</v>
      </c>
      <c r="Y1" s="129" t="s">
        <v>72</v>
      </c>
      <c r="Z1" s="130" t="s">
        <v>90</v>
      </c>
      <c r="AA1" s="130" t="s">
        <v>91</v>
      </c>
      <c r="AB1" s="80" t="s">
        <v>235</v>
      </c>
      <c r="AC1" s="80" t="b">
        <f>ISNUMBER(N1)</f>
        <v>0</v>
      </c>
    </row>
    <row r="2" spans="1:29" x14ac:dyDescent="0.35">
      <c r="A2" s="13">
        <f>YEAR(StartYear)</f>
        <v>2027</v>
      </c>
      <c r="B2" s="5">
        <f>IncA</f>
        <v>145000</v>
      </c>
      <c r="C2" s="5">
        <f t="shared" ref="C2:C13" si="0">IFERROR(IF($A2="", "", B2*SGRate), 0)</f>
        <v>17400</v>
      </c>
      <c r="D2" s="5">
        <f>ConcessCap</f>
        <v>32500</v>
      </c>
      <c r="E2" s="5">
        <f>CarryFwdStartA</f>
        <v>70000</v>
      </c>
      <c r="F2" s="5">
        <f>IFERROR(IF($A2="","",_xlfn.XLOOKUP($A2,PersonaA!B:B,PersonaA!Q:Q,,,-1)),0)</f>
        <v>85100</v>
      </c>
      <c r="G2" s="5">
        <f>IFERROR(IF($A2="", "", MAX(0, D2+E2-C2-AA2)), 0)</f>
        <v>0</v>
      </c>
      <c r="H2" s="5">
        <v>0</v>
      </c>
      <c r="I2" s="5">
        <f t="shared" ref="I2:I13" si="1">IFERROR(IF($A2="", "", MAX(0, D2+E2-C2)), 0)</f>
        <v>85100</v>
      </c>
      <c r="J2" s="5">
        <f>SuperBalStartA</f>
        <v>180000</v>
      </c>
      <c r="K2" s="5">
        <f t="shared" ref="K2:K13" si="2">IFERROR(IF($A2="", "", J2*(1+SuperReturn*(1-SuperTaxRate)) + (C2+AA2)*(1-SuperTaxRate) - M2), 0)</f>
        <v>277835</v>
      </c>
      <c r="L2" s="5">
        <f t="shared" ref="L2:L13" si="3">IFERROR(IF($A2="", "", B2 + AA2 + NetInvLoss), 0)</f>
        <v>230100</v>
      </c>
      <c r="M2" s="5">
        <f t="shared" ref="M2:M13" si="4">IFERROR(IF($A2="", "", IF(L2 &gt; Div293Thresh, 0.15 * MIN(AA2, L2 - Div293Thresh), 0)), 0)</f>
        <v>0</v>
      </c>
      <c r="N2" s="5">
        <f>IFERROR(IF($A2="", "", G2), 0)</f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f>IF($A2="","",MIN(MAX(0,F2),N2))</f>
        <v>0</v>
      </c>
      <c r="U2" s="5">
        <f>IF($A2="","",MIN(MAX(0,F2-T2),O2))</f>
        <v>0</v>
      </c>
      <c r="V2" s="5">
        <f>IF($A2="","",MIN(MAX(0,F2-T2-U2),P2))</f>
        <v>0</v>
      </c>
      <c r="W2" s="5">
        <f>IF($A2="","",MIN(MAX(0,F2-T2-U2-V2),Q2))</f>
        <v>0</v>
      </c>
      <c r="X2" s="5">
        <f>IF($A2="","",MIN(MAX(0,F2-T2-U2-V2-W2),R2))</f>
        <v>0</v>
      </c>
      <c r="Y2" s="5">
        <f>IF($A2="","",MIN(MAX(0,F2-T2-U2-V2-W2-X2),S2))</f>
        <v>0</v>
      </c>
      <c r="Z2" s="5">
        <f>IF($A2="","",IF(AND(SpousalTransfer="Yes", TransferDir="Yes", SuperBalStartA&gt;=500000), F2, 0))</f>
        <v>0</v>
      </c>
      <c r="AA2" s="5">
        <f>IF($A2="","",F2-Z2)</f>
        <v>85100</v>
      </c>
      <c r="AB2" s="5" cm="1">
        <f t="array" ref="AB2">IF($A2="","",TaxPayable(B2))</f>
        <v>37620</v>
      </c>
    </row>
    <row r="3" spans="1:29" x14ac:dyDescent="0.35">
      <c r="A3" s="13">
        <f t="shared" ref="A3:A13" si="5">IF(ROW()-1 &lt;= ProjYearsA, A2+1, "")</f>
        <v>2028</v>
      </c>
      <c r="B3" s="5">
        <f t="shared" ref="B3:B19" si="6">IF($A3="","",B2*(1+Inflation))</f>
        <v>148625</v>
      </c>
      <c r="C3" s="5">
        <f t="shared" si="0"/>
        <v>17835</v>
      </c>
      <c r="D3" s="5">
        <f t="shared" ref="D3:D13" si="7">IF($A3="","",D2+IF(MOD(A3-YEAR(StartYear),CapIndexYears)=0,CapIncrement,0))</f>
        <v>32500</v>
      </c>
      <c r="E3" s="5">
        <f t="shared" ref="E3:E13" si="8">IFERROR(IF($A3="", "", IF(J2&gt;500000, 0, MAX(0, G2-H3))), 0)</f>
        <v>0</v>
      </c>
      <c r="F3" s="5">
        <f>IFERROR(IF($A3="","",_xlfn.XLOOKUP($A3,PersonaA!B:B,PersonaA!Q:Q,,,-1)),0)</f>
        <v>14665</v>
      </c>
      <c r="G3" s="5">
        <f t="shared" ref="G3:G13" si="9">IFERROR(IF($A3="", "", MAX(0, D3+E3-C3-AA3)), 0)</f>
        <v>0</v>
      </c>
      <c r="H3" s="5">
        <f t="shared" ref="H3:H13" si="10">IFERROR(IF($A3="","",IF(YEAR(StartYear)+0&lt;A3-5,N2-T2,0)+IF(YEAR(StartYear)+1&lt;A3-5,O2-U2,0)+IF(YEAR(StartYear)+2&lt;A3-5,P2-V2,0)+IF(YEAR(StartYear)+3&lt;A3-5,Q2-W2,0)+IF(YEAR(StartYear)+4&lt;A3-5,R2-X2,0)+IF(YEAR(StartYear)+5&lt;A3-5,S2-Y2,0)),0)</f>
        <v>0</v>
      </c>
      <c r="I3" s="5">
        <f t="shared" si="1"/>
        <v>14665</v>
      </c>
      <c r="J3" s="5">
        <f>IFERROR(IF($A3="", "", K2), 0)</f>
        <v>277835</v>
      </c>
      <c r="K3" s="5">
        <f t="shared" si="2"/>
        <v>321991.18250000005</v>
      </c>
      <c r="L3" s="5">
        <f t="shared" si="3"/>
        <v>163290</v>
      </c>
      <c r="M3" s="5">
        <f t="shared" si="4"/>
        <v>0</v>
      </c>
      <c r="N3" s="5">
        <f>IFERROR(IF($A3="", "", G2), 0)</f>
        <v>0</v>
      </c>
      <c r="O3" s="5">
        <f>IFERROR(IF($A3="", "", N2), 0)</f>
        <v>0</v>
      </c>
      <c r="P3" s="5">
        <f t="shared" ref="P3:S3" si="11">IFERROR(IF($A3="", "", O2), 0)</f>
        <v>0</v>
      </c>
      <c r="Q3" s="5">
        <f t="shared" si="11"/>
        <v>0</v>
      </c>
      <c r="R3" s="5">
        <f t="shared" si="11"/>
        <v>0</v>
      </c>
      <c r="S3" s="5">
        <f t="shared" si="11"/>
        <v>0</v>
      </c>
      <c r="T3" s="5">
        <f>IF($A3="","",MIN(MAX(0,F3),N3))</f>
        <v>0</v>
      </c>
      <c r="U3" s="5">
        <f>IF($A3="","",MIN(MAX(0,F3-T3),O3))</f>
        <v>0</v>
      </c>
      <c r="V3" s="5">
        <f>IF($A3="","",MIN(MAX(0,F3-T3-U3),P3))</f>
        <v>0</v>
      </c>
      <c r="W3" s="5">
        <f>IF($A3="","",MIN(MAX(0,F3-T3-U3-V3),Q3))</f>
        <v>0</v>
      </c>
      <c r="X3" s="5">
        <f>IF($A3="","",MIN(MAX(0,F3-T3-U3-V3-W3),R3))</f>
        <v>0</v>
      </c>
      <c r="Y3" s="5">
        <f>IF($A3="","",MIN(MAX(0,F3-T3-U3-V3-W3-X3),S3))</f>
        <v>0</v>
      </c>
      <c r="Z3" s="5">
        <f t="shared" ref="Z3:Z13" si="12">IF($A3="","",IF(AND(SpousalTransfer="Yes", TransferDir="Yes", J2&gt;=500000), F3, 0))</f>
        <v>0</v>
      </c>
      <c r="AA3" s="5">
        <f>IF($A3="","",F3-Z3)</f>
        <v>14665</v>
      </c>
      <c r="AB3" s="5" cm="1">
        <f t="array" ref="AB3">IF($A3="","",TaxPayable(B3))</f>
        <v>39033.75</v>
      </c>
    </row>
    <row r="4" spans="1:29" x14ac:dyDescent="0.35">
      <c r="A4" s="13">
        <f t="shared" si="5"/>
        <v>2029</v>
      </c>
      <c r="B4" s="5">
        <f t="shared" si="6"/>
        <v>152340.625</v>
      </c>
      <c r="C4" s="5">
        <f t="shared" si="0"/>
        <v>18280.875</v>
      </c>
      <c r="D4" s="5">
        <f t="shared" si="7"/>
        <v>35000</v>
      </c>
      <c r="E4" s="5">
        <f t="shared" si="8"/>
        <v>0</v>
      </c>
      <c r="F4" s="5">
        <f>IFERROR(IF($A4="","",_xlfn.XLOOKUP($A4,PersonaA!B:B,PersonaA!Q:Q,,,-1)),0)</f>
        <v>16719.125</v>
      </c>
      <c r="G4" s="5">
        <f t="shared" si="9"/>
        <v>0</v>
      </c>
      <c r="H4" s="5">
        <f t="shared" si="10"/>
        <v>0</v>
      </c>
      <c r="I4" s="5">
        <f t="shared" si="1"/>
        <v>16719.125</v>
      </c>
      <c r="J4" s="5">
        <f t="shared" ref="J4:J8" si="13">IFERROR(IF($A4="", "", K3), 0)</f>
        <v>321991.18250000005</v>
      </c>
      <c r="K4" s="5">
        <f t="shared" si="2"/>
        <v>370899.65785875008</v>
      </c>
      <c r="L4" s="5">
        <f t="shared" si="3"/>
        <v>169059.75</v>
      </c>
      <c r="M4" s="5">
        <f t="shared" si="4"/>
        <v>0</v>
      </c>
      <c r="N4" s="5">
        <f t="shared" ref="N4:N8" si="14">IFERROR(IF($A4="", "", G3), 0)</f>
        <v>0</v>
      </c>
      <c r="O4" s="5">
        <f t="shared" ref="O4:O8" si="15">IFERROR(IF($A4="", "", N3), 0)</f>
        <v>0</v>
      </c>
      <c r="P4" s="5">
        <f t="shared" ref="P4:P8" si="16">IFERROR(IF($A4="", "", O3), 0)</f>
        <v>0</v>
      </c>
      <c r="Q4" s="5">
        <f t="shared" ref="Q4:Q8" si="17">IFERROR(IF($A4="", "", P3), 0)</f>
        <v>0</v>
      </c>
      <c r="R4" s="5">
        <f t="shared" ref="R4:R8" si="18">IFERROR(IF($A4="", "", Q3), 0)</f>
        <v>0</v>
      </c>
      <c r="S4" s="5">
        <f t="shared" ref="S4:S8" si="19">IFERROR(IF($A4="", "", R3), 0)</f>
        <v>0</v>
      </c>
      <c r="T4" s="5">
        <f t="shared" ref="T4:T13" si="20">IF($A4="","",MIN(MAX(0,F4),N4))</f>
        <v>0</v>
      </c>
      <c r="U4" s="5">
        <f t="shared" ref="U4:U13" si="21">IF($A4="","",MIN(MAX(0,F4-T4),O4))</f>
        <v>0</v>
      </c>
      <c r="V4" s="5">
        <f t="shared" ref="V4:V13" si="22">IF($A4="","",MIN(MAX(0,F4-T4-U4),P4))</f>
        <v>0</v>
      </c>
      <c r="W4" s="5">
        <f t="shared" ref="W4:W13" si="23">IF($A4="","",MIN(MAX(0,F4-T4-U4-V4),Q4))</f>
        <v>0</v>
      </c>
      <c r="X4" s="5">
        <f t="shared" ref="X4:X13" si="24">IF($A4="","",MIN(MAX(0,F4-T4-U4-V4-W4),R4))</f>
        <v>0</v>
      </c>
      <c r="Y4" s="5">
        <f t="shared" ref="Y4:Y13" si="25">IF($A4="","",MIN(MAX(0,F4-T4-U4-V4-W4-X4),S4))</f>
        <v>0</v>
      </c>
      <c r="Z4" s="5">
        <f t="shared" si="12"/>
        <v>0</v>
      </c>
      <c r="AA4" s="5">
        <f t="shared" ref="AA4:AA13" si="26">IF($A4="","",F4-Z4)</f>
        <v>16719.125</v>
      </c>
      <c r="AB4" s="5" cm="1">
        <f t="array" ref="AB4">IF($A4="","",TaxPayable(B4))</f>
        <v>40482.84375</v>
      </c>
    </row>
    <row r="5" spans="1:29" x14ac:dyDescent="0.35">
      <c r="A5" s="13">
        <f t="shared" si="5"/>
        <v>2030</v>
      </c>
      <c r="B5" s="5">
        <f t="shared" si="6"/>
        <v>156149.140625</v>
      </c>
      <c r="C5" s="5">
        <f t="shared" si="0"/>
        <v>18737.896874999999</v>
      </c>
      <c r="D5" s="5">
        <f t="shared" si="7"/>
        <v>35000</v>
      </c>
      <c r="E5" s="5">
        <f t="shared" si="8"/>
        <v>0</v>
      </c>
      <c r="F5" s="5">
        <f>IFERROR(IF($A5="","",_xlfn.XLOOKUP($A5,PersonaA!B:B,PersonaA!Q:Q,,,-1)),0)</f>
        <v>16262.103125000001</v>
      </c>
      <c r="G5" s="5">
        <f t="shared" si="9"/>
        <v>0</v>
      </c>
      <c r="H5" s="5">
        <f t="shared" si="10"/>
        <v>0</v>
      </c>
      <c r="I5" s="5">
        <f t="shared" si="1"/>
        <v>16262.103125000001</v>
      </c>
      <c r="J5" s="5">
        <f t="shared" si="13"/>
        <v>370899.65785875008</v>
      </c>
      <c r="K5" s="5">
        <f t="shared" si="2"/>
        <v>422718.18750134576</v>
      </c>
      <c r="L5" s="5">
        <f t="shared" si="3"/>
        <v>172411.24374999999</v>
      </c>
      <c r="M5" s="5">
        <f t="shared" si="4"/>
        <v>0</v>
      </c>
      <c r="N5" s="5">
        <f t="shared" si="14"/>
        <v>0</v>
      </c>
      <c r="O5" s="5">
        <f t="shared" si="15"/>
        <v>0</v>
      </c>
      <c r="P5" s="5">
        <f t="shared" si="16"/>
        <v>0</v>
      </c>
      <c r="Q5" s="5">
        <f t="shared" si="17"/>
        <v>0</v>
      </c>
      <c r="R5" s="5">
        <f t="shared" si="18"/>
        <v>0</v>
      </c>
      <c r="S5" s="5">
        <f t="shared" si="19"/>
        <v>0</v>
      </c>
      <c r="T5" s="5">
        <f t="shared" si="20"/>
        <v>0</v>
      </c>
      <c r="U5" s="5">
        <f t="shared" si="21"/>
        <v>0</v>
      </c>
      <c r="V5" s="5">
        <f t="shared" si="22"/>
        <v>0</v>
      </c>
      <c r="W5" s="5">
        <f t="shared" si="23"/>
        <v>0</v>
      </c>
      <c r="X5" s="5">
        <f t="shared" si="24"/>
        <v>0</v>
      </c>
      <c r="Y5" s="5">
        <f t="shared" si="25"/>
        <v>0</v>
      </c>
      <c r="Z5" s="5">
        <f t="shared" si="12"/>
        <v>0</v>
      </c>
      <c r="AA5" s="5">
        <f t="shared" si="26"/>
        <v>16262.103125000001</v>
      </c>
      <c r="AB5" s="5" cm="1">
        <f t="array" ref="AB5">IF($A5="","",TaxPayable(B5))</f>
        <v>41968.164843749997</v>
      </c>
    </row>
    <row r="6" spans="1:29" x14ac:dyDescent="0.35">
      <c r="A6" s="13">
        <f t="shared" si="5"/>
        <v>2031</v>
      </c>
      <c r="B6" s="5">
        <f t="shared" si="6"/>
        <v>160052.869140625</v>
      </c>
      <c r="C6" s="5">
        <f t="shared" si="0"/>
        <v>19206.344296874999</v>
      </c>
      <c r="D6" s="5">
        <f t="shared" si="7"/>
        <v>37500</v>
      </c>
      <c r="E6" s="5">
        <f t="shared" si="8"/>
        <v>0</v>
      </c>
      <c r="F6" s="5">
        <f>IFERROR(IF($A6="","",_xlfn.XLOOKUP($A6,PersonaA!B:B,PersonaA!Q:Q,,,-1)),0)</f>
        <v>18293.655703125001</v>
      </c>
      <c r="G6" s="5">
        <f t="shared" si="9"/>
        <v>0</v>
      </c>
      <c r="H6" s="5">
        <f t="shared" si="10"/>
        <v>0</v>
      </c>
      <c r="I6" s="5">
        <f t="shared" si="1"/>
        <v>18293.655703125001</v>
      </c>
      <c r="J6" s="5">
        <f t="shared" si="13"/>
        <v>422718.18750134576</v>
      </c>
      <c r="K6" s="5">
        <f t="shared" si="2"/>
        <v>479744.9196576759</v>
      </c>
      <c r="L6" s="5">
        <f t="shared" si="3"/>
        <v>178346.52484375</v>
      </c>
      <c r="M6" s="5">
        <f t="shared" si="4"/>
        <v>0</v>
      </c>
      <c r="N6" s="5">
        <f t="shared" si="14"/>
        <v>0</v>
      </c>
      <c r="O6" s="5">
        <f t="shared" si="15"/>
        <v>0</v>
      </c>
      <c r="P6" s="5">
        <f t="shared" si="16"/>
        <v>0</v>
      </c>
      <c r="Q6" s="5">
        <f t="shared" si="17"/>
        <v>0</v>
      </c>
      <c r="R6" s="5">
        <f t="shared" si="18"/>
        <v>0</v>
      </c>
      <c r="S6" s="5">
        <f t="shared" si="19"/>
        <v>0</v>
      </c>
      <c r="T6" s="5">
        <f t="shared" si="20"/>
        <v>0</v>
      </c>
      <c r="U6" s="5">
        <f t="shared" si="21"/>
        <v>0</v>
      </c>
      <c r="V6" s="5">
        <f t="shared" si="22"/>
        <v>0</v>
      </c>
      <c r="W6" s="5">
        <f t="shared" si="23"/>
        <v>0</v>
      </c>
      <c r="X6" s="5">
        <f t="shared" si="24"/>
        <v>0</v>
      </c>
      <c r="Y6" s="5">
        <f t="shared" si="25"/>
        <v>0</v>
      </c>
      <c r="Z6" s="5">
        <f t="shared" si="12"/>
        <v>0</v>
      </c>
      <c r="AA6" s="5">
        <f t="shared" si="26"/>
        <v>18293.655703125001</v>
      </c>
      <c r="AB6" s="5" cm="1">
        <f t="array" ref="AB6">IF($A6="","",TaxPayable(B6))</f>
        <v>43490.61896484375</v>
      </c>
    </row>
    <row r="7" spans="1:29" x14ac:dyDescent="0.35">
      <c r="A7" s="13">
        <f t="shared" si="5"/>
        <v>2032</v>
      </c>
      <c r="B7" s="5">
        <f t="shared" si="6"/>
        <v>164054.19086914061</v>
      </c>
      <c r="C7" s="5">
        <f t="shared" si="0"/>
        <v>19686.502904296874</v>
      </c>
      <c r="D7" s="5">
        <f t="shared" si="7"/>
        <v>37500</v>
      </c>
      <c r="E7" s="5">
        <f t="shared" si="8"/>
        <v>0</v>
      </c>
      <c r="F7" s="5">
        <f>IFERROR(IF($A7="","",_xlfn.XLOOKUP($A7,PersonaA!B:B,PersonaA!Q:Q,,,-1)),0)</f>
        <v>17813.497095703126</v>
      </c>
      <c r="G7" s="5">
        <f t="shared" si="9"/>
        <v>0</v>
      </c>
      <c r="H7" s="5">
        <f t="shared" si="10"/>
        <v>0</v>
      </c>
      <c r="I7" s="5">
        <f t="shared" si="1"/>
        <v>17813.497095703126</v>
      </c>
      <c r="J7" s="5">
        <f t="shared" si="13"/>
        <v>479744.9196576759</v>
      </c>
      <c r="K7" s="5">
        <f t="shared" si="2"/>
        <v>540164.74237730773</v>
      </c>
      <c r="L7" s="5">
        <f t="shared" si="3"/>
        <v>181867.68796484373</v>
      </c>
      <c r="M7" s="5">
        <f t="shared" si="4"/>
        <v>0</v>
      </c>
      <c r="N7" s="5">
        <f t="shared" si="14"/>
        <v>0</v>
      </c>
      <c r="O7" s="5">
        <f t="shared" si="15"/>
        <v>0</v>
      </c>
      <c r="P7" s="5">
        <f t="shared" si="16"/>
        <v>0</v>
      </c>
      <c r="Q7" s="5">
        <f t="shared" si="17"/>
        <v>0</v>
      </c>
      <c r="R7" s="5">
        <f t="shared" si="18"/>
        <v>0</v>
      </c>
      <c r="S7" s="5">
        <f t="shared" si="19"/>
        <v>0</v>
      </c>
      <c r="T7" s="5">
        <f t="shared" si="20"/>
        <v>0</v>
      </c>
      <c r="U7" s="5">
        <f t="shared" si="21"/>
        <v>0</v>
      </c>
      <c r="V7" s="5">
        <f t="shared" si="22"/>
        <v>0</v>
      </c>
      <c r="W7" s="5">
        <f t="shared" si="23"/>
        <v>0</v>
      </c>
      <c r="X7" s="5">
        <f t="shared" si="24"/>
        <v>0</v>
      </c>
      <c r="Y7" s="5">
        <f t="shared" si="25"/>
        <v>0</v>
      </c>
      <c r="Z7" s="5">
        <f t="shared" si="12"/>
        <v>0</v>
      </c>
      <c r="AA7" s="5">
        <f t="shared" si="26"/>
        <v>17813.497095703126</v>
      </c>
      <c r="AB7" s="5" cm="1">
        <f t="array" ref="AB7">IF($A7="","",TaxPayable(B7))</f>
        <v>45051.134438964844</v>
      </c>
    </row>
    <row r="8" spans="1:29" x14ac:dyDescent="0.35">
      <c r="A8" s="13">
        <f t="shared" si="5"/>
        <v>2033</v>
      </c>
      <c r="B8" s="5">
        <f t="shared" si="6"/>
        <v>168155.54564086912</v>
      </c>
      <c r="C8" s="5">
        <f t="shared" si="0"/>
        <v>20178.665476904294</v>
      </c>
      <c r="D8" s="5">
        <f t="shared" si="7"/>
        <v>40000</v>
      </c>
      <c r="E8" s="5">
        <f t="shared" si="8"/>
        <v>0</v>
      </c>
      <c r="F8" s="5">
        <f>IFERROR(IF($A8="","",_xlfn.XLOOKUP($A8,PersonaA!B:B,PersonaA!Q:Q,,,-1)),0)</f>
        <v>19821.334523095706</v>
      </c>
      <c r="G8" s="5">
        <f t="shared" si="9"/>
        <v>0</v>
      </c>
      <c r="H8" s="5">
        <f t="shared" si="10"/>
        <v>0</v>
      </c>
      <c r="I8" s="5">
        <f t="shared" si="1"/>
        <v>19821.334523095706</v>
      </c>
      <c r="J8" s="5">
        <f t="shared" si="13"/>
        <v>540164.74237730773</v>
      </c>
      <c r="K8" s="5">
        <f t="shared" si="2"/>
        <v>606304.54454875761</v>
      </c>
      <c r="L8" s="5">
        <f t="shared" si="3"/>
        <v>187976.88016396482</v>
      </c>
      <c r="M8" s="5">
        <f t="shared" si="4"/>
        <v>0</v>
      </c>
      <c r="N8" s="5">
        <f t="shared" si="14"/>
        <v>0</v>
      </c>
      <c r="O8" s="5">
        <f t="shared" si="15"/>
        <v>0</v>
      </c>
      <c r="P8" s="5">
        <f t="shared" si="16"/>
        <v>0</v>
      </c>
      <c r="Q8" s="5">
        <f t="shared" si="17"/>
        <v>0</v>
      </c>
      <c r="R8" s="5">
        <f t="shared" si="18"/>
        <v>0</v>
      </c>
      <c r="S8" s="5">
        <f t="shared" si="19"/>
        <v>0</v>
      </c>
      <c r="T8" s="5">
        <f t="shared" si="20"/>
        <v>0</v>
      </c>
      <c r="U8" s="5">
        <f t="shared" si="21"/>
        <v>0</v>
      </c>
      <c r="V8" s="5">
        <f t="shared" si="22"/>
        <v>0</v>
      </c>
      <c r="W8" s="5">
        <f t="shared" si="23"/>
        <v>0</v>
      </c>
      <c r="X8" s="5">
        <f t="shared" si="24"/>
        <v>0</v>
      </c>
      <c r="Y8" s="5">
        <f t="shared" si="25"/>
        <v>0</v>
      </c>
      <c r="Z8" s="5">
        <f t="shared" si="12"/>
        <v>0</v>
      </c>
      <c r="AA8" s="5">
        <f t="shared" si="26"/>
        <v>19821.334523095706</v>
      </c>
      <c r="AB8" s="5" cm="1">
        <f t="array" ref="AB8">IF($A8="","",TaxPayable(B8))</f>
        <v>46650.66279993896</v>
      </c>
    </row>
    <row r="9" spans="1:29" x14ac:dyDescent="0.35">
      <c r="A9" s="13">
        <f t="shared" si="5"/>
        <v>2034</v>
      </c>
      <c r="B9" s="5">
        <f t="shared" si="6"/>
        <v>172359.43428189083</v>
      </c>
      <c r="C9" s="5">
        <f t="shared" si="0"/>
        <v>20683.132113826898</v>
      </c>
      <c r="D9" s="5">
        <f t="shared" si="7"/>
        <v>40000</v>
      </c>
      <c r="E9" s="5">
        <f t="shared" si="8"/>
        <v>0</v>
      </c>
      <c r="F9" s="5">
        <f>IFERROR(IF($A9="","",_xlfn.XLOOKUP($A9,PersonaA!B:B,PersonaA!Q:Q,,,-1)),0)</f>
        <v>19316.867886173102</v>
      </c>
      <c r="G9" s="5">
        <f t="shared" si="9"/>
        <v>19316.867886173102</v>
      </c>
      <c r="H9" s="5">
        <f t="shared" si="10"/>
        <v>0</v>
      </c>
      <c r="I9" s="5">
        <f t="shared" si="1"/>
        <v>19316.867886173102</v>
      </c>
      <c r="J9" s="5">
        <f t="shared" ref="J9:J10" si="27">IFERROR(IF($A9="", "", K8), 0)</f>
        <v>606304.54454875761</v>
      </c>
      <c r="K9" s="5">
        <f t="shared" si="2"/>
        <v>659960.32724616164</v>
      </c>
      <c r="L9" s="5">
        <f t="shared" si="3"/>
        <v>172359.43428189083</v>
      </c>
      <c r="M9" s="5">
        <f t="shared" si="4"/>
        <v>0</v>
      </c>
      <c r="N9" s="5">
        <f t="shared" ref="N9:N10" si="28">IFERROR(IF($A9="", "", G8), 0)</f>
        <v>0</v>
      </c>
      <c r="O9" s="5">
        <f t="shared" ref="O9:O10" si="29">IFERROR(IF($A9="", "", N8), 0)</f>
        <v>0</v>
      </c>
      <c r="P9" s="5">
        <f t="shared" ref="P9:P10" si="30">IFERROR(IF($A9="", "", O8), 0)</f>
        <v>0</v>
      </c>
      <c r="Q9" s="5">
        <f t="shared" ref="Q9:Q10" si="31">IFERROR(IF($A9="", "", P8), 0)</f>
        <v>0</v>
      </c>
      <c r="R9" s="5">
        <f t="shared" ref="R9:R10" si="32">IFERROR(IF($A9="", "", Q8), 0)</f>
        <v>0</v>
      </c>
      <c r="S9" s="5">
        <f t="shared" ref="S9:S10" si="33">IFERROR(IF($A9="", "", R8), 0)</f>
        <v>0</v>
      </c>
      <c r="T9" s="5">
        <f t="shared" si="20"/>
        <v>0</v>
      </c>
      <c r="U9" s="5">
        <f t="shared" si="21"/>
        <v>0</v>
      </c>
      <c r="V9" s="5">
        <f t="shared" si="22"/>
        <v>0</v>
      </c>
      <c r="W9" s="5">
        <f t="shared" si="23"/>
        <v>0</v>
      </c>
      <c r="X9" s="5">
        <f t="shared" si="24"/>
        <v>0</v>
      </c>
      <c r="Y9" s="5">
        <f t="shared" si="25"/>
        <v>0</v>
      </c>
      <c r="Z9" s="5">
        <f t="shared" si="12"/>
        <v>19316.867886173102</v>
      </c>
      <c r="AA9" s="5">
        <f t="shared" si="26"/>
        <v>0</v>
      </c>
      <c r="AB9" s="5" cm="1">
        <f t="array" ref="AB9">IF($A9="","",TaxPayable(B9))</f>
        <v>48290.179369937425</v>
      </c>
    </row>
    <row r="10" spans="1:29" x14ac:dyDescent="0.35">
      <c r="A10" s="13">
        <f t="shared" si="5"/>
        <v>2035</v>
      </c>
      <c r="B10" s="5">
        <f t="shared" si="6"/>
        <v>176668.42013893809</v>
      </c>
      <c r="C10" s="5">
        <f t="shared" si="0"/>
        <v>21200.210416672569</v>
      </c>
      <c r="D10" s="5">
        <f t="shared" si="7"/>
        <v>42500</v>
      </c>
      <c r="E10" s="5">
        <f t="shared" si="8"/>
        <v>0</v>
      </c>
      <c r="F10" s="5">
        <f>IFERROR(IF($A10="","",_xlfn.XLOOKUP($A10,PersonaA!B:B,PersonaA!Q:Q,,,-1)),0)</f>
        <v>21299.789583327431</v>
      </c>
      <c r="G10" s="5">
        <f t="shared" si="9"/>
        <v>21299.789583327431</v>
      </c>
      <c r="H10" s="5">
        <f t="shared" si="10"/>
        <v>0</v>
      </c>
      <c r="I10" s="5">
        <f t="shared" si="1"/>
        <v>21299.789583327431</v>
      </c>
      <c r="J10" s="5">
        <f t="shared" si="27"/>
        <v>659960.32724616164</v>
      </c>
      <c r="K10" s="5">
        <f t="shared" si="2"/>
        <v>717248.14557148004</v>
      </c>
      <c r="L10" s="5">
        <f t="shared" si="3"/>
        <v>176668.42013893809</v>
      </c>
      <c r="M10" s="5">
        <f t="shared" si="4"/>
        <v>0</v>
      </c>
      <c r="N10" s="5">
        <f t="shared" si="28"/>
        <v>19316.867886173102</v>
      </c>
      <c r="O10" s="5">
        <f t="shared" si="29"/>
        <v>0</v>
      </c>
      <c r="P10" s="5">
        <f t="shared" si="30"/>
        <v>0</v>
      </c>
      <c r="Q10" s="5">
        <f t="shared" si="31"/>
        <v>0</v>
      </c>
      <c r="R10" s="5">
        <f t="shared" si="32"/>
        <v>0</v>
      </c>
      <c r="S10" s="5">
        <f t="shared" si="33"/>
        <v>0</v>
      </c>
      <c r="T10" s="5">
        <f t="shared" si="20"/>
        <v>19316.867886173102</v>
      </c>
      <c r="U10" s="5">
        <f t="shared" si="21"/>
        <v>0</v>
      </c>
      <c r="V10" s="5">
        <f t="shared" si="22"/>
        <v>0</v>
      </c>
      <c r="W10" s="5">
        <f t="shared" si="23"/>
        <v>0</v>
      </c>
      <c r="X10" s="5">
        <f t="shared" si="24"/>
        <v>0</v>
      </c>
      <c r="Y10" s="5">
        <f t="shared" si="25"/>
        <v>0</v>
      </c>
      <c r="Z10" s="5">
        <f t="shared" si="12"/>
        <v>21299.789583327431</v>
      </c>
      <c r="AA10" s="5">
        <f t="shared" si="26"/>
        <v>0</v>
      </c>
      <c r="AB10" s="5" cm="1">
        <f t="array" ref="AB10">IF($A10="","",TaxPayable(B10))</f>
        <v>49970.683854185852</v>
      </c>
    </row>
    <row r="11" spans="1:29" x14ac:dyDescent="0.35">
      <c r="A11" s="13">
        <f t="shared" si="5"/>
        <v>2036</v>
      </c>
      <c r="B11" s="5">
        <f t="shared" si="6"/>
        <v>181085.13064241153</v>
      </c>
      <c r="C11" s="5">
        <f t="shared" si="0"/>
        <v>21730.215677089382</v>
      </c>
      <c r="D11" s="5">
        <f t="shared" si="7"/>
        <v>42500</v>
      </c>
      <c r="E11" s="5">
        <f t="shared" si="8"/>
        <v>0</v>
      </c>
      <c r="F11" s="5">
        <f>IFERROR(IF($A11="","",_xlfn.XLOOKUP($A11,PersonaA!B:B,PersonaA!Q:Q,,,-1)),0)</f>
        <v>20769.784322910618</v>
      </c>
      <c r="G11" s="5">
        <f t="shared" si="9"/>
        <v>20769.784322910618</v>
      </c>
      <c r="H11" s="5">
        <f t="shared" si="10"/>
        <v>0</v>
      </c>
      <c r="I11" s="5">
        <f t="shared" si="1"/>
        <v>20769.784322910618</v>
      </c>
      <c r="J11" s="5">
        <f t="shared" ref="J11:J13" si="34">IFERROR(IF($A11="", "", K10), 0)</f>
        <v>717248.14557148004</v>
      </c>
      <c r="K11" s="5">
        <f t="shared" si="2"/>
        <v>778395.09355850914</v>
      </c>
      <c r="L11" s="5">
        <f t="shared" si="3"/>
        <v>181085.13064241153</v>
      </c>
      <c r="M11" s="5">
        <f t="shared" si="4"/>
        <v>0</v>
      </c>
      <c r="N11" s="5">
        <f t="shared" ref="N11:N13" si="35">IFERROR(IF($A11="", "", G10), 0)</f>
        <v>21299.789583327431</v>
      </c>
      <c r="O11" s="5">
        <f t="shared" ref="O11:O13" si="36">IFERROR(IF($A11="", "", N10), 0)</f>
        <v>19316.867886173102</v>
      </c>
      <c r="P11" s="5">
        <f t="shared" ref="P11:P13" si="37">IFERROR(IF($A11="", "", O10), 0)</f>
        <v>0</v>
      </c>
      <c r="Q11" s="5">
        <f t="shared" ref="Q11:Q13" si="38">IFERROR(IF($A11="", "", P10), 0)</f>
        <v>0</v>
      </c>
      <c r="R11" s="5">
        <f t="shared" ref="R11:R13" si="39">IFERROR(IF($A11="", "", Q10), 0)</f>
        <v>0</v>
      </c>
      <c r="S11" s="5">
        <f t="shared" ref="S11:S13" si="40">IFERROR(IF($A11="", "", R10), 0)</f>
        <v>0</v>
      </c>
      <c r="T11" s="5">
        <f t="shared" si="20"/>
        <v>20769.784322910618</v>
      </c>
      <c r="U11" s="5">
        <f t="shared" si="21"/>
        <v>0</v>
      </c>
      <c r="V11" s="5">
        <f t="shared" si="22"/>
        <v>0</v>
      </c>
      <c r="W11" s="5">
        <f t="shared" si="23"/>
        <v>0</v>
      </c>
      <c r="X11" s="5">
        <f t="shared" si="24"/>
        <v>0</v>
      </c>
      <c r="Y11" s="5">
        <f t="shared" si="25"/>
        <v>0</v>
      </c>
      <c r="Z11" s="5">
        <f t="shared" si="12"/>
        <v>20769.784322910618</v>
      </c>
      <c r="AA11" s="5">
        <f t="shared" si="26"/>
        <v>0</v>
      </c>
      <c r="AB11" s="5" cm="1">
        <f t="array" ref="AB11">IF($A11="","",TaxPayable(B11))</f>
        <v>51693.2009505405</v>
      </c>
    </row>
    <row r="12" spans="1:29" x14ac:dyDescent="0.35">
      <c r="A12" s="13">
        <f t="shared" si="5"/>
        <v>2037</v>
      </c>
      <c r="B12" s="5">
        <f t="shared" si="6"/>
        <v>185612.25890847179</v>
      </c>
      <c r="C12" s="5">
        <f t="shared" si="0"/>
        <v>22273.471069016614</v>
      </c>
      <c r="D12" s="5">
        <f t="shared" si="7"/>
        <v>45000</v>
      </c>
      <c r="E12" s="5">
        <f t="shared" si="8"/>
        <v>0</v>
      </c>
      <c r="F12" s="5">
        <f>IFERROR(IF($A12="","",_xlfn.XLOOKUP($A12,PersonaA!B:B,PersonaA!Q:Q,,,-1)),0)</f>
        <v>22726.528930983386</v>
      </c>
      <c r="G12" s="5">
        <f t="shared" si="9"/>
        <v>22726.528930983386</v>
      </c>
      <c r="H12" s="5">
        <f t="shared" si="10"/>
        <v>19846.873146589915</v>
      </c>
      <c r="I12" s="5">
        <f t="shared" si="1"/>
        <v>22726.528930983386</v>
      </c>
      <c r="J12" s="5">
        <f t="shared" si="34"/>
        <v>778395.09355850914</v>
      </c>
      <c r="K12" s="5">
        <f t="shared" si="2"/>
        <v>843642.05203390459</v>
      </c>
      <c r="L12" s="5">
        <f t="shared" si="3"/>
        <v>185612.25890847179</v>
      </c>
      <c r="M12" s="5">
        <f t="shared" si="4"/>
        <v>0</v>
      </c>
      <c r="N12" s="5">
        <f t="shared" si="35"/>
        <v>20769.784322910618</v>
      </c>
      <c r="O12" s="5">
        <f t="shared" si="36"/>
        <v>21299.789583327431</v>
      </c>
      <c r="P12" s="5">
        <f t="shared" si="37"/>
        <v>19316.867886173102</v>
      </c>
      <c r="Q12" s="5">
        <f t="shared" si="38"/>
        <v>0</v>
      </c>
      <c r="R12" s="5">
        <f t="shared" si="39"/>
        <v>0</v>
      </c>
      <c r="S12" s="5">
        <f t="shared" si="40"/>
        <v>0</v>
      </c>
      <c r="T12" s="5">
        <f t="shared" si="20"/>
        <v>20769.784322910618</v>
      </c>
      <c r="U12" s="5">
        <f t="shared" si="21"/>
        <v>1956.7446080727677</v>
      </c>
      <c r="V12" s="5">
        <f t="shared" si="22"/>
        <v>0</v>
      </c>
      <c r="W12" s="5">
        <f t="shared" si="23"/>
        <v>0</v>
      </c>
      <c r="X12" s="5">
        <f t="shared" si="24"/>
        <v>0</v>
      </c>
      <c r="Y12" s="5">
        <f t="shared" si="25"/>
        <v>0</v>
      </c>
      <c r="Z12" s="5">
        <f t="shared" si="12"/>
        <v>22726.528930983386</v>
      </c>
      <c r="AA12" s="5">
        <f t="shared" si="26"/>
        <v>0</v>
      </c>
      <c r="AB12" s="5" cm="1">
        <f t="array" ref="AB12">IF($A12="","",TaxPayable(B12))</f>
        <v>53458.780974303991</v>
      </c>
    </row>
    <row r="13" spans="1:29" x14ac:dyDescent="0.35">
      <c r="A13" s="13">
        <f t="shared" si="5"/>
        <v>2038</v>
      </c>
      <c r="B13" s="5">
        <f t="shared" si="6"/>
        <v>190252.56538118358</v>
      </c>
      <c r="C13" s="5">
        <f t="shared" si="0"/>
        <v>22830.307845742027</v>
      </c>
      <c r="D13" s="5">
        <f t="shared" si="7"/>
        <v>45000</v>
      </c>
      <c r="E13" s="5">
        <f t="shared" si="8"/>
        <v>0</v>
      </c>
      <c r="F13" s="5">
        <f>IFERROR(IF($A13="","",_xlfn.XLOOKUP($A13,PersonaA!B:B,PersonaA!Q:Q,,,-1)),0)</f>
        <v>22169.692154257973</v>
      </c>
      <c r="G13" s="5">
        <f t="shared" si="9"/>
        <v>22169.692154257973</v>
      </c>
      <c r="H13" s="5">
        <f t="shared" si="10"/>
        <v>38659.912861427765</v>
      </c>
      <c r="I13" s="5">
        <f t="shared" si="1"/>
        <v>22169.692154257973</v>
      </c>
      <c r="J13" s="5">
        <f t="shared" si="34"/>
        <v>843642.05203390459</v>
      </c>
      <c r="K13" s="5">
        <f t="shared" si="2"/>
        <v>913244.51579880272</v>
      </c>
      <c r="L13" s="5">
        <f t="shared" si="3"/>
        <v>190252.56538118358</v>
      </c>
      <c r="M13" s="5">
        <f t="shared" si="4"/>
        <v>0</v>
      </c>
      <c r="N13" s="5">
        <f t="shared" si="35"/>
        <v>22726.528930983386</v>
      </c>
      <c r="O13" s="5">
        <f t="shared" si="36"/>
        <v>20769.784322910618</v>
      </c>
      <c r="P13" s="5">
        <f t="shared" si="37"/>
        <v>21299.789583327431</v>
      </c>
      <c r="Q13" s="5">
        <f t="shared" si="38"/>
        <v>19316.867886173102</v>
      </c>
      <c r="R13" s="5">
        <f t="shared" si="39"/>
        <v>0</v>
      </c>
      <c r="S13" s="5">
        <f t="shared" si="40"/>
        <v>0</v>
      </c>
      <c r="T13" s="5">
        <f t="shared" si="20"/>
        <v>22169.692154257973</v>
      </c>
      <c r="U13" s="5">
        <f t="shared" si="21"/>
        <v>0</v>
      </c>
      <c r="V13" s="5">
        <f t="shared" si="22"/>
        <v>0</v>
      </c>
      <c r="W13" s="5">
        <f t="shared" si="23"/>
        <v>0</v>
      </c>
      <c r="X13" s="5">
        <f t="shared" si="24"/>
        <v>0</v>
      </c>
      <c r="Y13" s="5">
        <f t="shared" si="25"/>
        <v>0</v>
      </c>
      <c r="Z13" s="5">
        <f t="shared" si="12"/>
        <v>22169.692154257973</v>
      </c>
      <c r="AA13" s="5">
        <f t="shared" si="26"/>
        <v>0</v>
      </c>
      <c r="AB13" s="5" cm="1">
        <f t="array" ref="AB13">IF($A13="","",TaxPayable(B13))</f>
        <v>55288.705729156289</v>
      </c>
    </row>
    <row r="14" spans="1:29" x14ac:dyDescent="0.35">
      <c r="A14" s="13" t="str">
        <f>IF(ROW()-1 &lt;= ProjYearsA, A13+1, "")</f>
        <v/>
      </c>
      <c r="B14" s="5" t="str">
        <f>IF($A14="","",B13*(1+Inflation))</f>
        <v/>
      </c>
      <c r="C14" s="5" t="str">
        <f t="shared" ref="C14:C19" si="41">IFERROR(IF($A14="", "", B14*SGRate), 0)</f>
        <v/>
      </c>
      <c r="D14" s="5" t="str">
        <f>IF($A14="","",D13+IF(MOD(A14-YEAR(StartYear),CapIndexYears)=0,CapIncrement,0))</f>
        <v/>
      </c>
      <c r="E14" s="5" t="str">
        <f>IFERROR(IF($A14="", "", IF(J13&gt;500000, 0, MAX(0, G13-H14))), 0)</f>
        <v/>
      </c>
      <c r="F14" s="5" t="str">
        <f>IFERROR(IF($A14="","",_xlfn.XLOOKUP($A14,PersonaA!B:B,PersonaA!Q:Q,,,-1)),0)</f>
        <v/>
      </c>
      <c r="G14" s="5" t="str">
        <f t="shared" ref="G14:G19" si="42">IFERROR(IF($A14="", "", MAX(0, D14+E14-C14-AA14)), 0)</f>
        <v/>
      </c>
      <c r="H14" s="5" t="str">
        <f>IFERROR(IF($A14="","",IF(YEAR(StartYear)+0&lt;A14-5,N13-T13,0)+IF(YEAR(StartYear)+1&lt;A14-5,O13-U13,0)+IF(YEAR(StartYear)+2&lt;A14-5,P13-V13,0)+IF(YEAR(StartYear)+3&lt;A14-5,Q13-W13,0)+IF(YEAR(StartYear)+4&lt;A14-5,R13-X13,0)+IF(YEAR(StartYear)+5&lt;A14-5,S13-Y13,0)),0)</f>
        <v/>
      </c>
      <c r="I14" s="5" t="str">
        <f t="shared" ref="I14:I19" si="43">IFERROR(IF($A14="", "", MAX(0, D14+E14-C14)), 0)</f>
        <v/>
      </c>
      <c r="J14" s="5" t="str">
        <f>IFERROR(IF($A14="", "", K13), 0)</f>
        <v/>
      </c>
      <c r="K14" s="5" t="str">
        <f t="shared" ref="K14:K27" si="44">IFERROR(IF($A14="", "", J14*(1+SuperReturn*(1-SuperTaxRate)) + (C14+AA14)*(1-SuperTaxRate) - M14), 0)</f>
        <v/>
      </c>
      <c r="L14" s="5" t="str">
        <f t="shared" ref="L14:L19" si="45">IFERROR(IF($A14="", "", B14 + AA14 + NetInvLoss), 0)</f>
        <v/>
      </c>
      <c r="M14" s="5" t="str">
        <f t="shared" ref="M14:M19" si="46">IFERROR(IF($A14="", "", IF(L14 &gt; Div293Thresh, 0.15 * MIN(AA14, L14 - Div293Thresh), 0)), 0)</f>
        <v/>
      </c>
      <c r="N14" s="5" t="str">
        <f>IFERROR(IF($A14="", "", G13), 0)</f>
        <v/>
      </c>
      <c r="O14" s="5" t="str">
        <f>IFERROR(IF($A14="", "", N13), 0)</f>
        <v/>
      </c>
      <c r="P14" s="5" t="str">
        <f>IFERROR(IF($A14="", "", O13), 0)</f>
        <v/>
      </c>
      <c r="Q14" s="5" t="str">
        <f>IFERROR(IF($A14="", "", P13), 0)</f>
        <v/>
      </c>
      <c r="R14" s="5" t="str">
        <f>IFERROR(IF($A14="", "", Q13), 0)</f>
        <v/>
      </c>
      <c r="S14" s="5" t="str">
        <f>IFERROR(IF($A14="", "", R13), 0)</f>
        <v/>
      </c>
      <c r="T14" s="5" t="str">
        <f>IF($A14="","",MIN(MAX(0,F14),N14))</f>
        <v/>
      </c>
      <c r="U14" s="5" t="str">
        <f>IF($A14="","",MIN(MAX(0,F14-T14),O14))</f>
        <v/>
      </c>
      <c r="V14" s="5" t="str">
        <f>IF($A14="","",MIN(MAX(0,F14-T14-U14),P14))</f>
        <v/>
      </c>
      <c r="W14" s="5" t="str">
        <f>IF($A14="","",MIN(MAX(0,F14-T14-U14-V14),Q14))</f>
        <v/>
      </c>
      <c r="X14" s="5" t="str">
        <f>IF($A14="","",MIN(MAX(0,F14-T14-U14-V14-W14),R14))</f>
        <v/>
      </c>
      <c r="Y14" s="5" t="str">
        <f>IF($A14="","",MIN(MAX(0,F14-T14-U14-V14-W14-X14),S14))</f>
        <v/>
      </c>
      <c r="Z14" s="5" t="str">
        <f t="shared" ref="Z14:Z19" si="47">IF($A14="","",IF(AND(SpousalTransfer="Yes", TransferDir="Yes", J13&gt;=500000), F14, 0))</f>
        <v/>
      </c>
      <c r="AA14" s="5" t="str">
        <f t="shared" ref="AA14:AA19" si="48">IF($A14="","",F14-Z14)</f>
        <v/>
      </c>
    </row>
    <row r="15" spans="1:29" x14ac:dyDescent="0.35">
      <c r="A15" s="13" t="str">
        <f>IF(ROW() &lt;= ProjYearsA + 1, A14+1, "")</f>
        <v/>
      </c>
      <c r="B15" s="5" t="str">
        <f t="shared" si="6"/>
        <v/>
      </c>
      <c r="C15" s="5" t="str">
        <f t="shared" si="41"/>
        <v/>
      </c>
      <c r="D15" s="5" t="str">
        <f t="shared" ref="D15:D19" si="49">IF($A15="","",D14+IF(MOD(A15-YEAR(StartYear),CapIndexYears)=0,CapIncrement,0))</f>
        <v/>
      </c>
      <c r="E15" s="5" t="str">
        <f t="shared" ref="E15:E19" si="50">IFERROR(IF($A15="", "", IF(J14&gt;500000, 0, MAX(0, G14-H15))), 0)</f>
        <v/>
      </c>
      <c r="F15" s="5" t="str">
        <f>IFERROR(IF($A15="","",_xlfn.XLOOKUP($A15,PersonaA!B:B,PersonaA!Q:Q,,,-1)),0)</f>
        <v/>
      </c>
      <c r="G15" s="5" t="str">
        <f t="shared" si="42"/>
        <v/>
      </c>
      <c r="H15" s="5" t="str">
        <f t="shared" ref="H15:H19" si="51">IFERROR(IF($A15="","",IF(YEAR(StartYear)+0&lt;A15-5,N14-T14,0)+IF(YEAR(StartYear)+1&lt;A15-5,O14-U14,0)+IF(YEAR(StartYear)+2&lt;A15-5,P14-V14,0)+IF(YEAR(StartYear)+3&lt;A15-5,Q14-W14,0)+IF(YEAR(StartYear)+4&lt;A15-5,R14-X14,0)+IF(YEAR(StartYear)+5&lt;A15-5,S14-Y14,0)),0)</f>
        <v/>
      </c>
      <c r="I15" s="5" t="str">
        <f t="shared" si="43"/>
        <v/>
      </c>
      <c r="J15" s="5" t="str">
        <f t="shared" ref="J15:J19" si="52">IFERROR(IF($A15="", "", K14), 0)</f>
        <v/>
      </c>
      <c r="K15" s="5" t="str">
        <f t="shared" si="44"/>
        <v/>
      </c>
      <c r="L15" s="5" t="str">
        <f t="shared" si="45"/>
        <v/>
      </c>
      <c r="M15" s="5" t="str">
        <f t="shared" si="46"/>
        <v/>
      </c>
      <c r="N15" s="5" t="str">
        <f t="shared" ref="N15:N19" si="53">IFERROR(IF($A15="", "", G14), 0)</f>
        <v/>
      </c>
      <c r="O15" s="5" t="str">
        <f t="shared" ref="O15:O19" si="54">IFERROR(IF($A15="", "", N14), 0)</f>
        <v/>
      </c>
      <c r="P15" s="5" t="str">
        <f t="shared" ref="P15:P19" si="55">IFERROR(IF($A15="", "", O14), 0)</f>
        <v/>
      </c>
      <c r="Q15" s="5" t="str">
        <f t="shared" ref="Q15:Q19" si="56">IFERROR(IF($A15="", "", P14), 0)</f>
        <v/>
      </c>
      <c r="R15" s="5" t="str">
        <f t="shared" ref="R15:R19" si="57">IFERROR(IF($A15="", "", Q14), 0)</f>
        <v/>
      </c>
      <c r="S15" s="5" t="str">
        <f t="shared" ref="S15:S19" si="58">IFERROR(IF($A15="", "", R14), 0)</f>
        <v/>
      </c>
      <c r="T15" s="5" t="str">
        <f t="shared" ref="T15:T19" si="59">IF($A15="","",MIN(MAX(0,F15-U15),N15))</f>
        <v/>
      </c>
      <c r="U15" s="5" t="str">
        <f t="shared" ref="U15:U19" si="60">IF($A15="","",MIN(MAX(0, F15-T15-V15), O15))</f>
        <v/>
      </c>
      <c r="V15" s="5" t="str">
        <f t="shared" ref="V15:V19" si="61">IF($A15="","",MIN(MAX(0, F15-T15-U15-W15), P15))</f>
        <v/>
      </c>
      <c r="W15" s="5" t="str">
        <f t="shared" ref="W15:W19" si="62">IF($A15="","",MIN(MAX(0, F15-T15-U15-V15-X15), Q15))</f>
        <v/>
      </c>
      <c r="X15" s="5" t="str">
        <f t="shared" ref="X15:X19" si="63">IF($A15="","",MIN(MAX(0, F15-T15-U15-V15-W15-Y15), R15))</f>
        <v/>
      </c>
      <c r="Y15" s="5" t="str">
        <f t="shared" ref="Y15:Y19" si="64">IF($A15="","",MIN(MAX(0, F15-T15-U15-V15-W15-X15), S15))</f>
        <v/>
      </c>
      <c r="Z15" s="5" t="str">
        <f t="shared" si="47"/>
        <v/>
      </c>
      <c r="AA15" s="5" t="str">
        <f t="shared" si="48"/>
        <v/>
      </c>
    </row>
    <row r="16" spans="1:29" x14ac:dyDescent="0.35">
      <c r="A16" s="13" t="str">
        <f>IF(ROW()-3 &lt;= ProjYearsA, A15+1, "")</f>
        <v/>
      </c>
      <c r="B16" s="5" t="str">
        <f t="shared" si="6"/>
        <v/>
      </c>
      <c r="C16" s="5" t="str">
        <f t="shared" si="41"/>
        <v/>
      </c>
      <c r="D16" s="5" t="str">
        <f t="shared" si="49"/>
        <v/>
      </c>
      <c r="E16" s="5" t="str">
        <f t="shared" si="50"/>
        <v/>
      </c>
      <c r="F16" s="5" t="str">
        <f>IFERROR(IF($A16="","",_xlfn.XLOOKUP($A16,PersonaA!B:B,PersonaA!Q:Q,,,-1)),0)</f>
        <v/>
      </c>
      <c r="G16" s="5" t="str">
        <f t="shared" si="42"/>
        <v/>
      </c>
      <c r="H16" s="5" t="str">
        <f t="shared" si="51"/>
        <v/>
      </c>
      <c r="I16" s="5" t="str">
        <f t="shared" si="43"/>
        <v/>
      </c>
      <c r="J16" s="5" t="str">
        <f t="shared" si="52"/>
        <v/>
      </c>
      <c r="K16" s="5" t="str">
        <f t="shared" si="44"/>
        <v/>
      </c>
      <c r="L16" s="5" t="str">
        <f t="shared" si="45"/>
        <v/>
      </c>
      <c r="M16" s="5" t="str">
        <f t="shared" si="46"/>
        <v/>
      </c>
      <c r="N16" s="5" t="str">
        <f t="shared" si="53"/>
        <v/>
      </c>
      <c r="O16" s="5" t="str">
        <f t="shared" si="54"/>
        <v/>
      </c>
      <c r="P16" s="5" t="str">
        <f t="shared" si="55"/>
        <v/>
      </c>
      <c r="Q16" s="5" t="str">
        <f t="shared" si="56"/>
        <v/>
      </c>
      <c r="R16" s="5" t="str">
        <f t="shared" si="57"/>
        <v/>
      </c>
      <c r="S16" s="5" t="str">
        <f t="shared" si="58"/>
        <v/>
      </c>
      <c r="T16" s="5" t="str">
        <f t="shared" si="59"/>
        <v/>
      </c>
      <c r="U16" s="5" t="str">
        <f t="shared" si="60"/>
        <v/>
      </c>
      <c r="V16" s="5" t="str">
        <f t="shared" si="61"/>
        <v/>
      </c>
      <c r="W16" s="5" t="str">
        <f t="shared" si="62"/>
        <v/>
      </c>
      <c r="X16" s="5" t="str">
        <f t="shared" si="63"/>
        <v/>
      </c>
      <c r="Y16" s="5" t="str">
        <f t="shared" si="64"/>
        <v/>
      </c>
      <c r="Z16" s="5" t="str">
        <f t="shared" si="47"/>
        <v/>
      </c>
      <c r="AA16" s="5" t="str">
        <f t="shared" si="48"/>
        <v/>
      </c>
    </row>
    <row r="17" spans="1:27" x14ac:dyDescent="0.35">
      <c r="A17" s="13" t="str">
        <f>IF(ROW()-3 &lt;= ProjYearsA, A16+1, "")</f>
        <v/>
      </c>
      <c r="B17" s="5" t="str">
        <f t="shared" si="6"/>
        <v/>
      </c>
      <c r="C17" s="5" t="str">
        <f t="shared" si="41"/>
        <v/>
      </c>
      <c r="D17" s="5" t="str">
        <f t="shared" si="49"/>
        <v/>
      </c>
      <c r="E17" s="5" t="str">
        <f t="shared" si="50"/>
        <v/>
      </c>
      <c r="F17" s="5" t="str">
        <f>IFERROR(IF($A17="","",_xlfn.XLOOKUP($A17,PersonaA!B:B,PersonaA!Q:Q,,,-1)),0)</f>
        <v/>
      </c>
      <c r="G17" s="5" t="str">
        <f t="shared" si="42"/>
        <v/>
      </c>
      <c r="H17" s="5" t="str">
        <f t="shared" si="51"/>
        <v/>
      </c>
      <c r="I17" s="5" t="str">
        <f t="shared" si="43"/>
        <v/>
      </c>
      <c r="J17" s="5" t="str">
        <f t="shared" si="52"/>
        <v/>
      </c>
      <c r="K17" s="5" t="str">
        <f t="shared" si="44"/>
        <v/>
      </c>
      <c r="L17" s="5" t="str">
        <f t="shared" si="45"/>
        <v/>
      </c>
      <c r="M17" s="5" t="str">
        <f t="shared" si="46"/>
        <v/>
      </c>
      <c r="N17" s="5" t="str">
        <f t="shared" si="53"/>
        <v/>
      </c>
      <c r="O17" s="5" t="str">
        <f t="shared" si="54"/>
        <v/>
      </c>
      <c r="P17" s="5" t="str">
        <f t="shared" si="55"/>
        <v/>
      </c>
      <c r="Q17" s="5" t="str">
        <f t="shared" si="56"/>
        <v/>
      </c>
      <c r="R17" s="5" t="str">
        <f t="shared" si="57"/>
        <v/>
      </c>
      <c r="S17" s="5" t="str">
        <f t="shared" si="58"/>
        <v/>
      </c>
      <c r="T17" s="5" t="str">
        <f t="shared" si="59"/>
        <v/>
      </c>
      <c r="U17" s="5" t="str">
        <f t="shared" si="60"/>
        <v/>
      </c>
      <c r="V17" s="5" t="str">
        <f t="shared" si="61"/>
        <v/>
      </c>
      <c r="W17" s="5" t="str">
        <f t="shared" si="62"/>
        <v/>
      </c>
      <c r="X17" s="5" t="str">
        <f t="shared" si="63"/>
        <v/>
      </c>
      <c r="Y17" s="5" t="str">
        <f t="shared" si="64"/>
        <v/>
      </c>
      <c r="Z17" s="5" t="str">
        <f t="shared" si="47"/>
        <v/>
      </c>
      <c r="AA17" s="5" t="str">
        <f t="shared" si="48"/>
        <v/>
      </c>
    </row>
    <row r="18" spans="1:27" x14ac:dyDescent="0.35">
      <c r="A18" s="13" t="str">
        <f>IF(ROW()-3 &lt;= ProjYearsA, A17+1, "")</f>
        <v/>
      </c>
      <c r="B18" s="5" t="str">
        <f t="shared" si="6"/>
        <v/>
      </c>
      <c r="C18" s="5" t="str">
        <f t="shared" si="41"/>
        <v/>
      </c>
      <c r="D18" s="5" t="str">
        <f t="shared" si="49"/>
        <v/>
      </c>
      <c r="E18" s="5" t="str">
        <f t="shared" si="50"/>
        <v/>
      </c>
      <c r="F18" s="5" t="str">
        <f>IFERROR(IF($A18="","",_xlfn.XLOOKUP($A18,PersonaA!B:B,PersonaA!Q:Q,,,-1)),0)</f>
        <v/>
      </c>
      <c r="G18" s="5" t="str">
        <f t="shared" si="42"/>
        <v/>
      </c>
      <c r="H18" s="5" t="str">
        <f t="shared" si="51"/>
        <v/>
      </c>
      <c r="I18" s="5" t="str">
        <f t="shared" si="43"/>
        <v/>
      </c>
      <c r="J18" s="5" t="str">
        <f t="shared" si="52"/>
        <v/>
      </c>
      <c r="K18" s="5" t="str">
        <f t="shared" si="44"/>
        <v/>
      </c>
      <c r="L18" s="5" t="str">
        <f t="shared" si="45"/>
        <v/>
      </c>
      <c r="M18" s="5" t="str">
        <f t="shared" si="46"/>
        <v/>
      </c>
      <c r="N18" s="5" t="str">
        <f t="shared" si="53"/>
        <v/>
      </c>
      <c r="O18" s="5" t="str">
        <f t="shared" si="54"/>
        <v/>
      </c>
      <c r="P18" s="5" t="str">
        <f t="shared" si="55"/>
        <v/>
      </c>
      <c r="Q18" s="5" t="str">
        <f t="shared" si="56"/>
        <v/>
      </c>
      <c r="R18" s="5" t="str">
        <f t="shared" si="57"/>
        <v/>
      </c>
      <c r="S18" s="5" t="str">
        <f t="shared" si="58"/>
        <v/>
      </c>
      <c r="T18" s="5" t="str">
        <f t="shared" si="59"/>
        <v/>
      </c>
      <c r="U18" s="5" t="str">
        <f t="shared" si="60"/>
        <v/>
      </c>
      <c r="V18" s="5" t="str">
        <f t="shared" si="61"/>
        <v/>
      </c>
      <c r="W18" s="5" t="str">
        <f t="shared" si="62"/>
        <v/>
      </c>
      <c r="X18" s="5" t="str">
        <f t="shared" si="63"/>
        <v/>
      </c>
      <c r="Y18" s="5" t="str">
        <f t="shared" si="64"/>
        <v/>
      </c>
      <c r="Z18" s="5" t="str">
        <f t="shared" si="47"/>
        <v/>
      </c>
      <c r="AA18" s="5" t="str">
        <f t="shared" si="48"/>
        <v/>
      </c>
    </row>
    <row r="19" spans="1:27" x14ac:dyDescent="0.35">
      <c r="A19" s="13" t="str">
        <f>IF(ROW()-3 &lt;= ProjYearsA, A18+1, "")</f>
        <v/>
      </c>
      <c r="B19" s="5" t="str">
        <f t="shared" si="6"/>
        <v/>
      </c>
      <c r="C19" s="5" t="str">
        <f t="shared" si="41"/>
        <v/>
      </c>
      <c r="D19" s="5" t="str">
        <f t="shared" si="49"/>
        <v/>
      </c>
      <c r="E19" s="5" t="str">
        <f t="shared" si="50"/>
        <v/>
      </c>
      <c r="F19" s="5" t="str">
        <f>IFERROR(IF($A19="","",_xlfn.XLOOKUP($A19,PersonaA!B:B,PersonaA!Q:Q,,,-1)),0)</f>
        <v/>
      </c>
      <c r="G19" s="5" t="str">
        <f t="shared" si="42"/>
        <v/>
      </c>
      <c r="H19" s="5" t="str">
        <f t="shared" si="51"/>
        <v/>
      </c>
      <c r="I19" s="5" t="str">
        <f t="shared" si="43"/>
        <v/>
      </c>
      <c r="J19" s="5" t="str">
        <f t="shared" si="52"/>
        <v/>
      </c>
      <c r="K19" s="5" t="str">
        <f t="shared" si="44"/>
        <v/>
      </c>
      <c r="L19" s="5" t="str">
        <f t="shared" si="45"/>
        <v/>
      </c>
      <c r="M19" s="5" t="str">
        <f t="shared" si="46"/>
        <v/>
      </c>
      <c r="N19" s="5" t="str">
        <f t="shared" si="53"/>
        <v/>
      </c>
      <c r="O19" s="5" t="str">
        <f t="shared" si="54"/>
        <v/>
      </c>
      <c r="P19" s="5" t="str">
        <f t="shared" si="55"/>
        <v/>
      </c>
      <c r="Q19" s="5" t="str">
        <f t="shared" si="56"/>
        <v/>
      </c>
      <c r="R19" s="5" t="str">
        <f t="shared" si="57"/>
        <v/>
      </c>
      <c r="S19" s="5" t="str">
        <f t="shared" si="58"/>
        <v/>
      </c>
      <c r="T19" s="5" t="str">
        <f t="shared" si="59"/>
        <v/>
      </c>
      <c r="U19" s="5" t="str">
        <f t="shared" si="60"/>
        <v/>
      </c>
      <c r="V19" s="5" t="str">
        <f t="shared" si="61"/>
        <v/>
      </c>
      <c r="W19" s="5" t="str">
        <f t="shared" si="62"/>
        <v/>
      </c>
      <c r="X19" s="5" t="str">
        <f t="shared" si="63"/>
        <v/>
      </c>
      <c r="Y19" s="5" t="str">
        <f t="shared" si="64"/>
        <v/>
      </c>
      <c r="Z19" s="5" t="str">
        <f t="shared" si="47"/>
        <v/>
      </c>
      <c r="AA19" s="5" t="str">
        <f t="shared" si="48"/>
        <v/>
      </c>
    </row>
    <row r="20" spans="1:27" x14ac:dyDescent="0.35">
      <c r="F20" s="5" t="str">
        <f>IFERROR(IF($A20="","",_xlfn.XLOOKUP($A20,PersonaA!B:B,PersonaA!Q:Q,,,-1)),0)</f>
        <v/>
      </c>
      <c r="K20" s="5" t="str">
        <f t="shared" si="44"/>
        <v/>
      </c>
    </row>
    <row r="21" spans="1:27" x14ac:dyDescent="0.35">
      <c r="F21" s="5" t="str">
        <f>IFERROR(IF($A21="","",_xlfn.XLOOKUP($A21,PersonaA!B:B,PersonaA!Q:Q,,,-1)),0)</f>
        <v/>
      </c>
      <c r="K21" s="5" t="str">
        <f t="shared" si="44"/>
        <v/>
      </c>
    </row>
    <row r="22" spans="1:27" x14ac:dyDescent="0.35">
      <c r="F22" s="5" t="str">
        <f>IFERROR(IF($A22="","",_xlfn.XLOOKUP($A22,PersonaA!B:B,PersonaA!Q:Q,,,-1)),0)</f>
        <v/>
      </c>
      <c r="K22" s="5" t="str">
        <f t="shared" si="44"/>
        <v/>
      </c>
    </row>
    <row r="23" spans="1:27" x14ac:dyDescent="0.35">
      <c r="F23" s="5" t="str">
        <f>IFERROR(IF($A23="","",_xlfn.XLOOKUP($A23,PersonaA!B:B,PersonaA!Q:Q,,,-1)),0)</f>
        <v/>
      </c>
      <c r="K23" s="5" t="str">
        <f t="shared" si="44"/>
        <v/>
      </c>
    </row>
    <row r="24" spans="1:27" x14ac:dyDescent="0.35">
      <c r="F24" s="5" t="str">
        <f>IFERROR(IF($A24="","",_xlfn.XLOOKUP($A24,PersonaA!B:B,PersonaA!Q:Q,,,-1)),0)</f>
        <v/>
      </c>
      <c r="K24" s="5" t="str">
        <f t="shared" si="44"/>
        <v/>
      </c>
    </row>
    <row r="25" spans="1:27" x14ac:dyDescent="0.35">
      <c r="F25" s="5" t="str">
        <f>IFERROR(IF($A25="","",_xlfn.XLOOKUP($A25,PersonaA!B:B,PersonaA!Q:Q,,,-1)),0)</f>
        <v/>
      </c>
      <c r="K25" s="5" t="str">
        <f t="shared" si="44"/>
        <v/>
      </c>
    </row>
    <row r="26" spans="1:27" x14ac:dyDescent="0.35">
      <c r="F26" s="5" t="str">
        <f>IFERROR(IF($A26="","",_xlfn.XLOOKUP($A26,PersonaA!B:B,PersonaA!Q:Q,,,-1)),0)</f>
        <v/>
      </c>
      <c r="K26" s="5" t="str">
        <f t="shared" si="44"/>
        <v/>
      </c>
    </row>
    <row r="27" spans="1:27" x14ac:dyDescent="0.35">
      <c r="F27" s="5" t="str">
        <f>IFERROR(IF($A27="","",_xlfn.XLOOKUP($A27,PersonaA!B:B,PersonaA!Q:Q,,,-1)),0)</f>
        <v/>
      </c>
      <c r="K27" s="5" t="str">
        <f t="shared" si="44"/>
        <v/>
      </c>
    </row>
    <row r="28" spans="1:27" x14ac:dyDescent="0.35">
      <c r="F28" s="5" t="str">
        <f>IFERROR(IF($A28="","",_xlfn.XLOOKUP($A28,PersonaA!B:B,PersonaA!Q:Q,,,-1)),0)</f>
        <v/>
      </c>
      <c r="K28" s="5" t="str">
        <f t="shared" ref="K28:K59" si="65">IFERROR(IF($A28="", "", J28*(1+SuperReturn*(1-SuperTaxRate)) + (C28+AA28)*(1-SuperTaxRate) - M28), 0)</f>
        <v/>
      </c>
    </row>
    <row r="29" spans="1:27" x14ac:dyDescent="0.35">
      <c r="F29" s="5" t="str">
        <f>IFERROR(IF($A29="","",_xlfn.XLOOKUP($A29,PersonaA!B:B,PersonaA!Q:Q,,,-1)),0)</f>
        <v/>
      </c>
      <c r="K29" s="5" t="str">
        <f t="shared" si="65"/>
        <v/>
      </c>
    </row>
    <row r="30" spans="1:27" x14ac:dyDescent="0.35">
      <c r="F30" s="5" t="str">
        <f>IFERROR(IF($A30="","",_xlfn.XLOOKUP($A30,PersonaA!B:B,PersonaA!Q:Q,,,-1)),0)</f>
        <v/>
      </c>
      <c r="K30" s="5" t="str">
        <f t="shared" si="65"/>
        <v/>
      </c>
    </row>
    <row r="31" spans="1:27" x14ac:dyDescent="0.35">
      <c r="F31" s="5" t="str">
        <f>IFERROR(IF($A31="","",_xlfn.XLOOKUP($A31,PersonaA!B:B,PersonaA!Q:Q,,,-1)),0)</f>
        <v/>
      </c>
      <c r="K31" s="5" t="str">
        <f t="shared" si="65"/>
        <v/>
      </c>
    </row>
    <row r="32" spans="1:27" x14ac:dyDescent="0.35">
      <c r="F32" s="5" t="str">
        <f>IFERROR(IF($A32="","",_xlfn.XLOOKUP($A32,PersonaA!B:B,PersonaA!Q:Q,,,-1)),0)</f>
        <v/>
      </c>
      <c r="K32" s="5" t="str">
        <f t="shared" si="65"/>
        <v/>
      </c>
    </row>
    <row r="33" spans="6:11" x14ac:dyDescent="0.35">
      <c r="F33" s="5" t="str">
        <f>IFERROR(IF($A33="","",_xlfn.XLOOKUP($A33,PersonaA!B:B,PersonaA!Q:Q,,,-1)),0)</f>
        <v/>
      </c>
      <c r="K33" s="5" t="str">
        <f t="shared" si="65"/>
        <v/>
      </c>
    </row>
    <row r="34" spans="6:11" x14ac:dyDescent="0.35">
      <c r="F34" s="5" t="str">
        <f>IFERROR(IF($A34="","",_xlfn.XLOOKUP($A34,PersonaA!B:B,PersonaA!Q:Q,,,-1)),0)</f>
        <v/>
      </c>
      <c r="K34" s="5" t="str">
        <f t="shared" si="65"/>
        <v/>
      </c>
    </row>
    <row r="35" spans="6:11" x14ac:dyDescent="0.35">
      <c r="F35" s="5" t="str">
        <f>IFERROR(IF($A35="","",_xlfn.XLOOKUP($A35,PersonaA!B:B,PersonaA!Q:Q,,,-1)),0)</f>
        <v/>
      </c>
      <c r="K35" s="5" t="str">
        <f t="shared" si="65"/>
        <v/>
      </c>
    </row>
    <row r="36" spans="6:11" x14ac:dyDescent="0.35">
      <c r="F36" s="5" t="str">
        <f>IFERROR(IF($A36="","",_xlfn.XLOOKUP($A36,PersonaA!B:B,PersonaA!Q:Q,,,-1)),0)</f>
        <v/>
      </c>
      <c r="K36" s="5" t="str">
        <f t="shared" si="65"/>
        <v/>
      </c>
    </row>
    <row r="37" spans="6:11" x14ac:dyDescent="0.35">
      <c r="F37" s="5" t="str">
        <f>IFERROR(IF($A37="","",_xlfn.XLOOKUP($A37,PersonaA!B:B,PersonaA!Q:Q,,,-1)),0)</f>
        <v/>
      </c>
      <c r="K37" s="5" t="str">
        <f t="shared" si="65"/>
        <v/>
      </c>
    </row>
    <row r="38" spans="6:11" x14ac:dyDescent="0.35">
      <c r="F38" s="5" t="str">
        <f>IFERROR(IF($A38="","",_xlfn.XLOOKUP($A38,PersonaA!B:B,PersonaA!Q:Q,,,-1)),0)</f>
        <v/>
      </c>
      <c r="K38" s="5" t="str">
        <f t="shared" si="65"/>
        <v/>
      </c>
    </row>
    <row r="39" spans="6:11" x14ac:dyDescent="0.35">
      <c r="F39" s="5" t="str">
        <f>IFERROR(IF($A39="","",_xlfn.XLOOKUP($A39,PersonaA!B:B,PersonaA!Q:Q,,,-1)),0)</f>
        <v/>
      </c>
      <c r="K39" s="5" t="str">
        <f t="shared" si="65"/>
        <v/>
      </c>
    </row>
    <row r="40" spans="6:11" x14ac:dyDescent="0.35">
      <c r="F40" s="5" t="str">
        <f>IFERROR(IF($A40="","",_xlfn.XLOOKUP($A40,PersonaA!B:B,PersonaA!Q:Q,,,-1)),0)</f>
        <v/>
      </c>
      <c r="K40" s="5" t="str">
        <f t="shared" si="65"/>
        <v/>
      </c>
    </row>
    <row r="41" spans="6:11" x14ac:dyDescent="0.35">
      <c r="F41" s="5" t="str">
        <f>IFERROR(IF($A41="","",_xlfn.XLOOKUP($A41,PersonaA!B:B,PersonaA!Q:Q,,,-1)),0)</f>
        <v/>
      </c>
      <c r="K41" s="5" t="str">
        <f t="shared" si="65"/>
        <v/>
      </c>
    </row>
    <row r="42" spans="6:11" x14ac:dyDescent="0.35">
      <c r="F42" s="5" t="str">
        <f>IFERROR(IF($A42="","",_xlfn.XLOOKUP($A42,PersonaA!B:B,PersonaA!Q:Q,,,-1)),0)</f>
        <v/>
      </c>
      <c r="K42" s="5" t="str">
        <f t="shared" si="65"/>
        <v/>
      </c>
    </row>
    <row r="43" spans="6:11" x14ac:dyDescent="0.35">
      <c r="F43" s="5" t="str">
        <f>IFERROR(IF($A43="","",_xlfn.XLOOKUP($A43,PersonaA!B:B,PersonaA!Q:Q,,,-1)),0)</f>
        <v/>
      </c>
      <c r="K43" s="5" t="str">
        <f t="shared" si="65"/>
        <v/>
      </c>
    </row>
    <row r="44" spans="6:11" x14ac:dyDescent="0.35">
      <c r="F44" s="5" t="str">
        <f>IFERROR(IF($A44="","",_xlfn.XLOOKUP($A44,PersonaA!B:B,PersonaA!Q:Q,,,-1)),0)</f>
        <v/>
      </c>
      <c r="K44" s="5" t="str">
        <f t="shared" si="65"/>
        <v/>
      </c>
    </row>
    <row r="45" spans="6:11" x14ac:dyDescent="0.35">
      <c r="F45" s="5" t="str">
        <f>IFERROR(IF($A45="","",_xlfn.XLOOKUP($A45,PersonaA!B:B,PersonaA!Q:Q,,,-1)),0)</f>
        <v/>
      </c>
      <c r="K45" s="5" t="str">
        <f t="shared" si="65"/>
        <v/>
      </c>
    </row>
    <row r="46" spans="6:11" x14ac:dyDescent="0.35">
      <c r="F46" s="5" t="str">
        <f>IFERROR(IF($A46="","",_xlfn.XLOOKUP($A46,PersonaA!B:B,PersonaA!Q:Q,,,-1)),0)</f>
        <v/>
      </c>
      <c r="K46" s="5" t="str">
        <f t="shared" si="65"/>
        <v/>
      </c>
    </row>
    <row r="47" spans="6:11" x14ac:dyDescent="0.35">
      <c r="F47" s="5" t="str">
        <f>IFERROR(IF($A47="","",_xlfn.XLOOKUP($A47,PersonaA!B:B,PersonaA!Q:Q,,,-1)),0)</f>
        <v/>
      </c>
      <c r="K47" s="5" t="str">
        <f t="shared" si="65"/>
        <v/>
      </c>
    </row>
    <row r="48" spans="6:11" x14ac:dyDescent="0.35">
      <c r="F48" s="5" t="str">
        <f>IFERROR(IF($A48="","",_xlfn.XLOOKUP($A48,PersonaA!B:B,PersonaA!Q:Q,,,-1)),0)</f>
        <v/>
      </c>
      <c r="K48" s="5" t="str">
        <f t="shared" si="65"/>
        <v/>
      </c>
    </row>
    <row r="49" spans="6:11" x14ac:dyDescent="0.35">
      <c r="F49" s="5" t="str">
        <f>IFERROR(IF($A49="","",_xlfn.XLOOKUP($A49,PersonaA!B:B,PersonaA!Q:Q,,,-1)),0)</f>
        <v/>
      </c>
      <c r="K49" s="5" t="str">
        <f t="shared" si="65"/>
        <v/>
      </c>
    </row>
    <row r="50" spans="6:11" x14ac:dyDescent="0.35">
      <c r="F50" s="5" t="str">
        <f>IFERROR(IF($A50="","",_xlfn.XLOOKUP($A50,PersonaA!B:B,PersonaA!Q:Q,,,-1)),0)</f>
        <v/>
      </c>
      <c r="K50" s="5" t="str">
        <f t="shared" si="65"/>
        <v/>
      </c>
    </row>
    <row r="51" spans="6:11" x14ac:dyDescent="0.35">
      <c r="F51" s="5" t="str">
        <f>IFERROR(IF($A51="","",_xlfn.XLOOKUP($A51,PersonaA!B:B,PersonaA!Q:Q,,,-1)),0)</f>
        <v/>
      </c>
      <c r="K51" s="5" t="str">
        <f t="shared" si="65"/>
        <v/>
      </c>
    </row>
    <row r="52" spans="6:11" x14ac:dyDescent="0.35">
      <c r="F52" s="5" t="str">
        <f>IFERROR(IF($A52="","",_xlfn.XLOOKUP($A52,PersonaA!B:B,PersonaA!Q:Q,,,-1)),0)</f>
        <v/>
      </c>
      <c r="K52" s="5" t="str">
        <f t="shared" si="65"/>
        <v/>
      </c>
    </row>
    <row r="53" spans="6:11" x14ac:dyDescent="0.35">
      <c r="F53" s="5" t="str">
        <f>IFERROR(IF($A53="","",_xlfn.XLOOKUP($A53,PersonaA!B:B,PersonaA!Q:Q,,,-1)),0)</f>
        <v/>
      </c>
      <c r="K53" s="5" t="str">
        <f t="shared" si="65"/>
        <v/>
      </c>
    </row>
    <row r="54" spans="6:11" x14ac:dyDescent="0.35">
      <c r="F54" s="5" t="str">
        <f>IFERROR(IF($A54="","",_xlfn.XLOOKUP($A54,PersonaA!B:B,PersonaA!Q:Q,,,-1)),0)</f>
        <v/>
      </c>
      <c r="K54" s="5" t="str">
        <f t="shared" si="65"/>
        <v/>
      </c>
    </row>
    <row r="55" spans="6:11" x14ac:dyDescent="0.35">
      <c r="F55" s="5" t="str">
        <f>IFERROR(IF($A55="","",_xlfn.XLOOKUP($A55,PersonaA!B:B,PersonaA!Q:Q,,,-1)),0)</f>
        <v/>
      </c>
      <c r="K55" s="5" t="str">
        <f t="shared" si="65"/>
        <v/>
      </c>
    </row>
    <row r="56" spans="6:11" x14ac:dyDescent="0.35">
      <c r="F56" s="5" t="str">
        <f>IFERROR(IF($A56="","",_xlfn.XLOOKUP($A56,PersonaA!B:B,PersonaA!Q:Q,,,-1)),0)</f>
        <v/>
      </c>
      <c r="K56" s="5" t="str">
        <f t="shared" si="65"/>
        <v/>
      </c>
    </row>
    <row r="57" spans="6:11" x14ac:dyDescent="0.35">
      <c r="F57" s="5" t="str">
        <f>IFERROR(IF($A57="","",_xlfn.XLOOKUP($A57,PersonaA!B:B,PersonaA!Q:Q,,,-1)),0)</f>
        <v/>
      </c>
      <c r="K57" s="5" t="str">
        <f t="shared" si="65"/>
        <v/>
      </c>
    </row>
    <row r="58" spans="6:11" x14ac:dyDescent="0.35">
      <c r="F58" s="5" t="str">
        <f>IFERROR(IF($A58="","",_xlfn.XLOOKUP($A58,PersonaA!B:B,PersonaA!Q:Q,,,-1)),0)</f>
        <v/>
      </c>
      <c r="K58" s="5" t="str">
        <f t="shared" si="65"/>
        <v/>
      </c>
    </row>
    <row r="59" spans="6:11" x14ac:dyDescent="0.35">
      <c r="F59" s="5" t="str">
        <f>IFERROR(IF($A59="","",_xlfn.XLOOKUP($A59,PersonaA!B:B,PersonaA!Q:Q,,,-1)),0)</f>
        <v/>
      </c>
      <c r="K59" s="5" t="str">
        <f t="shared" si="65"/>
        <v/>
      </c>
    </row>
    <row r="60" spans="6:11" x14ac:dyDescent="0.35">
      <c r="F60" s="5" t="str">
        <f>IFERROR(IF($A60="","",_xlfn.XLOOKUP($A60,PersonaA!B:B,PersonaA!Q:Q,,,-1)),0)</f>
        <v/>
      </c>
      <c r="K60" s="5" t="str">
        <f t="shared" ref="K60:K91" si="66">IFERROR(IF($A60="", "", J60*(1+SuperReturn*(1-SuperTaxRate)) + (C60+AA60)*(1-SuperTaxRate) - M60), 0)</f>
        <v/>
      </c>
    </row>
    <row r="61" spans="6:11" x14ac:dyDescent="0.35">
      <c r="F61" s="5" t="str">
        <f>IFERROR(IF($A61="","",_xlfn.XLOOKUP($A61,PersonaA!B:B,PersonaA!Q:Q,,,-1)),0)</f>
        <v/>
      </c>
      <c r="K61" s="5" t="str">
        <f t="shared" si="66"/>
        <v/>
      </c>
    </row>
    <row r="62" spans="6:11" x14ac:dyDescent="0.35">
      <c r="F62" s="5" t="str">
        <f>IFERROR(IF($A62="","",_xlfn.XLOOKUP($A62,PersonaA!B:B,PersonaA!Q:Q,,,-1)),0)</f>
        <v/>
      </c>
      <c r="K62" s="5" t="str">
        <f t="shared" si="66"/>
        <v/>
      </c>
    </row>
    <row r="63" spans="6:11" x14ac:dyDescent="0.35">
      <c r="F63" s="5" t="str">
        <f>IFERROR(IF($A63="","",_xlfn.XLOOKUP($A63,PersonaA!B:B,PersonaA!Q:Q,,,-1)),0)</f>
        <v/>
      </c>
      <c r="K63" s="5" t="str">
        <f t="shared" si="66"/>
        <v/>
      </c>
    </row>
    <row r="64" spans="6:11" x14ac:dyDescent="0.35">
      <c r="F64" s="5" t="str">
        <f>IFERROR(IF($A64="","",_xlfn.XLOOKUP($A64,PersonaA!B:B,PersonaA!Q:Q,,,-1)),0)</f>
        <v/>
      </c>
      <c r="K64" s="5" t="str">
        <f t="shared" si="66"/>
        <v/>
      </c>
    </row>
    <row r="65" spans="6:11" x14ac:dyDescent="0.35">
      <c r="F65" s="5" t="str">
        <f>IFERROR(IF($A65="","",_xlfn.XLOOKUP($A65,PersonaA!B:B,PersonaA!Q:Q,,,-1)),0)</f>
        <v/>
      </c>
      <c r="K65" s="5" t="str">
        <f t="shared" si="66"/>
        <v/>
      </c>
    </row>
    <row r="66" spans="6:11" x14ac:dyDescent="0.35">
      <c r="F66" s="5" t="str">
        <f>IFERROR(IF($A66="","",_xlfn.XLOOKUP($A66,PersonaA!B:B,PersonaA!Q:Q,,,-1)),0)</f>
        <v/>
      </c>
      <c r="K66" s="5" t="str">
        <f t="shared" si="66"/>
        <v/>
      </c>
    </row>
    <row r="67" spans="6:11" x14ac:dyDescent="0.35">
      <c r="F67" s="5" t="str">
        <f>IFERROR(IF($A67="","",_xlfn.XLOOKUP($A67,PersonaA!B:B,PersonaA!Q:Q,,,-1)),0)</f>
        <v/>
      </c>
      <c r="K67" s="5" t="str">
        <f t="shared" si="66"/>
        <v/>
      </c>
    </row>
    <row r="68" spans="6:11" x14ac:dyDescent="0.35">
      <c r="F68" s="5" t="str">
        <f>IFERROR(IF($A68="","",_xlfn.XLOOKUP($A68,PersonaA!B:B,PersonaA!Q:Q,,,-1)),0)</f>
        <v/>
      </c>
      <c r="K68" s="5" t="str">
        <f t="shared" si="66"/>
        <v/>
      </c>
    </row>
    <row r="69" spans="6:11" x14ac:dyDescent="0.35">
      <c r="F69" s="5" t="str">
        <f>IFERROR(IF($A69="","",_xlfn.XLOOKUP($A69,PersonaA!B:B,PersonaA!Q:Q,,,-1)),0)</f>
        <v/>
      </c>
      <c r="K69" s="5" t="str">
        <f t="shared" si="66"/>
        <v/>
      </c>
    </row>
    <row r="70" spans="6:11" x14ac:dyDescent="0.35">
      <c r="F70" s="5" t="str">
        <f>IFERROR(IF($A70="","",_xlfn.XLOOKUP($A70,PersonaA!B:B,PersonaA!Q:Q,,,-1)),0)</f>
        <v/>
      </c>
      <c r="K70" s="5" t="str">
        <f t="shared" si="66"/>
        <v/>
      </c>
    </row>
    <row r="71" spans="6:11" x14ac:dyDescent="0.35">
      <c r="F71" s="5" t="str">
        <f>IFERROR(IF($A71="","",_xlfn.XLOOKUP($A71,PersonaA!B:B,PersonaA!Q:Q,,,-1)),0)</f>
        <v/>
      </c>
      <c r="K71" s="5" t="str">
        <f t="shared" si="66"/>
        <v/>
      </c>
    </row>
    <row r="72" spans="6:11" x14ac:dyDescent="0.35">
      <c r="F72" s="5" t="str">
        <f>IFERROR(IF($A72="","",_xlfn.XLOOKUP($A72,PersonaA!B:B,PersonaA!Q:Q,,,-1)),0)</f>
        <v/>
      </c>
      <c r="K72" s="5" t="str">
        <f t="shared" si="66"/>
        <v/>
      </c>
    </row>
    <row r="73" spans="6:11" x14ac:dyDescent="0.35">
      <c r="F73" s="5" t="str">
        <f>IFERROR(IF($A73="","",_xlfn.XLOOKUP($A73,PersonaA!B:B,PersonaA!Q:Q,,,-1)),0)</f>
        <v/>
      </c>
      <c r="K73" s="5" t="str">
        <f t="shared" si="66"/>
        <v/>
      </c>
    </row>
    <row r="74" spans="6:11" x14ac:dyDescent="0.35">
      <c r="F74" s="5" t="str">
        <f>IFERROR(IF($A74="","",_xlfn.XLOOKUP($A74,PersonaA!B:B,PersonaA!Q:Q,,,-1)),0)</f>
        <v/>
      </c>
      <c r="K74" s="5" t="str">
        <f t="shared" si="66"/>
        <v/>
      </c>
    </row>
    <row r="75" spans="6:11" x14ac:dyDescent="0.35">
      <c r="F75" s="5" t="str">
        <f>IFERROR(IF($A75="","",_xlfn.XLOOKUP($A75,PersonaA!B:B,PersonaA!Q:Q,,,-1)),0)</f>
        <v/>
      </c>
      <c r="K75" s="5" t="str">
        <f t="shared" si="66"/>
        <v/>
      </c>
    </row>
    <row r="76" spans="6:11" x14ac:dyDescent="0.35">
      <c r="F76" s="5" t="str">
        <f>IFERROR(IF($A76="","",_xlfn.XLOOKUP($A76,PersonaA!B:B,PersonaA!Q:Q,,,-1)),0)</f>
        <v/>
      </c>
      <c r="K76" s="5" t="str">
        <f t="shared" si="66"/>
        <v/>
      </c>
    </row>
    <row r="77" spans="6:11" x14ac:dyDescent="0.35">
      <c r="F77" s="5" t="str">
        <f>IFERROR(IF($A77="","",_xlfn.XLOOKUP($A77,PersonaA!B:B,PersonaA!Q:Q,,,-1)),0)</f>
        <v/>
      </c>
      <c r="K77" s="5" t="str">
        <f t="shared" si="66"/>
        <v/>
      </c>
    </row>
    <row r="78" spans="6:11" x14ac:dyDescent="0.35">
      <c r="F78" s="5" t="str">
        <f>IFERROR(IF($A78="","",_xlfn.XLOOKUP($A78,PersonaA!B:B,PersonaA!Q:Q,,,-1)),0)</f>
        <v/>
      </c>
      <c r="K78" s="5" t="str">
        <f t="shared" si="66"/>
        <v/>
      </c>
    </row>
    <row r="79" spans="6:11" x14ac:dyDescent="0.35">
      <c r="F79" s="5" t="str">
        <f>IFERROR(IF($A79="","",_xlfn.XLOOKUP($A79,PersonaA!B:B,PersonaA!Q:Q,,,-1)),0)</f>
        <v/>
      </c>
      <c r="K79" s="5" t="str">
        <f t="shared" si="66"/>
        <v/>
      </c>
    </row>
    <row r="80" spans="6:11" x14ac:dyDescent="0.35">
      <c r="F80" s="5" t="str">
        <f>IFERROR(IF($A80="","",_xlfn.XLOOKUP($A80,PersonaA!B:B,PersonaA!Q:Q,,,-1)),0)</f>
        <v/>
      </c>
      <c r="K80" s="5" t="str">
        <f t="shared" si="66"/>
        <v/>
      </c>
    </row>
    <row r="81" spans="6:11" x14ac:dyDescent="0.35">
      <c r="F81" s="5" t="str">
        <f>IFERROR(IF($A81="","",_xlfn.XLOOKUP($A81,PersonaA!B:B,PersonaA!Q:Q,,,-1)),0)</f>
        <v/>
      </c>
      <c r="K81" s="5" t="str">
        <f t="shared" si="66"/>
        <v/>
      </c>
    </row>
    <row r="82" spans="6:11" x14ac:dyDescent="0.35">
      <c r="F82" s="5" t="str">
        <f>IFERROR(IF($A82="","",_xlfn.XLOOKUP($A82,PersonaA!B:B,PersonaA!Q:Q,,,-1)),0)</f>
        <v/>
      </c>
      <c r="K82" s="5" t="str">
        <f t="shared" si="66"/>
        <v/>
      </c>
    </row>
    <row r="83" spans="6:11" x14ac:dyDescent="0.35">
      <c r="F83" s="5" t="str">
        <f>IFERROR(IF($A83="","",_xlfn.XLOOKUP($A83,PersonaA!B:B,PersonaA!Q:Q,,,-1)),0)</f>
        <v/>
      </c>
      <c r="K83" s="5" t="str">
        <f t="shared" si="66"/>
        <v/>
      </c>
    </row>
    <row r="84" spans="6:11" x14ac:dyDescent="0.35">
      <c r="F84" s="5" t="str">
        <f>IFERROR(IF($A84="","",_xlfn.XLOOKUP($A84,PersonaA!B:B,PersonaA!Q:Q,,,-1)),0)</f>
        <v/>
      </c>
      <c r="K84" s="5" t="str">
        <f t="shared" si="66"/>
        <v/>
      </c>
    </row>
    <row r="85" spans="6:11" x14ac:dyDescent="0.35">
      <c r="F85" s="5" t="str">
        <f>IFERROR(IF($A85="","",_xlfn.XLOOKUP($A85,PersonaA!B:B,PersonaA!Q:Q,,,-1)),0)</f>
        <v/>
      </c>
      <c r="K85" s="5" t="str">
        <f t="shared" si="66"/>
        <v/>
      </c>
    </row>
    <row r="86" spans="6:11" x14ac:dyDescent="0.35">
      <c r="F86" s="5" t="str">
        <f>IFERROR(IF($A86="","",_xlfn.XLOOKUP($A86,PersonaA!B:B,PersonaA!Q:Q,,,-1)),0)</f>
        <v/>
      </c>
      <c r="K86" s="5" t="str">
        <f t="shared" si="66"/>
        <v/>
      </c>
    </row>
    <row r="87" spans="6:11" x14ac:dyDescent="0.35">
      <c r="F87" s="5" t="str">
        <f>IFERROR(IF($A87="","",_xlfn.XLOOKUP($A87,PersonaA!B:B,PersonaA!Q:Q,,,-1)),0)</f>
        <v/>
      </c>
      <c r="K87" s="5" t="str">
        <f t="shared" si="66"/>
        <v/>
      </c>
    </row>
    <row r="88" spans="6:11" x14ac:dyDescent="0.35">
      <c r="F88" s="5" t="str">
        <f>IFERROR(IF($A88="","",_xlfn.XLOOKUP($A88,PersonaA!B:B,PersonaA!Q:Q,,,-1)),0)</f>
        <v/>
      </c>
      <c r="K88" s="5" t="str">
        <f t="shared" si="66"/>
        <v/>
      </c>
    </row>
    <row r="89" spans="6:11" x14ac:dyDescent="0.35">
      <c r="F89" s="5" t="str">
        <f>IFERROR(IF($A89="","",_xlfn.XLOOKUP($A89,PersonaA!B:B,PersonaA!Q:Q,,,-1)),0)</f>
        <v/>
      </c>
      <c r="K89" s="5" t="str">
        <f t="shared" si="66"/>
        <v/>
      </c>
    </row>
    <row r="90" spans="6:11" x14ac:dyDescent="0.35">
      <c r="F90" s="5" t="str">
        <f>IFERROR(IF($A90="","",_xlfn.XLOOKUP($A90,PersonaA!B:B,PersonaA!Q:Q,,,-1)),0)</f>
        <v/>
      </c>
      <c r="K90" s="5" t="str">
        <f t="shared" si="66"/>
        <v/>
      </c>
    </row>
    <row r="91" spans="6:11" x14ac:dyDescent="0.35">
      <c r="F91" s="5" t="str">
        <f>IFERROR(IF($A91="","",_xlfn.XLOOKUP($A91,PersonaA!B:B,PersonaA!Q:Q,,,-1)),0)</f>
        <v/>
      </c>
      <c r="K91" s="5" t="str">
        <f t="shared" si="66"/>
        <v/>
      </c>
    </row>
    <row r="92" spans="6:11" x14ac:dyDescent="0.35">
      <c r="F92" s="5" t="str">
        <f>IFERROR(IF($A92="","",_xlfn.XLOOKUP($A92,PersonaA!B:B,PersonaA!Q:Q,,,-1)),0)</f>
        <v/>
      </c>
      <c r="K92" s="5" t="str">
        <f t="shared" ref="K92:K99" si="67">IFERROR(IF($A92="", "", J92*(1+SuperReturn*(1-SuperTaxRate)) + (C92+AA92)*(1-SuperTaxRate) - M92), 0)</f>
        <v/>
      </c>
    </row>
    <row r="93" spans="6:11" x14ac:dyDescent="0.35">
      <c r="F93" s="5" t="str">
        <f>IFERROR(IF($A93="","",_xlfn.XLOOKUP($A93,PersonaA!B:B,PersonaA!Q:Q,,,-1)),0)</f>
        <v/>
      </c>
      <c r="K93" s="5" t="str">
        <f t="shared" si="67"/>
        <v/>
      </c>
    </row>
    <row r="94" spans="6:11" x14ac:dyDescent="0.35">
      <c r="F94" s="5" t="str">
        <f>IFERROR(IF($A94="","",_xlfn.XLOOKUP($A94,PersonaA!B:B,PersonaA!Q:Q,,,-1)),0)</f>
        <v/>
      </c>
      <c r="K94" s="5" t="str">
        <f t="shared" si="67"/>
        <v/>
      </c>
    </row>
    <row r="95" spans="6:11" x14ac:dyDescent="0.35">
      <c r="F95" s="5" t="str">
        <f>IFERROR(IF($A95="","",_xlfn.XLOOKUP($A95,PersonaA!B:B,PersonaA!Q:Q,,,-1)),0)</f>
        <v/>
      </c>
      <c r="K95" s="5" t="str">
        <f t="shared" si="67"/>
        <v/>
      </c>
    </row>
    <row r="96" spans="6:11" x14ac:dyDescent="0.35">
      <c r="F96" s="5" t="str">
        <f>IFERROR(IF($A96="","",_xlfn.XLOOKUP($A96,PersonaA!B:B,PersonaA!Q:Q,,,-1)),0)</f>
        <v/>
      </c>
      <c r="K96" s="5" t="str">
        <f t="shared" si="67"/>
        <v/>
      </c>
    </row>
    <row r="97" spans="6:19" x14ac:dyDescent="0.35">
      <c r="F97" s="5" t="str">
        <f>IFERROR(IF($A97="","",_xlfn.XLOOKUP($A97,PersonaA!B:B,PersonaA!Q:Q,,,-1)),0)</f>
        <v/>
      </c>
      <c r="K97" s="5" t="str">
        <f t="shared" si="67"/>
        <v/>
      </c>
    </row>
    <row r="98" spans="6:19" x14ac:dyDescent="0.35">
      <c r="F98" s="5" t="str">
        <f>IFERROR(IF($A98="","",_xlfn.XLOOKUP($A98,PersonaA!B:B,PersonaA!Q:Q,,,-1)),0)</f>
        <v/>
      </c>
      <c r="K98" s="5" t="str">
        <f t="shared" si="67"/>
        <v/>
      </c>
    </row>
    <row r="99" spans="6:19" x14ac:dyDescent="0.35">
      <c r="F99" s="5" t="str">
        <f>IFERROR(IF($A99="","",_xlfn.XLOOKUP($A99,PersonaA!B:B,PersonaA!Q:Q,,,-1)),0)</f>
        <v/>
      </c>
      <c r="K99" s="5" t="str">
        <f t="shared" si="67"/>
        <v/>
      </c>
      <c r="N99" s="13">
        <f>YEAR(StartYear)</f>
        <v>2027</v>
      </c>
      <c r="O99" s="13">
        <f>YEAR(StartYear)+1</f>
        <v>2028</v>
      </c>
      <c r="P99" s="13">
        <f>YEAR(StartYear)+2</f>
        <v>2029</v>
      </c>
      <c r="Q99" s="13">
        <f>YEAR(StartYear)+3</f>
        <v>2030</v>
      </c>
      <c r="R99" s="13">
        <f>YEAR(StartYear)+4</f>
        <v>2031</v>
      </c>
      <c r="S99" s="13">
        <f>YEAR(StartYear)+5</f>
        <v>2032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FE14-3D4B-473F-A865-F5D2B7D8857F}">
  <sheetPr>
    <tabColor rgb="FF7C3AED"/>
  </sheetPr>
  <dimension ref="A1:EAK128"/>
  <sheetViews>
    <sheetView workbookViewId="0">
      <pane ySplit="1" topLeftCell="A2" activePane="bottomLeft" state="frozen"/>
      <selection activeCell="F54" sqref="F54"/>
      <selection pane="bottomLeft" activeCell="E46" sqref="E46"/>
    </sheetView>
  </sheetViews>
  <sheetFormatPr defaultColWidth="8.90625" defaultRowHeight="14.5" x14ac:dyDescent="0.35"/>
  <cols>
    <col min="1" max="1" width="6.81640625" bestFit="1" customWidth="1"/>
    <col min="2" max="2" width="15.36328125" style="5" bestFit="1" customWidth="1"/>
    <col min="3" max="3" width="13.26953125" style="5" bestFit="1" customWidth="1"/>
    <col min="4" max="4" width="13.6328125" style="5" bestFit="1" customWidth="1"/>
    <col min="5" max="5" width="15" style="5" bestFit="1" customWidth="1"/>
    <col min="6" max="6" width="25.54296875" style="5" bestFit="1" customWidth="1"/>
    <col min="7" max="7" width="20.1796875" style="5" bestFit="1" customWidth="1"/>
    <col min="8" max="8" width="17.36328125" style="5" bestFit="1" customWidth="1"/>
    <col min="9" max="9" width="24.7265625" style="5" bestFit="1" customWidth="1"/>
    <col min="10" max="10" width="18.81640625" style="5" bestFit="1" customWidth="1"/>
    <col min="11" max="11" width="18" style="5" bestFit="1" customWidth="1"/>
    <col min="12" max="12" width="15.1796875" style="5" bestFit="1" customWidth="1"/>
    <col min="13" max="13" width="11.6328125" style="5" bestFit="1" customWidth="1"/>
    <col min="14" max="19" width="10.90625" style="5" bestFit="1" customWidth="1"/>
    <col min="20" max="25" width="9.90625" style="5" bestFit="1" customWidth="1"/>
    <col min="26" max="26" width="15.7265625" bestFit="1" customWidth="1"/>
    <col min="27" max="27" width="13.08984375" bestFit="1" customWidth="1"/>
    <col min="28" max="28" width="13.81640625" bestFit="1" customWidth="1"/>
    <col min="29" max="29" width="25.453125" bestFit="1" customWidth="1"/>
  </cols>
  <sheetData>
    <row r="1" spans="1:3417" s="80" customFormat="1" ht="24" customHeight="1" x14ac:dyDescent="0.35">
      <c r="A1" s="109" t="s">
        <v>23</v>
      </c>
      <c r="B1" s="126" t="s">
        <v>37</v>
      </c>
      <c r="C1" s="126" t="s">
        <v>38</v>
      </c>
      <c r="D1" s="89" t="s">
        <v>62</v>
      </c>
      <c r="E1" s="89" t="s">
        <v>39</v>
      </c>
      <c r="F1" s="89" t="s">
        <v>63</v>
      </c>
      <c r="G1" s="89" t="s">
        <v>40</v>
      </c>
      <c r="H1" s="89" t="s">
        <v>41</v>
      </c>
      <c r="I1" s="89" t="s">
        <v>29</v>
      </c>
      <c r="J1" s="127" t="s">
        <v>64</v>
      </c>
      <c r="K1" s="127" t="s">
        <v>44</v>
      </c>
      <c r="L1" s="127" t="s">
        <v>65</v>
      </c>
      <c r="M1" s="127" t="s">
        <v>66</v>
      </c>
      <c r="N1" s="128" t="s">
        <v>109</v>
      </c>
      <c r="O1" s="128" t="s">
        <v>110</v>
      </c>
      <c r="P1" s="128" t="s">
        <v>111</v>
      </c>
      <c r="Q1" s="128" t="s">
        <v>112</v>
      </c>
      <c r="R1" s="128" t="s">
        <v>113</v>
      </c>
      <c r="S1" s="128" t="s">
        <v>114</v>
      </c>
      <c r="T1" s="129" t="s">
        <v>67</v>
      </c>
      <c r="U1" s="129" t="s">
        <v>68</v>
      </c>
      <c r="V1" s="129" t="s">
        <v>69</v>
      </c>
      <c r="W1" s="129" t="s">
        <v>70</v>
      </c>
      <c r="X1" s="129" t="s">
        <v>71</v>
      </c>
      <c r="Y1" s="129" t="s">
        <v>72</v>
      </c>
      <c r="Z1" s="130" t="s">
        <v>85</v>
      </c>
      <c r="AA1" s="130" t="s">
        <v>86</v>
      </c>
      <c r="AB1" s="130" t="s">
        <v>91</v>
      </c>
      <c r="AC1" s="80" t="s">
        <v>235</v>
      </c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</row>
    <row r="2" spans="1:3417" x14ac:dyDescent="0.35">
      <c r="A2" s="13">
        <f>YEAR(StartYear)</f>
        <v>2027</v>
      </c>
      <c r="B2" s="5">
        <f>IncB</f>
        <v>230000</v>
      </c>
      <c r="C2" s="5">
        <f t="shared" ref="C2:C14" si="0">IFERROR(IF($A2="", "", B2*SGRate), 0)</f>
        <v>27600</v>
      </c>
      <c r="D2" s="5">
        <f>ConcessCap</f>
        <v>32500</v>
      </c>
      <c r="E2" s="5">
        <f>CarryFwdStartB</f>
        <v>120000</v>
      </c>
      <c r="F2" s="5">
        <f>IFERROR(IF($A2="","",_xlfn.XLOOKUP($A2,PersonaB!B:B,PersonaB!Q:Q,,,-1)),0)</f>
        <v>124900</v>
      </c>
      <c r="G2" s="5">
        <f>IFERROR(IF($A2="", "", MAX(0, D2+E2-C2-AB2)), 0)</f>
        <v>0</v>
      </c>
      <c r="H2" s="5">
        <v>0</v>
      </c>
      <c r="I2" s="5">
        <f t="shared" ref="I2:I14" si="1">IFERROR(IF($A2="", "", MAX(0, D2+E2-C2)), 0)</f>
        <v>124900</v>
      </c>
      <c r="J2" s="5">
        <f>SuperBalStartB</f>
        <v>200000</v>
      </c>
      <c r="K2" s="5">
        <f t="shared" ref="K2:K26" si="2">IFERROR(IF($A2="", "", J2*(1+SuperReturn*(1-SuperTaxRate)) + (C2+AB2)*(1-SuperTaxRate) - M2), 0)</f>
        <v>325790</v>
      </c>
      <c r="L2" s="5">
        <f t="shared" ref="L2:L14" si="3">IFERROR(IF($A2="", "", B2 + AB2 + NetInvLoss), 0)</f>
        <v>354900</v>
      </c>
      <c r="M2" s="5">
        <f t="shared" ref="M2:M14" si="4">IFERROR(IF($A2="", "", IF(L2 &gt; Div293Thresh, 0.15 * MIN(AB2, L2 - Div293Thresh), 0)), 0)</f>
        <v>15735</v>
      </c>
      <c r="N2" s="5">
        <f>IFERROR(IF($A2="", "", G2), 0)</f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f>IF($A2="","",MIN(MAX(0,F2),N2))</f>
        <v>0</v>
      </c>
      <c r="U2" s="5">
        <f>IF($A2="","",MIN(MAX(0,F2-T2),O2))</f>
        <v>0</v>
      </c>
      <c r="V2" s="5">
        <f>IF($A2="","",MIN(MAX(0,F2-T2-U2),P2))</f>
        <v>0</v>
      </c>
      <c r="W2" s="5">
        <f>IF($A2="","",MIN(MAX(0,F2-T2-U2-V2),Q2))</f>
        <v>0</v>
      </c>
      <c r="X2" s="5">
        <f>IF($A2="","",MIN(MAX(0,F2-T2-U2-V2-W2),R2))</f>
        <v>0</v>
      </c>
      <c r="Y2" s="5">
        <f>IF($A2="","",MIN(MAX(0,F2-T2-U2-V2-W2-X2),S2))</f>
        <v>0</v>
      </c>
      <c r="Z2" s="5">
        <f>IF($A2="","",IF(AND(SpousalTransfer="Yes", TransferDir="Yes"), 0, 0))</f>
        <v>0</v>
      </c>
      <c r="AA2" s="5">
        <f>IF($A2="","",Z2)</f>
        <v>0</v>
      </c>
      <c r="AB2" s="5">
        <f>IF($A2="","",F2+AA2)</f>
        <v>124900</v>
      </c>
      <c r="AC2" s="5" cm="1">
        <f t="array" ref="AC2">IF($A2="","",TaxPayable(B2))</f>
        <v>73970</v>
      </c>
    </row>
    <row r="3" spans="1:3417" x14ac:dyDescent="0.35">
      <c r="A3" s="13">
        <f t="shared" ref="A3:A16" si="5">IF(ROW()-1 &lt;= ProjYearsB, A2+1, "")</f>
        <v>2028</v>
      </c>
      <c r="B3" s="5">
        <f t="shared" ref="B3:B16" si="6">IF($A3="","",B2*(1+Inflation))</f>
        <v>235749.99999999997</v>
      </c>
      <c r="C3" s="5">
        <f t="shared" si="0"/>
        <v>28289.999999999996</v>
      </c>
      <c r="D3" s="5">
        <f t="shared" ref="D3:D16" si="7">IF($A3="","",D2+IF(MOD(A3-YEAR(StartYear),CapIndexYears)=0,CapIncrement,0))</f>
        <v>32500</v>
      </c>
      <c r="E3" s="5">
        <f t="shared" ref="E3:E14" si="8">IFERROR(IF($A3="", "", IF(J2&gt;500000, 0, MAX(0, G2-H3))), 0)</f>
        <v>0</v>
      </c>
      <c r="F3" s="5">
        <f>IFERROR(IF($A3="","",_xlfn.XLOOKUP($A3,PersonaB!B:B,PersonaB!Q:Q,,,-1)),0)</f>
        <v>4210.0000000000036</v>
      </c>
      <c r="G3" s="5">
        <f t="shared" ref="G3:G14" si="9">IFERROR(IF($A3="", "", MAX(0, D3+E3-C3-AB3)), 0)</f>
        <v>0</v>
      </c>
      <c r="H3" s="5">
        <f t="shared" ref="H3:H14" si="10">IFERROR(IF($A3="","",IF(YEAR(StartYear)+0&lt;A3-5,N2-T2,0)+IF(YEAR(StartYear)+1&lt;A3-5,O2-U2,0)+IF(YEAR(StartYear)+2&lt;A3-5,P2-V2,0)+IF(YEAR(StartYear)+3&lt;A3-5,Q2-W2,0)+IF(YEAR(StartYear)+4&lt;A3-5,R2-X2,0)+IF(YEAR(StartYear)+5&lt;A3-5,S2-Y2,0)),0)</f>
        <v>0</v>
      </c>
      <c r="I3" s="5">
        <f t="shared" si="1"/>
        <v>4210.0000000000036</v>
      </c>
      <c r="J3" s="5">
        <f>IFERROR(IF($A3="", "", K2), 0)</f>
        <v>325790</v>
      </c>
      <c r="K3" s="5">
        <f t="shared" si="2"/>
        <v>372799.50500000006</v>
      </c>
      <c r="L3" s="5">
        <f t="shared" si="3"/>
        <v>239959.99999999997</v>
      </c>
      <c r="M3" s="5">
        <f t="shared" si="4"/>
        <v>0</v>
      </c>
      <c r="N3" s="5">
        <f>IFERROR(IF($A3="", "", G2), 0)</f>
        <v>0</v>
      </c>
      <c r="O3" s="5">
        <f>IFERROR(IF($A3="", "", N2), 0)</f>
        <v>0</v>
      </c>
      <c r="P3" s="5">
        <f t="shared" ref="P3:S14" si="11">IFERROR(IF($A3="", "", O2), 0)</f>
        <v>0</v>
      </c>
      <c r="Q3" s="5">
        <f t="shared" si="11"/>
        <v>0</v>
      </c>
      <c r="R3" s="5">
        <f t="shared" si="11"/>
        <v>0</v>
      </c>
      <c r="S3" s="5">
        <f t="shared" si="11"/>
        <v>0</v>
      </c>
      <c r="T3" s="5">
        <f>IF($A3="","",MIN(MAX(0,F3),N3))</f>
        <v>0</v>
      </c>
      <c r="U3" s="5">
        <f>IF($A3="","",MIN(MAX(0,F3-T3),O3))</f>
        <v>0</v>
      </c>
      <c r="V3" s="5">
        <f>IF($A3="","",MIN(MAX(0,F3-T3-U3),P3))</f>
        <v>0</v>
      </c>
      <c r="W3" s="5">
        <f>IF($A3="","",MIN(MAX(0,F3-T3-U3-V3),Q3))</f>
        <v>0</v>
      </c>
      <c r="X3" s="5">
        <f>IF($A3="","",MIN(MAX(0,F3-T3-U3-V3-W3),R3))</f>
        <v>0</v>
      </c>
      <c r="Y3" s="5">
        <f>IF($A3="","",MIN(MAX(0,F3-T3-U3-V3-W3-X3),S3))</f>
        <v>0</v>
      </c>
      <c r="Z3" s="5" cm="1">
        <f t="array" ref="Z3">IF($A3="","",IF(AND(SpousalTransfer="Yes", TransferDir="Yes"), _xlfn.XLOOKUP($A3, YearlyParamsA!$A:$A, YearlyParamsA!$Z:$Z, 0) * (IFERROR(INDEX(YearlyParamsA!$J:$J, MATCH($A3, YearlyParamsA!$A:$A, 0)-1),0)&gt;=500000), 0))</f>
        <v>0</v>
      </c>
      <c r="AA3" s="5">
        <f>IF($A3="","",Z3)</f>
        <v>0</v>
      </c>
      <c r="AB3" s="5">
        <f>IF($A3="","",F3+AA3)</f>
        <v>4210.0000000000036</v>
      </c>
      <c r="AC3" s="5" cm="1">
        <f t="array" ref="AC3">IF($A3="","",TaxPayable(B3))</f>
        <v>76672.499999999985</v>
      </c>
    </row>
    <row r="4" spans="1:3417" x14ac:dyDescent="0.35">
      <c r="A4" s="13">
        <f t="shared" si="5"/>
        <v>2029</v>
      </c>
      <c r="B4" s="5">
        <f t="shared" si="6"/>
        <v>241643.74999999994</v>
      </c>
      <c r="C4" s="5">
        <f t="shared" si="0"/>
        <v>28997.249999999993</v>
      </c>
      <c r="D4" s="5">
        <f t="shared" si="7"/>
        <v>35000</v>
      </c>
      <c r="E4" s="5">
        <f t="shared" si="8"/>
        <v>0</v>
      </c>
      <c r="F4" s="5">
        <f>IFERROR(IF($A4="","",_xlfn.XLOOKUP($A4,PersonaB!B:B,PersonaB!Q:Q,,,-1)),0)</f>
        <v>6002.7500000000073</v>
      </c>
      <c r="G4" s="5">
        <f t="shared" si="9"/>
        <v>0</v>
      </c>
      <c r="H4" s="5">
        <f t="shared" si="10"/>
        <v>0</v>
      </c>
      <c r="I4" s="5">
        <f t="shared" si="1"/>
        <v>6002.7500000000073</v>
      </c>
      <c r="J4" s="5">
        <f>IFERROR(IF($A4="", "", K3), 0)</f>
        <v>372799.50500000006</v>
      </c>
      <c r="K4" s="5">
        <f t="shared" si="2"/>
        <v>424731.07554750011</v>
      </c>
      <c r="L4" s="5">
        <f t="shared" si="3"/>
        <v>247646.49999999994</v>
      </c>
      <c r="M4" s="5">
        <f t="shared" si="4"/>
        <v>0</v>
      </c>
      <c r="N4" s="5">
        <f t="shared" ref="N4:N14" si="12">IFERROR(IF($A4="", "", G3), 0)</f>
        <v>0</v>
      </c>
      <c r="O4" s="5">
        <f t="shared" ref="O4:O14" si="13">IFERROR(IF($A4="", "", N3), 0)</f>
        <v>0</v>
      </c>
      <c r="P4" s="5">
        <f t="shared" si="11"/>
        <v>0</v>
      </c>
      <c r="Q4" s="5">
        <f t="shared" si="11"/>
        <v>0</v>
      </c>
      <c r="R4" s="5">
        <f t="shared" si="11"/>
        <v>0</v>
      </c>
      <c r="S4" s="5">
        <f t="shared" si="11"/>
        <v>0</v>
      </c>
      <c r="T4" s="5">
        <f t="shared" ref="T4:T128" si="14">IF($A4="","",MIN(MAX(0,F4),N4))</f>
        <v>0</v>
      </c>
      <c r="U4" s="5">
        <f t="shared" ref="U4:U128" si="15">IF($A4="","",MIN(MAX(0,F4-T4),O4))</f>
        <v>0</v>
      </c>
      <c r="V4" s="5">
        <f t="shared" ref="V4:V128" si="16">IF($A4="","",MIN(MAX(0,F4-T4-U4),P4))</f>
        <v>0</v>
      </c>
      <c r="W4" s="5">
        <f t="shared" ref="W4:W128" si="17">IF($A4="","",MIN(MAX(0,F4-T4-U4-V4),Q4))</f>
        <v>0</v>
      </c>
      <c r="X4" s="5">
        <f t="shared" ref="X4:X128" si="18">IF($A4="","",MIN(MAX(0,F4-T4-U4-V4-W4),R4))</f>
        <v>0</v>
      </c>
      <c r="Y4" s="5">
        <f t="shared" ref="Y4:Y128" si="19">IF($A4="","",MIN(MAX(0,F4-T4-U4-V4-W4-X4),S4))</f>
        <v>0</v>
      </c>
      <c r="Z4" s="5" cm="1">
        <f t="array" ref="Z4">IF($A4="","",IF(AND(SpousalTransfer="Yes", TransferDir="Yes"), _xlfn.XLOOKUP($A4, YearlyParamsA!$A:$A, YearlyParamsA!$Z:$Z, 0) * (IFERROR(INDEX(YearlyParamsA!$J:$J, MATCH($A4, YearlyParamsA!$A:$A, 0)-1),0)&gt;=500000), 0))</f>
        <v>0</v>
      </c>
      <c r="AA4" s="5">
        <f t="shared" ref="AA4:AA72" si="20">IF($A4="","",Z4)</f>
        <v>0</v>
      </c>
      <c r="AB4" s="5">
        <f t="shared" ref="AB4:AB44" si="21">IF($A4="","",F4+AA4)</f>
        <v>6002.7500000000073</v>
      </c>
      <c r="AC4" s="5" cm="1">
        <f t="array" ref="AC4">IF($A4="","",TaxPayable(B4))</f>
        <v>79442.562499999971</v>
      </c>
    </row>
    <row r="5" spans="1:3417" x14ac:dyDescent="0.35">
      <c r="A5" s="13">
        <f t="shared" si="5"/>
        <v>2030</v>
      </c>
      <c r="B5" s="5">
        <f t="shared" si="6"/>
        <v>247684.84374999991</v>
      </c>
      <c r="C5" s="5">
        <f t="shared" si="0"/>
        <v>29722.181249999987</v>
      </c>
      <c r="D5" s="5">
        <f t="shared" si="7"/>
        <v>35000</v>
      </c>
      <c r="E5" s="5">
        <f t="shared" si="8"/>
        <v>0</v>
      </c>
      <c r="F5" s="5">
        <f>IFERROR(IF($A5="","",_xlfn.XLOOKUP($A5,PersonaB!B:B,PersonaB!Q:Q,,,-1)),0)</f>
        <v>5277.8187500000131</v>
      </c>
      <c r="G5" s="5">
        <f t="shared" si="9"/>
        <v>0</v>
      </c>
      <c r="H5" s="5">
        <f t="shared" si="10"/>
        <v>0</v>
      </c>
      <c r="I5" s="5">
        <f t="shared" si="1"/>
        <v>5277.8187500000131</v>
      </c>
      <c r="J5" s="5">
        <f t="shared" ref="J5:J14" si="22">IFERROR(IF($A5="", "", K4), 0)</f>
        <v>424731.07554750011</v>
      </c>
      <c r="K5" s="5">
        <f t="shared" si="2"/>
        <v>479308.17516757641</v>
      </c>
      <c r="L5" s="5">
        <f t="shared" si="3"/>
        <v>252962.66249999992</v>
      </c>
      <c r="M5" s="5">
        <f t="shared" si="4"/>
        <v>444.39937499998774</v>
      </c>
      <c r="N5" s="5">
        <f t="shared" si="12"/>
        <v>0</v>
      </c>
      <c r="O5" s="5">
        <f t="shared" si="13"/>
        <v>0</v>
      </c>
      <c r="P5" s="5">
        <f t="shared" si="11"/>
        <v>0</v>
      </c>
      <c r="Q5" s="5">
        <f t="shared" si="11"/>
        <v>0</v>
      </c>
      <c r="R5" s="5">
        <f t="shared" si="11"/>
        <v>0</v>
      </c>
      <c r="S5" s="5">
        <f t="shared" si="11"/>
        <v>0</v>
      </c>
      <c r="T5" s="5">
        <f t="shared" si="14"/>
        <v>0</v>
      </c>
      <c r="U5" s="5">
        <f t="shared" si="15"/>
        <v>0</v>
      </c>
      <c r="V5" s="5">
        <f t="shared" si="16"/>
        <v>0</v>
      </c>
      <c r="W5" s="5">
        <f t="shared" si="17"/>
        <v>0</v>
      </c>
      <c r="X5" s="5">
        <f t="shared" si="18"/>
        <v>0</v>
      </c>
      <c r="Y5" s="5">
        <f t="shared" si="19"/>
        <v>0</v>
      </c>
      <c r="Z5" s="5" cm="1">
        <f t="array" ref="Z5">IF($A5="","",IF(AND(SpousalTransfer="Yes", TransferDir="Yes"), _xlfn.XLOOKUP($A5, YearlyParamsA!$A:$A, YearlyParamsA!$Z:$Z, 0) * (IFERROR(INDEX(YearlyParamsA!$J:$J, MATCH($A5, YearlyParamsA!$A:$A, 0)-1),0)&gt;=500000), 0))</f>
        <v>0</v>
      </c>
      <c r="AA5" s="5">
        <f t="shared" si="20"/>
        <v>0</v>
      </c>
      <c r="AB5" s="5">
        <f t="shared" si="21"/>
        <v>5277.8187500000131</v>
      </c>
      <c r="AC5" s="5" cm="1">
        <f t="array" ref="AC5">IF($A5="","",TaxPayable(B5))</f>
        <v>82281.876562499951</v>
      </c>
    </row>
    <row r="6" spans="1:3417" x14ac:dyDescent="0.35">
      <c r="A6" s="13">
        <f t="shared" si="5"/>
        <v>2031</v>
      </c>
      <c r="B6" s="5">
        <f t="shared" si="6"/>
        <v>253876.96484374988</v>
      </c>
      <c r="C6" s="5">
        <f t="shared" si="0"/>
        <v>30465.235781249983</v>
      </c>
      <c r="D6" s="5">
        <f t="shared" si="7"/>
        <v>37500</v>
      </c>
      <c r="E6" s="5">
        <f t="shared" si="8"/>
        <v>0</v>
      </c>
      <c r="F6" s="5">
        <f>IFERROR(IF($A6="","",_xlfn.XLOOKUP($A6,PersonaB!B:B,PersonaB!Q:Q,,,-1)),0)</f>
        <v>7034.7642187500169</v>
      </c>
      <c r="G6" s="5">
        <f t="shared" si="9"/>
        <v>0</v>
      </c>
      <c r="H6" s="5">
        <f t="shared" si="10"/>
        <v>0</v>
      </c>
      <c r="I6" s="5">
        <f t="shared" si="1"/>
        <v>7034.7642187500169</v>
      </c>
      <c r="J6" s="5">
        <f t="shared" si="22"/>
        <v>479308.17516757641</v>
      </c>
      <c r="K6" s="5">
        <f t="shared" si="2"/>
        <v>538646.79695723474</v>
      </c>
      <c r="L6" s="5">
        <f t="shared" si="3"/>
        <v>260911.72906249989</v>
      </c>
      <c r="M6" s="5">
        <f t="shared" si="4"/>
        <v>1055.2146328125025</v>
      </c>
      <c r="N6" s="5">
        <f t="shared" si="12"/>
        <v>0</v>
      </c>
      <c r="O6" s="5">
        <f t="shared" si="13"/>
        <v>0</v>
      </c>
      <c r="P6" s="5">
        <f t="shared" si="11"/>
        <v>0</v>
      </c>
      <c r="Q6" s="5">
        <f t="shared" si="11"/>
        <v>0</v>
      </c>
      <c r="R6" s="5">
        <f t="shared" si="11"/>
        <v>0</v>
      </c>
      <c r="S6" s="5">
        <f t="shared" si="11"/>
        <v>0</v>
      </c>
      <c r="T6" s="5">
        <f t="shared" si="14"/>
        <v>0</v>
      </c>
      <c r="U6" s="5">
        <f t="shared" si="15"/>
        <v>0</v>
      </c>
      <c r="V6" s="5">
        <f t="shared" si="16"/>
        <v>0</v>
      </c>
      <c r="W6" s="5">
        <f t="shared" si="17"/>
        <v>0</v>
      </c>
      <c r="X6" s="5">
        <f t="shared" si="18"/>
        <v>0</v>
      </c>
      <c r="Y6" s="5">
        <f t="shared" si="19"/>
        <v>0</v>
      </c>
      <c r="Z6" s="5" cm="1">
        <f t="array" ref="Z6">IF($A6="","",IF(AND(SpousalTransfer="Yes", TransferDir="Yes"), _xlfn.XLOOKUP($A6, YearlyParamsA!$A:$A, YearlyParamsA!$Z:$Z, 0) * (IFERROR(INDEX(YearlyParamsA!$J:$J, MATCH($A6, YearlyParamsA!$A:$A, 0)-1),0)&gt;=500000), 0))</f>
        <v>0</v>
      </c>
      <c r="AA6" s="5">
        <f t="shared" si="20"/>
        <v>0</v>
      </c>
      <c r="AB6" s="5">
        <f t="shared" si="21"/>
        <v>7034.7642187500169</v>
      </c>
      <c r="AC6" s="5" cm="1">
        <f t="array" ref="AC6">IF($A6="","",TaxPayable(B6))</f>
        <v>85192.173476562442</v>
      </c>
    </row>
    <row r="7" spans="1:3417" x14ac:dyDescent="0.35">
      <c r="A7" s="13">
        <f t="shared" si="5"/>
        <v>2032</v>
      </c>
      <c r="B7" s="5">
        <f t="shared" si="6"/>
        <v>260223.88896484362</v>
      </c>
      <c r="C7" s="5">
        <f t="shared" si="0"/>
        <v>31226.866675781232</v>
      </c>
      <c r="D7" s="5">
        <f t="shared" si="7"/>
        <v>37500</v>
      </c>
      <c r="E7" s="5">
        <f t="shared" si="8"/>
        <v>0</v>
      </c>
      <c r="F7" s="5">
        <f>IFERROR(IF($A7="","",_xlfn.XLOOKUP($A7,PersonaB!B:B,PersonaB!Q:Q,,,-1)),0)</f>
        <v>6273.1333242187684</v>
      </c>
      <c r="G7" s="5">
        <f t="shared" si="9"/>
        <v>0</v>
      </c>
      <c r="H7" s="5">
        <f t="shared" si="10"/>
        <v>0</v>
      </c>
      <c r="I7" s="5">
        <f t="shared" si="1"/>
        <v>6273.1333242187684</v>
      </c>
      <c r="J7" s="5">
        <f t="shared" si="22"/>
        <v>538646.79695723474</v>
      </c>
      <c r="K7" s="5">
        <f t="shared" si="2"/>
        <v>601630.31137755746</v>
      </c>
      <c r="L7" s="5">
        <f t="shared" si="3"/>
        <v>266497.02228906238</v>
      </c>
      <c r="M7" s="5">
        <f t="shared" si="4"/>
        <v>940.96999863281519</v>
      </c>
      <c r="N7" s="5">
        <f t="shared" si="12"/>
        <v>0</v>
      </c>
      <c r="O7" s="5">
        <f t="shared" si="13"/>
        <v>0</v>
      </c>
      <c r="P7" s="5">
        <f t="shared" si="11"/>
        <v>0</v>
      </c>
      <c r="Q7" s="5">
        <f t="shared" si="11"/>
        <v>0</v>
      </c>
      <c r="R7" s="5">
        <f t="shared" si="11"/>
        <v>0</v>
      </c>
      <c r="S7" s="5">
        <f t="shared" si="11"/>
        <v>0</v>
      </c>
      <c r="T7" s="5">
        <f t="shared" si="14"/>
        <v>0</v>
      </c>
      <c r="U7" s="5">
        <f t="shared" si="15"/>
        <v>0</v>
      </c>
      <c r="V7" s="5">
        <f t="shared" si="16"/>
        <v>0</v>
      </c>
      <c r="W7" s="5">
        <f t="shared" si="17"/>
        <v>0</v>
      </c>
      <c r="X7" s="5">
        <f t="shared" si="18"/>
        <v>0</v>
      </c>
      <c r="Y7" s="5">
        <f t="shared" si="19"/>
        <v>0</v>
      </c>
      <c r="Z7" s="5" cm="1">
        <f t="array" ref="Z7">IF($A7="","",IF(AND(SpousalTransfer="Yes", TransferDir="Yes"), _xlfn.XLOOKUP($A7, YearlyParamsA!$A:$A, YearlyParamsA!$Z:$Z, 0) * (IFERROR(INDEX(YearlyParamsA!$J:$J, MATCH($A7, YearlyParamsA!$A:$A, 0)-1),0)&gt;=500000), 0))</f>
        <v>0</v>
      </c>
      <c r="AA7" s="5">
        <f t="shared" si="20"/>
        <v>0</v>
      </c>
      <c r="AB7" s="5">
        <f t="shared" si="21"/>
        <v>6273.1333242187684</v>
      </c>
      <c r="AC7" s="5" cm="1">
        <f t="array" ref="AC7">IF($A7="","",TaxPayable(B7))</f>
        <v>88175.227813476493</v>
      </c>
    </row>
    <row r="8" spans="1:3417" x14ac:dyDescent="0.35">
      <c r="A8" s="13">
        <f t="shared" si="5"/>
        <v>2033</v>
      </c>
      <c r="B8" s="5">
        <f t="shared" si="6"/>
        <v>266729.48618896469</v>
      </c>
      <c r="C8" s="5">
        <f t="shared" si="0"/>
        <v>32007.538342675762</v>
      </c>
      <c r="D8" s="5">
        <f t="shared" si="7"/>
        <v>40000</v>
      </c>
      <c r="E8" s="5">
        <f t="shared" si="8"/>
        <v>0</v>
      </c>
      <c r="F8" s="5">
        <f>IFERROR(IF($A8="","",_xlfn.XLOOKUP($A8,PersonaB!B:B,PersonaB!Q:Q,,,-1)),0)</f>
        <v>7992.4616573242383</v>
      </c>
      <c r="G8" s="5">
        <f t="shared" si="9"/>
        <v>0</v>
      </c>
      <c r="H8" s="5">
        <f t="shared" si="10"/>
        <v>0</v>
      </c>
      <c r="I8" s="5">
        <f t="shared" si="1"/>
        <v>7992.4616573242383</v>
      </c>
      <c r="J8" s="5">
        <f t="shared" si="22"/>
        <v>601630.31137755746</v>
      </c>
      <c r="K8" s="5">
        <f t="shared" si="2"/>
        <v>670228.44565592357</v>
      </c>
      <c r="L8" s="5">
        <f t="shared" si="3"/>
        <v>274721.94784628891</v>
      </c>
      <c r="M8" s="5">
        <f t="shared" si="4"/>
        <v>1198.8692485986357</v>
      </c>
      <c r="N8" s="5">
        <f t="shared" si="12"/>
        <v>0</v>
      </c>
      <c r="O8" s="5">
        <f t="shared" si="13"/>
        <v>0</v>
      </c>
      <c r="P8" s="5">
        <f t="shared" si="11"/>
        <v>0</v>
      </c>
      <c r="Q8" s="5">
        <f t="shared" si="11"/>
        <v>0</v>
      </c>
      <c r="R8" s="5">
        <f t="shared" si="11"/>
        <v>0</v>
      </c>
      <c r="S8" s="5">
        <f t="shared" si="11"/>
        <v>0</v>
      </c>
      <c r="T8" s="5">
        <f t="shared" si="14"/>
        <v>0</v>
      </c>
      <c r="U8" s="5">
        <f t="shared" si="15"/>
        <v>0</v>
      </c>
      <c r="V8" s="5">
        <f t="shared" si="16"/>
        <v>0</v>
      </c>
      <c r="W8" s="5">
        <f t="shared" si="17"/>
        <v>0</v>
      </c>
      <c r="X8" s="5">
        <f t="shared" si="18"/>
        <v>0</v>
      </c>
      <c r="Y8" s="5">
        <f t="shared" si="19"/>
        <v>0</v>
      </c>
      <c r="Z8" s="5" cm="1">
        <f t="array" ref="Z8">IF($A8="","",IF(AND(SpousalTransfer="Yes", TransferDir="Yes"), _xlfn.XLOOKUP($A8, YearlyParamsA!$A:$A, YearlyParamsA!$Z:$Z, 0) * (IFERROR(INDEX(YearlyParamsA!$J:$J, MATCH($A8, YearlyParamsA!$A:$A, 0)-1),0)&gt;=500000), 0))</f>
        <v>0</v>
      </c>
      <c r="AA8" s="5">
        <f t="shared" si="20"/>
        <v>0</v>
      </c>
      <c r="AB8" s="5">
        <f t="shared" si="21"/>
        <v>7992.4616573242383</v>
      </c>
      <c r="AC8" s="5" cm="1">
        <f t="array" ref="AC8">IF($A8="","",TaxPayable(B8))</f>
        <v>91232.858508813399</v>
      </c>
    </row>
    <row r="9" spans="1:3417" x14ac:dyDescent="0.35">
      <c r="A9" s="13">
        <f t="shared" si="5"/>
        <v>2034</v>
      </c>
      <c r="B9" s="5">
        <f t="shared" si="6"/>
        <v>273397.72334368876</v>
      </c>
      <c r="C9" s="5">
        <f t="shared" si="0"/>
        <v>32807.72680124265</v>
      </c>
      <c r="D9" s="5">
        <f t="shared" si="7"/>
        <v>40000</v>
      </c>
      <c r="E9" s="5">
        <f t="shared" si="8"/>
        <v>0</v>
      </c>
      <c r="F9" s="5">
        <f>IFERROR(IF($A9="","",_xlfn.XLOOKUP($A9,PersonaB!B:B,PersonaB!Q:Q,,,-1)),0)</f>
        <v>7192.2731987573497</v>
      </c>
      <c r="G9" s="5">
        <f t="shared" si="9"/>
        <v>0</v>
      </c>
      <c r="H9" s="5">
        <f t="shared" si="10"/>
        <v>0</v>
      </c>
      <c r="I9" s="5">
        <f t="shared" si="1"/>
        <v>7192.2731987573497</v>
      </c>
      <c r="J9" s="5">
        <f t="shared" si="22"/>
        <v>670228.44565592357</v>
      </c>
      <c r="K9" s="5">
        <f t="shared" si="2"/>
        <v>756550.00471295859</v>
      </c>
      <c r="L9" s="5">
        <f t="shared" si="3"/>
        <v>299906.86442861921</v>
      </c>
      <c r="M9" s="5">
        <f t="shared" si="4"/>
        <v>3976.3711627395678</v>
      </c>
      <c r="N9" s="5">
        <f t="shared" si="12"/>
        <v>0</v>
      </c>
      <c r="O9" s="5">
        <f t="shared" si="13"/>
        <v>0</v>
      </c>
      <c r="P9" s="5">
        <f t="shared" si="11"/>
        <v>0</v>
      </c>
      <c r="Q9" s="5">
        <f t="shared" si="11"/>
        <v>0</v>
      </c>
      <c r="R9" s="5">
        <f t="shared" si="11"/>
        <v>0</v>
      </c>
      <c r="S9" s="5">
        <f t="shared" si="11"/>
        <v>0</v>
      </c>
      <c r="T9" s="5">
        <f t="shared" si="14"/>
        <v>0</v>
      </c>
      <c r="U9" s="5">
        <f t="shared" si="15"/>
        <v>0</v>
      </c>
      <c r="V9" s="5">
        <f t="shared" si="16"/>
        <v>0</v>
      </c>
      <c r="W9" s="5">
        <f t="shared" si="17"/>
        <v>0</v>
      </c>
      <c r="X9" s="5">
        <f t="shared" si="18"/>
        <v>0</v>
      </c>
      <c r="Y9" s="5">
        <f t="shared" si="19"/>
        <v>0</v>
      </c>
      <c r="Z9" s="5" cm="1">
        <f t="array" ref="Z9">IF($A9="","",IF(AND(SpousalTransfer="Yes", TransferDir="Yes"), _xlfn.XLOOKUP($A9, YearlyParamsA!$A:$A, YearlyParamsA!$Z:$Z, 0) * (IFERROR(INDEX(YearlyParamsA!$J:$J, MATCH($A9, YearlyParamsA!$A:$A, 0)-1),0)&gt;=500000), 0))</f>
        <v>19316.867886173102</v>
      </c>
      <c r="AA9" s="5">
        <f t="shared" si="20"/>
        <v>19316.867886173102</v>
      </c>
      <c r="AB9" s="5">
        <f t="shared" si="21"/>
        <v>26509.141084930452</v>
      </c>
      <c r="AC9" s="5" cm="1">
        <f t="array" ref="AC9">IF($A9="","",TaxPayable(B9))</f>
        <v>94366.929971533726</v>
      </c>
    </row>
    <row r="10" spans="1:3417" x14ac:dyDescent="0.35">
      <c r="A10" s="13">
        <f t="shared" si="5"/>
        <v>2035</v>
      </c>
      <c r="B10" s="5">
        <f t="shared" si="6"/>
        <v>280232.66642728093</v>
      </c>
      <c r="C10" s="5">
        <f t="shared" si="0"/>
        <v>33627.91997127371</v>
      </c>
      <c r="D10" s="5">
        <f t="shared" si="7"/>
        <v>42500</v>
      </c>
      <c r="E10" s="5">
        <f t="shared" si="8"/>
        <v>0</v>
      </c>
      <c r="F10" s="5">
        <f>IFERROR(IF($A10="","",_xlfn.XLOOKUP($A10,PersonaB!B:B,PersonaB!Q:Q,,,-1)),0)</f>
        <v>8872.08002872629</v>
      </c>
      <c r="G10" s="5">
        <f t="shared" si="9"/>
        <v>0</v>
      </c>
      <c r="H10" s="5">
        <f t="shared" si="10"/>
        <v>0</v>
      </c>
      <c r="I10" s="5">
        <f t="shared" si="1"/>
        <v>8872.08002872629</v>
      </c>
      <c r="J10" s="5">
        <f t="shared" si="22"/>
        <v>756550.00471295859</v>
      </c>
      <c r="K10" s="5">
        <f t="shared" si="2"/>
        <v>851268.77069739997</v>
      </c>
      <c r="L10" s="5">
        <f t="shared" si="3"/>
        <v>310404.53603933466</v>
      </c>
      <c r="M10" s="5">
        <f t="shared" si="4"/>
        <v>4525.7804418080577</v>
      </c>
      <c r="N10" s="5">
        <f t="shared" si="12"/>
        <v>0</v>
      </c>
      <c r="O10" s="5">
        <f t="shared" si="13"/>
        <v>0</v>
      </c>
      <c r="P10" s="5">
        <f t="shared" si="11"/>
        <v>0</v>
      </c>
      <c r="Q10" s="5">
        <f t="shared" si="11"/>
        <v>0</v>
      </c>
      <c r="R10" s="5">
        <f t="shared" si="11"/>
        <v>0</v>
      </c>
      <c r="S10" s="5">
        <f t="shared" si="11"/>
        <v>0</v>
      </c>
      <c r="T10" s="5">
        <f t="shared" si="14"/>
        <v>0</v>
      </c>
      <c r="U10" s="5">
        <f t="shared" si="15"/>
        <v>0</v>
      </c>
      <c r="V10" s="5">
        <f t="shared" si="16"/>
        <v>0</v>
      </c>
      <c r="W10" s="5">
        <f t="shared" si="17"/>
        <v>0</v>
      </c>
      <c r="X10" s="5">
        <f t="shared" si="18"/>
        <v>0</v>
      </c>
      <c r="Y10" s="5">
        <f t="shared" si="19"/>
        <v>0</v>
      </c>
      <c r="Z10" s="5" cm="1">
        <f t="array" ref="Z10">IF($A10="","",IF(AND(SpousalTransfer="Yes", TransferDir="Yes"), _xlfn.XLOOKUP($A10, YearlyParamsA!$A:$A, YearlyParamsA!$Z:$Z, 0) * (IFERROR(INDEX(YearlyParamsA!$J:$J, MATCH($A10, YearlyParamsA!$A:$A, 0)-1),0)&gt;=500000), 0))</f>
        <v>21299.789583327431</v>
      </c>
      <c r="AA10" s="5">
        <f t="shared" si="20"/>
        <v>21299.789583327431</v>
      </c>
      <c r="AB10" s="5">
        <f t="shared" si="21"/>
        <v>30171.869612053721</v>
      </c>
      <c r="AC10" s="5" cm="1">
        <f t="array" ref="AC10">IF($A10="","",TaxPayable(B10))</f>
        <v>97579.353220822042</v>
      </c>
    </row>
    <row r="11" spans="1:3417" x14ac:dyDescent="0.35">
      <c r="A11" s="13">
        <f t="shared" si="5"/>
        <v>2036</v>
      </c>
      <c r="B11" s="5">
        <f t="shared" si="6"/>
        <v>287238.4830879629</v>
      </c>
      <c r="C11" s="5">
        <f t="shared" si="0"/>
        <v>34468.617970555548</v>
      </c>
      <c r="D11" s="5">
        <f t="shared" si="7"/>
        <v>42500</v>
      </c>
      <c r="E11" s="5">
        <f t="shared" si="8"/>
        <v>0</v>
      </c>
      <c r="F11" s="5">
        <f>IFERROR(IF($A11="","",_xlfn.XLOOKUP($A11,PersonaB!B:B,PersonaB!Q:Q,,,-1)),0)</f>
        <v>8031.3820294444522</v>
      </c>
      <c r="G11" s="5">
        <f t="shared" si="9"/>
        <v>0</v>
      </c>
      <c r="H11" s="5">
        <f t="shared" si="10"/>
        <v>0</v>
      </c>
      <c r="I11" s="5">
        <f t="shared" si="1"/>
        <v>8031.3820294444522</v>
      </c>
      <c r="J11" s="5">
        <f t="shared" si="22"/>
        <v>851268.77069739997</v>
      </c>
      <c r="K11" s="5">
        <f t="shared" si="2"/>
        <v>951378.40427551616</v>
      </c>
      <c r="L11" s="5">
        <f t="shared" si="3"/>
        <v>316039.649440318</v>
      </c>
      <c r="M11" s="5">
        <f t="shared" si="4"/>
        <v>4320.17495285326</v>
      </c>
      <c r="N11" s="5">
        <f t="shared" si="12"/>
        <v>0</v>
      </c>
      <c r="O11" s="5">
        <f t="shared" si="13"/>
        <v>0</v>
      </c>
      <c r="P11" s="5">
        <f t="shared" si="11"/>
        <v>0</v>
      </c>
      <c r="Q11" s="5">
        <f t="shared" si="11"/>
        <v>0</v>
      </c>
      <c r="R11" s="5">
        <f t="shared" si="11"/>
        <v>0</v>
      </c>
      <c r="S11" s="5">
        <f t="shared" si="11"/>
        <v>0</v>
      </c>
      <c r="T11" s="5">
        <f t="shared" si="14"/>
        <v>0</v>
      </c>
      <c r="U11" s="5">
        <f t="shared" si="15"/>
        <v>0</v>
      </c>
      <c r="V11" s="5">
        <f t="shared" si="16"/>
        <v>0</v>
      </c>
      <c r="W11" s="5">
        <f t="shared" si="17"/>
        <v>0</v>
      </c>
      <c r="X11" s="5">
        <f t="shared" si="18"/>
        <v>0</v>
      </c>
      <c r="Y11" s="5">
        <f t="shared" si="19"/>
        <v>0</v>
      </c>
      <c r="Z11" s="5" cm="1">
        <f t="array" ref="Z11">IF($A11="","",IF(AND(SpousalTransfer="Yes", TransferDir="Yes"), _xlfn.XLOOKUP($A11, YearlyParamsA!$A:$A, YearlyParamsA!$Z:$Z, 0) * (IFERROR(INDEX(YearlyParamsA!$J:$J, MATCH($A11, YearlyParamsA!$A:$A, 0)-1),0)&gt;=500000), 0))</f>
        <v>20769.784322910618</v>
      </c>
      <c r="AA11" s="5">
        <f t="shared" si="20"/>
        <v>20769.784322910618</v>
      </c>
      <c r="AB11" s="5">
        <f t="shared" si="21"/>
        <v>28801.166352355071</v>
      </c>
      <c r="AC11" s="5" cm="1">
        <f t="array" ref="AC11">IF($A11="","",TaxPayable(B11))</f>
        <v>100872.08705134256</v>
      </c>
    </row>
    <row r="12" spans="1:3417" x14ac:dyDescent="0.35">
      <c r="A12" s="13">
        <f t="shared" si="5"/>
        <v>2037</v>
      </c>
      <c r="B12" s="5">
        <f t="shared" si="6"/>
        <v>294419.44516516197</v>
      </c>
      <c r="C12" s="5">
        <f t="shared" si="0"/>
        <v>35330.333419819435</v>
      </c>
      <c r="D12" s="5">
        <f t="shared" si="7"/>
        <v>45000</v>
      </c>
      <c r="E12" s="5">
        <f t="shared" si="8"/>
        <v>0</v>
      </c>
      <c r="F12" s="5">
        <f>IFERROR(IF($A12="","",_xlfn.XLOOKUP($A12,PersonaB!B:B,PersonaB!Q:Q,,,-1)),0)</f>
        <v>9669.6665801805648</v>
      </c>
      <c r="G12" s="5">
        <f t="shared" si="9"/>
        <v>0</v>
      </c>
      <c r="H12" s="5">
        <f t="shared" si="10"/>
        <v>0</v>
      </c>
      <c r="I12" s="5">
        <f t="shared" si="1"/>
        <v>9669.6665801805648</v>
      </c>
      <c r="J12" s="5">
        <f t="shared" si="22"/>
        <v>951378.40427551616</v>
      </c>
      <c r="K12" s="5">
        <f t="shared" si="2"/>
        <v>1060693.5395945706</v>
      </c>
      <c r="L12" s="5">
        <f t="shared" si="3"/>
        <v>326815.64067632594</v>
      </c>
      <c r="M12" s="5">
        <f t="shared" si="4"/>
        <v>4859.4293266745926</v>
      </c>
      <c r="N12" s="5">
        <f t="shared" si="12"/>
        <v>0</v>
      </c>
      <c r="O12" s="5">
        <f t="shared" si="13"/>
        <v>0</v>
      </c>
      <c r="P12" s="5">
        <f t="shared" si="11"/>
        <v>0</v>
      </c>
      <c r="Q12" s="5">
        <f t="shared" si="11"/>
        <v>0</v>
      </c>
      <c r="R12" s="5">
        <f t="shared" si="11"/>
        <v>0</v>
      </c>
      <c r="S12" s="5">
        <f t="shared" si="11"/>
        <v>0</v>
      </c>
      <c r="T12" s="5">
        <f t="shared" si="14"/>
        <v>0</v>
      </c>
      <c r="U12" s="5">
        <f t="shared" si="15"/>
        <v>0</v>
      </c>
      <c r="V12" s="5">
        <f t="shared" si="16"/>
        <v>0</v>
      </c>
      <c r="W12" s="5">
        <f t="shared" si="17"/>
        <v>0</v>
      </c>
      <c r="X12" s="5">
        <f t="shared" si="18"/>
        <v>0</v>
      </c>
      <c r="Y12" s="5">
        <f t="shared" si="19"/>
        <v>0</v>
      </c>
      <c r="Z12" s="5" cm="1">
        <f t="array" ref="Z12">IF($A12="","",IF(AND(SpousalTransfer="Yes", TransferDir="Yes"), _xlfn.XLOOKUP($A12, YearlyParamsA!$A:$A, YearlyParamsA!$Z:$Z, 0) * (IFERROR(INDEX(YearlyParamsA!$J:$J, MATCH($A12, YearlyParamsA!$A:$A, 0)-1),0)&gt;=500000), 0))</f>
        <v>22726.528930983386</v>
      </c>
      <c r="AA12" s="5">
        <f t="shared" si="20"/>
        <v>22726.528930983386</v>
      </c>
      <c r="AB12" s="5">
        <f t="shared" si="21"/>
        <v>32396.195511163951</v>
      </c>
      <c r="AC12" s="5" cm="1">
        <f t="array" ref="AC12">IF($A12="","",TaxPayable(B12))</f>
        <v>104247.13922762615</v>
      </c>
    </row>
    <row r="13" spans="1:3417" x14ac:dyDescent="0.35">
      <c r="A13" s="13">
        <f t="shared" si="5"/>
        <v>2038</v>
      </c>
      <c r="B13" s="5">
        <f t="shared" si="6"/>
        <v>301779.93129429099</v>
      </c>
      <c r="C13" s="5">
        <f t="shared" si="0"/>
        <v>36213.591755314919</v>
      </c>
      <c r="D13" s="5">
        <f t="shared" si="7"/>
        <v>45000</v>
      </c>
      <c r="E13" s="5">
        <f t="shared" si="8"/>
        <v>0</v>
      </c>
      <c r="F13" s="5">
        <f>IFERROR(IF($A13="","",_xlfn.XLOOKUP($A13,PersonaB!B:B,PersonaB!Q:Q,,,-1)),0)</f>
        <v>8786.4082446850807</v>
      </c>
      <c r="G13" s="5">
        <f t="shared" si="9"/>
        <v>0</v>
      </c>
      <c r="H13" s="5">
        <f t="shared" si="10"/>
        <v>0</v>
      </c>
      <c r="I13" s="5">
        <f t="shared" si="1"/>
        <v>8786.4082446850807</v>
      </c>
      <c r="J13" s="5">
        <f t="shared" si="22"/>
        <v>1060693.5395945706</v>
      </c>
      <c r="K13" s="5">
        <f t="shared" si="2"/>
        <v>1176255.6284717256</v>
      </c>
      <c r="L13" s="5">
        <f t="shared" si="3"/>
        <v>332736.03169323405</v>
      </c>
      <c r="M13" s="5">
        <f t="shared" si="4"/>
        <v>4643.4150598414581</v>
      </c>
      <c r="N13" s="5">
        <f t="shared" si="12"/>
        <v>0</v>
      </c>
      <c r="O13" s="5">
        <f t="shared" si="13"/>
        <v>0</v>
      </c>
      <c r="P13" s="5">
        <f t="shared" si="11"/>
        <v>0</v>
      </c>
      <c r="Q13" s="5">
        <f t="shared" si="11"/>
        <v>0</v>
      </c>
      <c r="R13" s="5">
        <f t="shared" si="11"/>
        <v>0</v>
      </c>
      <c r="S13" s="5">
        <f t="shared" si="11"/>
        <v>0</v>
      </c>
      <c r="T13" s="5">
        <f t="shared" si="14"/>
        <v>0</v>
      </c>
      <c r="U13" s="5">
        <f t="shared" si="15"/>
        <v>0</v>
      </c>
      <c r="V13" s="5">
        <f t="shared" si="16"/>
        <v>0</v>
      </c>
      <c r="W13" s="5">
        <f t="shared" si="17"/>
        <v>0</v>
      </c>
      <c r="X13" s="5">
        <f t="shared" si="18"/>
        <v>0</v>
      </c>
      <c r="Y13" s="5">
        <f t="shared" si="19"/>
        <v>0</v>
      </c>
      <c r="Z13" s="5" cm="1">
        <f t="array" ref="Z13">IF($A13="","",IF(AND(SpousalTransfer="Yes", TransferDir="Yes"), _xlfn.XLOOKUP($A13, YearlyParamsA!$A:$A, YearlyParamsA!$Z:$Z, 0) * (IFERROR(INDEX(YearlyParamsA!$J:$J, MATCH($A13, YearlyParamsA!$A:$A, 0)-1),0)&gt;=500000), 0))</f>
        <v>22169.692154257973</v>
      </c>
      <c r="AA13" s="5">
        <f t="shared" si="20"/>
        <v>22169.692154257973</v>
      </c>
      <c r="AB13" s="5">
        <f t="shared" si="21"/>
        <v>30956.100398943054</v>
      </c>
      <c r="AC13" s="5" cm="1">
        <f t="array" ref="AC13">IF($A13="","",TaxPayable(B13))</f>
        <v>107706.56770831675</v>
      </c>
    </row>
    <row r="14" spans="1:3417" x14ac:dyDescent="0.35">
      <c r="A14" s="13">
        <f t="shared" si="5"/>
        <v>2039</v>
      </c>
      <c r="B14" s="5">
        <f t="shared" si="6"/>
        <v>309324.42957664822</v>
      </c>
      <c r="C14" s="5">
        <f t="shared" si="0"/>
        <v>37118.931549197783</v>
      </c>
      <c r="D14" s="5">
        <f t="shared" si="7"/>
        <v>47500</v>
      </c>
      <c r="E14" s="5">
        <f t="shared" si="8"/>
        <v>0</v>
      </c>
      <c r="F14" s="5">
        <f>IFERROR(IF($A14="","",_xlfn.XLOOKUP($A14,PersonaB!B:B,PersonaB!Q:Q,,,-1)),0)</f>
        <v>10381.068450802217</v>
      </c>
      <c r="G14" s="5">
        <f t="shared" si="9"/>
        <v>0</v>
      </c>
      <c r="H14" s="5">
        <f t="shared" si="10"/>
        <v>0</v>
      </c>
      <c r="I14" s="5">
        <f t="shared" si="1"/>
        <v>10381.068450802217</v>
      </c>
      <c r="J14" s="5">
        <f t="shared" si="22"/>
        <v>1176255.6284717256</v>
      </c>
      <c r="K14" s="5">
        <f t="shared" si="2"/>
        <v>1285060.6780981731</v>
      </c>
      <c r="L14" s="5">
        <f t="shared" si="3"/>
        <v>319705.49802745046</v>
      </c>
      <c r="M14" s="5">
        <f t="shared" si="4"/>
        <v>1557.1602676203324</v>
      </c>
      <c r="N14" s="5">
        <f t="shared" si="12"/>
        <v>0</v>
      </c>
      <c r="O14" s="5">
        <f t="shared" si="13"/>
        <v>0</v>
      </c>
      <c r="P14" s="5">
        <f t="shared" si="11"/>
        <v>0</v>
      </c>
      <c r="Q14" s="5">
        <f t="shared" si="11"/>
        <v>0</v>
      </c>
      <c r="R14" s="5">
        <f t="shared" si="11"/>
        <v>0</v>
      </c>
      <c r="S14" s="5">
        <f t="shared" si="11"/>
        <v>0</v>
      </c>
      <c r="T14" s="5">
        <f t="shared" si="14"/>
        <v>0</v>
      </c>
      <c r="U14" s="5">
        <f t="shared" si="15"/>
        <v>0</v>
      </c>
      <c r="V14" s="5">
        <f t="shared" si="16"/>
        <v>0</v>
      </c>
      <c r="W14" s="5">
        <f t="shared" si="17"/>
        <v>0</v>
      </c>
      <c r="X14" s="5">
        <f t="shared" si="18"/>
        <v>0</v>
      </c>
      <c r="Y14" s="5">
        <f t="shared" si="19"/>
        <v>0</v>
      </c>
      <c r="Z14" s="5" cm="1">
        <f t="array" ref="Z14">IF($A14="","",IF(AND(SpousalTransfer="Yes", TransferDir="Yes"), _xlfn.XLOOKUP($A14, YearlyParamsA!$A:$A, YearlyParamsA!$Z:$Z, 0) * (IFERROR(INDEX(YearlyParamsA!$J:$J, MATCH($A14, YearlyParamsA!$A:$A, 0)-1),0)&gt;=500000), 0))</f>
        <v>0</v>
      </c>
      <c r="AA14" s="5">
        <f t="shared" si="20"/>
        <v>0</v>
      </c>
      <c r="AB14" s="5">
        <f t="shared" si="21"/>
        <v>10381.068450802217</v>
      </c>
      <c r="AC14" s="5" cm="1">
        <f t="array" ref="AC14">IF($A14="","",TaxPayable(B14))</f>
        <v>111252.48190102466</v>
      </c>
    </row>
    <row r="15" spans="1:3417" x14ac:dyDescent="0.35">
      <c r="A15" s="13">
        <f t="shared" si="5"/>
        <v>2040</v>
      </c>
      <c r="B15" s="5">
        <f t="shared" si="6"/>
        <v>317057.54031606438</v>
      </c>
      <c r="C15" s="5">
        <f t="shared" ref="C15:C16" si="23">IFERROR(IF($A15="", "", B15*SGRate), 0)</f>
        <v>38046.904837927723</v>
      </c>
      <c r="D15" s="5">
        <f t="shared" si="7"/>
        <v>47500</v>
      </c>
      <c r="E15" s="5">
        <f t="shared" ref="E15:E16" si="24">IFERROR(IF($A15="", "", IF(J14&gt;500000, 0, MAX(0, G14-H15))), 0)</f>
        <v>0</v>
      </c>
      <c r="F15" s="5">
        <f>IFERROR(IF($A15="","",_xlfn.XLOOKUP($A15,PersonaB!B:B,PersonaB!Q:Q,,,-1)),0)</f>
        <v>9453.0951620722772</v>
      </c>
      <c r="G15" s="5">
        <f t="shared" ref="G15:G16" si="25">IFERROR(IF($A15="", "", MAX(0, D15+E15-C15-AB15)), 0)</f>
        <v>0</v>
      </c>
      <c r="H15" s="5">
        <f t="shared" ref="H15:H16" si="26">IFERROR(IF($A15="","",IF(YEAR(StartYear)+0&lt;A15-5,N14-T14,0)+IF(YEAR(StartYear)+1&lt;A15-5,O14-U14,0)+IF(YEAR(StartYear)+2&lt;A15-5,P14-V14,0)+IF(YEAR(StartYear)+3&lt;A15-5,Q14-W14,0)+IF(YEAR(StartYear)+4&lt;A15-5,R14-X14,0)+IF(YEAR(StartYear)+5&lt;A15-5,S14-Y14,0)),0)</f>
        <v>0</v>
      </c>
      <c r="I15" s="5">
        <f t="shared" ref="I15:I16" si="27">IFERROR(IF($A15="", "", MAX(0, D15+E15-C15)), 0)</f>
        <v>9453.0951620722772</v>
      </c>
      <c r="J15" s="5">
        <f t="shared" ref="J15" si="28">IFERROR(IF($A15="", "", K14), 0)</f>
        <v>1285060.6780981731</v>
      </c>
      <c r="K15" s="5">
        <f t="shared" si="2"/>
        <v>1400478.8241707038</v>
      </c>
      <c r="L15" s="5">
        <f t="shared" ref="L15:L16" si="29">IFERROR(IF($A15="", "", B15 + AB15 + NetInvLoss), 0)</f>
        <v>326510.63547813665</v>
      </c>
      <c r="M15" s="5">
        <f t="shared" ref="M15:M16" si="30">IFERROR(IF($A15="", "", IF(L15 &gt; Div293Thresh, 0.15 * MIN(AB15, L15 - Div293Thresh), 0)), 0)</f>
        <v>1417.9642743108416</v>
      </c>
      <c r="N15" s="5">
        <f t="shared" ref="N15:N16" si="31">IFERROR(IF($A15="", "", G14), 0)</f>
        <v>0</v>
      </c>
      <c r="O15" s="5">
        <f t="shared" ref="O15:O16" si="32">IFERROR(IF($A15="", "", N14), 0)</f>
        <v>0</v>
      </c>
      <c r="P15" s="5">
        <f t="shared" ref="P15:P16" si="33">IFERROR(IF($A15="", "", O14), 0)</f>
        <v>0</v>
      </c>
      <c r="Q15" s="5">
        <f t="shared" ref="Q15:Q16" si="34">IFERROR(IF($A15="", "", P14), 0)</f>
        <v>0</v>
      </c>
      <c r="R15" s="5">
        <f t="shared" ref="R15:R16" si="35">IFERROR(IF($A15="", "", Q14), 0)</f>
        <v>0</v>
      </c>
      <c r="S15" s="5">
        <f t="shared" ref="S15:S16" si="36">IFERROR(IF($A15="", "", R14), 0)</f>
        <v>0</v>
      </c>
      <c r="T15" s="5">
        <f t="shared" si="14"/>
        <v>0</v>
      </c>
      <c r="U15" s="5">
        <f t="shared" si="15"/>
        <v>0</v>
      </c>
      <c r="V15" s="5">
        <f t="shared" si="16"/>
        <v>0</v>
      </c>
      <c r="W15" s="5">
        <f t="shared" si="17"/>
        <v>0</v>
      </c>
      <c r="X15" s="5">
        <f t="shared" si="18"/>
        <v>0</v>
      </c>
      <c r="Y15" s="5">
        <f t="shared" si="19"/>
        <v>0</v>
      </c>
      <c r="Z15" s="5" cm="1">
        <f t="array" ref="Z15">IF($A15="","",IF(AND(SpousalTransfer="Yes", TransferDir="Yes"), _xlfn.XLOOKUP($A15, YearlyParamsA!$A:$A, YearlyParamsA!$Z:$Z, 0) * (IFERROR(INDEX(YearlyParamsA!$J:$J, MATCH($A15, YearlyParamsA!$A:$A, 0)-1),0)&gt;=500000), 0))</f>
        <v>0</v>
      </c>
      <c r="AA15" s="5">
        <f t="shared" si="20"/>
        <v>0</v>
      </c>
      <c r="AB15" s="5">
        <f t="shared" si="21"/>
        <v>9453.0951620722772</v>
      </c>
      <c r="AC15" s="5" cm="1">
        <f t="array" ref="AC15">IF($A15="","",TaxPayable(B15))</f>
        <v>114887.04394855026</v>
      </c>
    </row>
    <row r="16" spans="1:3417" x14ac:dyDescent="0.35">
      <c r="A16" s="13">
        <f t="shared" si="5"/>
        <v>2041</v>
      </c>
      <c r="B16" s="5">
        <f t="shared" si="6"/>
        <v>324983.97882396594</v>
      </c>
      <c r="C16" s="5">
        <f t="shared" si="23"/>
        <v>38998.077458875909</v>
      </c>
      <c r="D16" s="5">
        <f t="shared" si="7"/>
        <v>50000</v>
      </c>
      <c r="E16" s="5">
        <f t="shared" si="24"/>
        <v>0</v>
      </c>
      <c r="F16" s="5">
        <f>IFERROR(IF($A16="","",_xlfn.XLOOKUP($A16,PersonaB!B:B,PersonaB!Q:Q,,,-1)),0)</f>
        <v>11001.922541124091</v>
      </c>
      <c r="G16" s="5">
        <f t="shared" si="25"/>
        <v>0</v>
      </c>
      <c r="H16" s="5">
        <f t="shared" si="26"/>
        <v>0</v>
      </c>
      <c r="I16" s="5">
        <f t="shared" si="27"/>
        <v>11001.922541124091</v>
      </c>
      <c r="J16" s="5">
        <f t="shared" ref="J16" si="37">IFERROR(IF($A16="", "", K15), 0)</f>
        <v>1400478.8241707038</v>
      </c>
      <c r="K16" s="5">
        <f t="shared" si="2"/>
        <v>1524657.0258276921</v>
      </c>
      <c r="L16" s="5">
        <f t="shared" si="29"/>
        <v>335985.90136509005</v>
      </c>
      <c r="M16" s="5">
        <f t="shared" si="30"/>
        <v>1650.2883811686136</v>
      </c>
      <c r="N16" s="5">
        <f t="shared" si="31"/>
        <v>0</v>
      </c>
      <c r="O16" s="5">
        <f t="shared" si="32"/>
        <v>0</v>
      </c>
      <c r="P16" s="5">
        <f t="shared" si="33"/>
        <v>0</v>
      </c>
      <c r="Q16" s="5">
        <f t="shared" si="34"/>
        <v>0</v>
      </c>
      <c r="R16" s="5">
        <f t="shared" si="35"/>
        <v>0</v>
      </c>
      <c r="S16" s="5">
        <f t="shared" si="36"/>
        <v>0</v>
      </c>
      <c r="T16" s="5">
        <f t="shared" si="14"/>
        <v>0</v>
      </c>
      <c r="U16" s="5">
        <f t="shared" si="15"/>
        <v>0</v>
      </c>
      <c r="V16" s="5">
        <f t="shared" si="16"/>
        <v>0</v>
      </c>
      <c r="W16" s="5">
        <f t="shared" si="17"/>
        <v>0</v>
      </c>
      <c r="X16" s="5">
        <f t="shared" si="18"/>
        <v>0</v>
      </c>
      <c r="Y16" s="5">
        <f t="shared" si="19"/>
        <v>0</v>
      </c>
      <c r="Z16" s="5" cm="1">
        <f t="array" ref="Z16">IF($A16="","",IF(AND(SpousalTransfer="Yes", TransferDir="Yes"), _xlfn.XLOOKUP($A16, YearlyParamsA!$A:$A, YearlyParamsA!$Z:$Z, 0) * (IFERROR(INDEX(YearlyParamsA!$J:$J, MATCH($A16, YearlyParamsA!$A:$A, 0)-1),0)&gt;=500000), 0))</f>
        <v>0</v>
      </c>
      <c r="AA16" s="5">
        <f t="shared" si="20"/>
        <v>0</v>
      </c>
      <c r="AB16" s="5">
        <f t="shared" si="21"/>
        <v>11001.922541124091</v>
      </c>
      <c r="AC16" s="5" cm="1">
        <f t="array" ref="AC16">IF($A16="","",TaxPayable(B16))</f>
        <v>118612.470047264</v>
      </c>
    </row>
    <row r="17" spans="1:28" x14ac:dyDescent="0.35">
      <c r="A17" s="13"/>
      <c r="F17" s="5" t="str">
        <f>IFERROR(IF($A17="","",_xlfn.XLOOKUP($A17,PersonaB!B:B,PersonaB!Q:Q,,,-1)),0)</f>
        <v/>
      </c>
      <c r="K17" s="5" t="str">
        <f t="shared" si="2"/>
        <v/>
      </c>
      <c r="Z17" s="5"/>
      <c r="AA17" s="5"/>
      <c r="AB17" s="5" t="str">
        <f t="shared" si="21"/>
        <v/>
      </c>
    </row>
    <row r="18" spans="1:28" x14ac:dyDescent="0.35">
      <c r="A18" s="13"/>
      <c r="F18" s="5" t="str">
        <f>IFERROR(IF($A18="","",_xlfn.XLOOKUP($A18,PersonaB!B:B,PersonaB!Q:Q,,,-1)),0)</f>
        <v/>
      </c>
      <c r="K18" s="5" t="str">
        <f t="shared" si="2"/>
        <v/>
      </c>
      <c r="Z18" s="5"/>
      <c r="AA18" s="5"/>
      <c r="AB18" s="5" t="str">
        <f t="shared" si="21"/>
        <v/>
      </c>
    </row>
    <row r="19" spans="1:28" x14ac:dyDescent="0.35">
      <c r="A19" s="13"/>
      <c r="F19" s="5" t="str">
        <f>IFERROR(IF($A19="","",_xlfn.XLOOKUP($A19,PersonaB!B:B,PersonaB!Q:Q,,,-1)),0)</f>
        <v/>
      </c>
      <c r="K19" s="5" t="str">
        <f t="shared" si="2"/>
        <v/>
      </c>
      <c r="Z19" s="5"/>
      <c r="AA19" s="5"/>
      <c r="AB19" s="5" t="str">
        <f t="shared" si="21"/>
        <v/>
      </c>
    </row>
    <row r="20" spans="1:28" x14ac:dyDescent="0.35">
      <c r="A20" s="13"/>
      <c r="F20" s="5" t="str">
        <f>IFERROR(IF($A20="","",_xlfn.XLOOKUP($A20,PersonaB!B:B,PersonaB!Q:Q,,,-1)),0)</f>
        <v/>
      </c>
      <c r="K20" s="5" t="str">
        <f t="shared" si="2"/>
        <v/>
      </c>
      <c r="Z20" s="5"/>
      <c r="AA20" s="5"/>
      <c r="AB20" s="5" t="str">
        <f t="shared" si="21"/>
        <v/>
      </c>
    </row>
    <row r="21" spans="1:28" x14ac:dyDescent="0.35">
      <c r="A21" s="13"/>
      <c r="F21" s="5" t="str">
        <f>IFERROR(IF($A21="","",_xlfn.XLOOKUP($A21,PersonaB!B:B,PersonaB!Q:Q,,,-1)),0)</f>
        <v/>
      </c>
      <c r="K21" s="5" t="str">
        <f t="shared" si="2"/>
        <v/>
      </c>
      <c r="Z21" s="5"/>
      <c r="AA21" s="5"/>
      <c r="AB21" s="5" t="str">
        <f t="shared" si="21"/>
        <v/>
      </c>
    </row>
    <row r="22" spans="1:28" x14ac:dyDescent="0.35">
      <c r="A22" s="13"/>
      <c r="F22" s="5" t="str">
        <f>IFERROR(IF($A22="","",_xlfn.XLOOKUP($A22,PersonaB!B:B,PersonaB!Q:Q,,,-1)),0)</f>
        <v/>
      </c>
      <c r="K22" s="5" t="str">
        <f t="shared" si="2"/>
        <v/>
      </c>
      <c r="Z22" s="5"/>
      <c r="AA22" s="5"/>
      <c r="AB22" s="5" t="str">
        <f t="shared" si="21"/>
        <v/>
      </c>
    </row>
    <row r="23" spans="1:28" x14ac:dyDescent="0.35">
      <c r="A23" s="13"/>
      <c r="F23" s="5" t="str">
        <f>IFERROR(IF($A23="","",_xlfn.XLOOKUP($A23,PersonaB!B:B,PersonaB!Q:Q,,,-1)),0)</f>
        <v/>
      </c>
      <c r="K23" s="5" t="str">
        <f t="shared" si="2"/>
        <v/>
      </c>
      <c r="Z23" s="5"/>
      <c r="AA23" s="5"/>
      <c r="AB23" s="5" t="str">
        <f t="shared" si="21"/>
        <v/>
      </c>
    </row>
    <row r="24" spans="1:28" x14ac:dyDescent="0.35">
      <c r="A24" s="13"/>
      <c r="F24" s="5" t="str">
        <f>IFERROR(IF($A24="","",_xlfn.XLOOKUP($A24,PersonaB!B:B,PersonaB!Q:Q,,,-1)),0)</f>
        <v/>
      </c>
      <c r="K24" s="5" t="str">
        <f t="shared" si="2"/>
        <v/>
      </c>
      <c r="Z24" s="5"/>
      <c r="AA24" s="5"/>
      <c r="AB24" s="5" t="str">
        <f t="shared" si="21"/>
        <v/>
      </c>
    </row>
    <row r="25" spans="1:28" x14ac:dyDescent="0.35">
      <c r="A25" s="13"/>
      <c r="F25" s="5" t="str">
        <f>IFERROR(IF($A25="","",_xlfn.XLOOKUP($A25,PersonaB!B:B,PersonaB!Q:Q,,,-1)),0)</f>
        <v/>
      </c>
      <c r="K25" s="5" t="str">
        <f t="shared" si="2"/>
        <v/>
      </c>
      <c r="Z25" s="5"/>
      <c r="AA25" s="5"/>
      <c r="AB25" s="5" t="str">
        <f t="shared" si="21"/>
        <v/>
      </c>
    </row>
    <row r="26" spans="1:28" x14ac:dyDescent="0.35">
      <c r="A26" s="13"/>
      <c r="F26" s="5" t="str">
        <f>IFERROR(IF($A26="","",_xlfn.XLOOKUP($A26,PersonaB!B:B,PersonaB!Q:Q,,,-1)),0)</f>
        <v/>
      </c>
      <c r="K26" s="5" t="str">
        <f t="shared" si="2"/>
        <v/>
      </c>
      <c r="Z26" s="5"/>
      <c r="AA26" s="5"/>
      <c r="AB26" s="5" t="str">
        <f t="shared" si="21"/>
        <v/>
      </c>
    </row>
    <row r="27" spans="1:28" x14ac:dyDescent="0.35">
      <c r="A27" s="13"/>
      <c r="F27" s="5" t="str">
        <f>IFERROR(IF($A27="","",_xlfn.XLOOKUP($A27,PersonaB!B:B,PersonaB!Q:Q,,,-1)),0)</f>
        <v/>
      </c>
      <c r="K27" s="5" t="str">
        <f t="shared" ref="K27:K58" si="38">IFERROR(IF($A27="", "", J27*(1+SuperReturn*(1-SuperTaxRate)) + (C27+AB27)*(1-SuperTaxRate) - M27), 0)</f>
        <v/>
      </c>
      <c r="Z27" s="5"/>
      <c r="AA27" s="5"/>
      <c r="AB27" s="5" t="str">
        <f t="shared" si="21"/>
        <v/>
      </c>
    </row>
    <row r="28" spans="1:28" x14ac:dyDescent="0.35">
      <c r="A28" s="13"/>
      <c r="F28" s="5" t="str">
        <f>IFERROR(IF($A28="","",_xlfn.XLOOKUP($A28,PersonaB!B:B,PersonaB!Q:Q,,,-1)),0)</f>
        <v/>
      </c>
      <c r="K28" s="5" t="str">
        <f t="shared" si="38"/>
        <v/>
      </c>
      <c r="Z28" s="5"/>
      <c r="AA28" s="5"/>
      <c r="AB28" s="5" t="str">
        <f t="shared" si="21"/>
        <v/>
      </c>
    </row>
    <row r="29" spans="1:28" x14ac:dyDescent="0.35">
      <c r="A29" s="13"/>
      <c r="F29" s="5" t="str">
        <f>IFERROR(IF($A29="","",_xlfn.XLOOKUP($A29,PersonaB!B:B,PersonaB!Q:Q,,,-1)),0)</f>
        <v/>
      </c>
      <c r="K29" s="5" t="str">
        <f t="shared" si="38"/>
        <v/>
      </c>
      <c r="Z29" s="5"/>
      <c r="AA29" s="5"/>
      <c r="AB29" s="5" t="str">
        <f t="shared" si="21"/>
        <v/>
      </c>
    </row>
    <row r="30" spans="1:28" x14ac:dyDescent="0.35">
      <c r="A30" s="13"/>
      <c r="F30" s="5" t="str">
        <f>IFERROR(IF($A30="","",_xlfn.XLOOKUP($A30,PersonaB!B:B,PersonaB!Q:Q,,,-1)),0)</f>
        <v/>
      </c>
      <c r="K30" s="5" t="str">
        <f t="shared" si="38"/>
        <v/>
      </c>
      <c r="Z30" s="5"/>
      <c r="AA30" s="5"/>
      <c r="AB30" s="5" t="str">
        <f t="shared" si="21"/>
        <v/>
      </c>
    </row>
    <row r="31" spans="1:28" x14ac:dyDescent="0.35">
      <c r="A31" s="13"/>
      <c r="F31" s="5" t="str">
        <f>IFERROR(IF($A31="","",_xlfn.XLOOKUP($A31,PersonaB!B:B,PersonaB!Q:Q,,,-1)),0)</f>
        <v/>
      </c>
      <c r="K31" s="5" t="str">
        <f t="shared" si="38"/>
        <v/>
      </c>
      <c r="Z31" s="5"/>
      <c r="AA31" s="5"/>
      <c r="AB31" s="5" t="str">
        <f t="shared" si="21"/>
        <v/>
      </c>
    </row>
    <row r="32" spans="1:28" x14ac:dyDescent="0.35">
      <c r="A32" s="13"/>
      <c r="F32" s="5" t="str">
        <f>IFERROR(IF($A32="","",_xlfn.XLOOKUP($A32,PersonaB!B:B,PersonaB!Q:Q,,,-1)),0)</f>
        <v/>
      </c>
      <c r="K32" s="5" t="str">
        <f t="shared" si="38"/>
        <v/>
      </c>
      <c r="Z32" s="5"/>
      <c r="AA32" s="5"/>
      <c r="AB32" s="5" t="str">
        <f t="shared" si="21"/>
        <v/>
      </c>
    </row>
    <row r="33" spans="1:28" x14ac:dyDescent="0.35">
      <c r="A33" s="13"/>
      <c r="F33" s="5" t="str">
        <f>IFERROR(IF($A33="","",_xlfn.XLOOKUP($A33,PersonaB!B:B,PersonaB!Q:Q,,,-1)),0)</f>
        <v/>
      </c>
      <c r="K33" s="5" t="str">
        <f t="shared" si="38"/>
        <v/>
      </c>
      <c r="Z33" s="5"/>
      <c r="AA33" s="5"/>
      <c r="AB33" s="5" t="str">
        <f t="shared" si="21"/>
        <v/>
      </c>
    </row>
    <row r="34" spans="1:28" x14ac:dyDescent="0.35">
      <c r="A34" s="13"/>
      <c r="F34" s="5" t="str">
        <f>IFERROR(IF($A34="","",_xlfn.XLOOKUP($A34,PersonaB!B:B,PersonaB!Q:Q,,,-1)),0)</f>
        <v/>
      </c>
      <c r="K34" s="5" t="str">
        <f t="shared" si="38"/>
        <v/>
      </c>
      <c r="Z34" s="5"/>
      <c r="AA34" s="5"/>
      <c r="AB34" s="5" t="str">
        <f t="shared" si="21"/>
        <v/>
      </c>
    </row>
    <row r="35" spans="1:28" x14ac:dyDescent="0.35">
      <c r="A35" s="13"/>
      <c r="F35" s="5" t="str">
        <f>IFERROR(IF($A35="","",_xlfn.XLOOKUP($A35,PersonaB!B:B,PersonaB!Q:Q,,,-1)),0)</f>
        <v/>
      </c>
      <c r="K35" s="5" t="str">
        <f t="shared" si="38"/>
        <v/>
      </c>
      <c r="Z35" s="5"/>
      <c r="AA35" s="5"/>
      <c r="AB35" s="5" t="str">
        <f t="shared" si="21"/>
        <v/>
      </c>
    </row>
    <row r="36" spans="1:28" x14ac:dyDescent="0.35">
      <c r="A36" s="13"/>
      <c r="F36" s="5" t="str">
        <f>IFERROR(IF($A36="","",_xlfn.XLOOKUP($A36,PersonaB!B:B,PersonaB!Q:Q,,,-1)),0)</f>
        <v/>
      </c>
      <c r="K36" s="5" t="str">
        <f t="shared" si="38"/>
        <v/>
      </c>
      <c r="Z36" s="5"/>
      <c r="AA36" s="5"/>
      <c r="AB36" s="5" t="str">
        <f t="shared" si="21"/>
        <v/>
      </c>
    </row>
    <row r="37" spans="1:28" x14ac:dyDescent="0.35">
      <c r="A37" s="13"/>
      <c r="F37" s="5" t="str">
        <f>IFERROR(IF($A37="","",_xlfn.XLOOKUP($A37,PersonaB!B:B,PersonaB!Q:Q,,,-1)),0)</f>
        <v/>
      </c>
      <c r="K37" s="5" t="str">
        <f t="shared" si="38"/>
        <v/>
      </c>
      <c r="Z37" s="5"/>
      <c r="AA37" s="5"/>
      <c r="AB37" s="5" t="str">
        <f t="shared" si="21"/>
        <v/>
      </c>
    </row>
    <row r="38" spans="1:28" x14ac:dyDescent="0.35">
      <c r="A38" s="13"/>
      <c r="F38" s="5" t="str">
        <f>IFERROR(IF($A38="","",_xlfn.XLOOKUP($A38,PersonaB!B:B,PersonaB!Q:Q,,,-1)),0)</f>
        <v/>
      </c>
      <c r="K38" s="5" t="str">
        <f t="shared" si="38"/>
        <v/>
      </c>
      <c r="Z38" s="5"/>
      <c r="AA38" s="5"/>
      <c r="AB38" s="5" t="str">
        <f t="shared" si="21"/>
        <v/>
      </c>
    </row>
    <row r="39" spans="1:28" x14ac:dyDescent="0.35">
      <c r="A39" s="13"/>
      <c r="F39" s="5" t="str">
        <f>IFERROR(IF($A39="","",_xlfn.XLOOKUP($A39,PersonaB!B:B,PersonaB!Q:Q,,,-1)),0)</f>
        <v/>
      </c>
      <c r="K39" s="5" t="str">
        <f t="shared" si="38"/>
        <v/>
      </c>
      <c r="Z39" s="5"/>
      <c r="AA39" s="5"/>
      <c r="AB39" s="5" t="str">
        <f t="shared" si="21"/>
        <v/>
      </c>
    </row>
    <row r="40" spans="1:28" x14ac:dyDescent="0.35">
      <c r="A40" s="13"/>
      <c r="F40" s="5" t="str">
        <f>IFERROR(IF($A40="","",_xlfn.XLOOKUP($A40,PersonaB!B:B,PersonaB!Q:Q,,,-1)),0)</f>
        <v/>
      </c>
      <c r="K40" s="5" t="str">
        <f t="shared" si="38"/>
        <v/>
      </c>
      <c r="Z40" s="5"/>
      <c r="AA40" s="5"/>
      <c r="AB40" s="5" t="str">
        <f t="shared" si="21"/>
        <v/>
      </c>
    </row>
    <row r="41" spans="1:28" x14ac:dyDescent="0.35">
      <c r="A41" s="13"/>
      <c r="F41" s="5" t="str">
        <f>IFERROR(IF($A41="","",_xlfn.XLOOKUP($A41,PersonaB!B:B,PersonaB!Q:Q,,,-1)),0)</f>
        <v/>
      </c>
      <c r="K41" s="5" t="str">
        <f t="shared" si="38"/>
        <v/>
      </c>
      <c r="Z41" s="5"/>
      <c r="AA41" s="5"/>
      <c r="AB41" s="5" t="str">
        <f t="shared" si="21"/>
        <v/>
      </c>
    </row>
    <row r="42" spans="1:28" x14ac:dyDescent="0.35">
      <c r="A42" s="13"/>
      <c r="F42" s="5" t="str">
        <f>IFERROR(IF($A42="","",_xlfn.XLOOKUP($A42,PersonaB!B:B,PersonaB!Q:Q,,,-1)),0)</f>
        <v/>
      </c>
      <c r="K42" s="5" t="str">
        <f t="shared" si="38"/>
        <v/>
      </c>
      <c r="Z42" s="5"/>
      <c r="AA42" s="5"/>
      <c r="AB42" s="5" t="str">
        <f t="shared" si="21"/>
        <v/>
      </c>
    </row>
    <row r="43" spans="1:28" x14ac:dyDescent="0.35">
      <c r="A43" s="13"/>
      <c r="F43" s="5" t="str">
        <f>IFERROR(IF($A43="","",_xlfn.XLOOKUP($A43,PersonaB!B:B,PersonaB!Q:Q,,,-1)),0)</f>
        <v/>
      </c>
      <c r="K43" s="5" t="str">
        <f t="shared" si="38"/>
        <v/>
      </c>
      <c r="Z43" s="5"/>
      <c r="AA43" s="5"/>
      <c r="AB43" s="5" t="str">
        <f t="shared" si="21"/>
        <v/>
      </c>
    </row>
    <row r="44" spans="1:28" x14ac:dyDescent="0.35">
      <c r="A44" s="13"/>
      <c r="F44" s="5" t="str">
        <f>IFERROR(IF($A44="","",_xlfn.XLOOKUP($A44,PersonaB!B:B,PersonaB!Q:Q,,,-1)),0)</f>
        <v/>
      </c>
      <c r="K44" s="5" t="str">
        <f t="shared" si="38"/>
        <v/>
      </c>
      <c r="Z44" s="5"/>
      <c r="AA44" s="5"/>
      <c r="AB44" s="5" t="str">
        <f t="shared" si="21"/>
        <v/>
      </c>
    </row>
    <row r="45" spans="1:28" x14ac:dyDescent="0.35">
      <c r="A45" s="13"/>
      <c r="F45" s="5" t="str">
        <f>IFERROR(IF($A45="","",_xlfn.XLOOKUP($A45,PersonaB!B:B,PersonaB!Q:Q,,,-1)),0)</f>
        <v/>
      </c>
      <c r="K45" s="5" t="str">
        <f t="shared" si="38"/>
        <v/>
      </c>
      <c r="Z45" s="5"/>
      <c r="AA45" s="5" t="str">
        <f t="shared" si="20"/>
        <v/>
      </c>
      <c r="AB45" s="5"/>
    </row>
    <row r="46" spans="1:28" x14ac:dyDescent="0.35">
      <c r="A46" s="13"/>
      <c r="F46" s="5" t="str">
        <f>IFERROR(IF($A46="","",_xlfn.XLOOKUP($A46,PersonaB!B:B,PersonaB!Q:Q,,,-1)),0)</f>
        <v/>
      </c>
      <c r="K46" s="5" t="str">
        <f t="shared" si="38"/>
        <v/>
      </c>
      <c r="Z46" s="5"/>
      <c r="AA46" s="5" t="str">
        <f t="shared" si="20"/>
        <v/>
      </c>
      <c r="AB46" s="5"/>
    </row>
    <row r="47" spans="1:28" x14ac:dyDescent="0.35">
      <c r="A47" s="13"/>
      <c r="F47" s="5" t="str">
        <f>IFERROR(IF($A47="","",_xlfn.XLOOKUP($A47,PersonaB!B:B,PersonaB!Q:Q,,,-1)),0)</f>
        <v/>
      </c>
      <c r="K47" s="5" t="str">
        <f t="shared" si="38"/>
        <v/>
      </c>
      <c r="Z47" s="5"/>
      <c r="AA47" s="5" t="str">
        <f t="shared" si="20"/>
        <v/>
      </c>
      <c r="AB47" s="5"/>
    </row>
    <row r="48" spans="1:28" x14ac:dyDescent="0.35">
      <c r="A48" s="13"/>
      <c r="F48" s="5" t="str">
        <f>IFERROR(IF($A48="","",_xlfn.XLOOKUP($A48,PersonaB!B:B,PersonaB!Q:Q,,,-1)),0)</f>
        <v/>
      </c>
      <c r="K48" s="5" t="str">
        <f t="shared" si="38"/>
        <v/>
      </c>
      <c r="Z48" s="5"/>
      <c r="AA48" s="5" t="str">
        <f t="shared" si="20"/>
        <v/>
      </c>
      <c r="AB48" s="5"/>
    </row>
    <row r="49" spans="1:28" x14ac:dyDescent="0.35">
      <c r="A49" s="13"/>
      <c r="F49" s="5" t="str">
        <f>IFERROR(IF($A49="","",_xlfn.XLOOKUP($A49,PersonaB!B:B,PersonaB!Q:Q,,,-1)),0)</f>
        <v/>
      </c>
      <c r="K49" s="5" t="str">
        <f t="shared" si="38"/>
        <v/>
      </c>
      <c r="Z49" s="5"/>
      <c r="AA49" s="5" t="str">
        <f t="shared" si="20"/>
        <v/>
      </c>
      <c r="AB49" s="5"/>
    </row>
    <row r="50" spans="1:28" x14ac:dyDescent="0.35">
      <c r="A50" s="13"/>
      <c r="F50" s="5" t="str">
        <f>IFERROR(IF($A50="","",_xlfn.XLOOKUP($A50,PersonaB!B:B,PersonaB!Q:Q,,,-1)),0)</f>
        <v/>
      </c>
      <c r="K50" s="5" t="str">
        <f t="shared" si="38"/>
        <v/>
      </c>
      <c r="Z50" s="5"/>
      <c r="AA50" s="5" t="str">
        <f t="shared" si="20"/>
        <v/>
      </c>
      <c r="AB50" s="5"/>
    </row>
    <row r="51" spans="1:28" x14ac:dyDescent="0.35">
      <c r="A51" s="13"/>
      <c r="F51" s="5" t="str">
        <f>IFERROR(IF($A51="","",_xlfn.XLOOKUP($A51,PersonaB!B:B,PersonaB!Q:Q,,,-1)),0)</f>
        <v/>
      </c>
      <c r="K51" s="5" t="str">
        <f t="shared" si="38"/>
        <v/>
      </c>
      <c r="Z51" s="5"/>
      <c r="AA51" s="5" t="str">
        <f t="shared" si="20"/>
        <v/>
      </c>
      <c r="AB51" s="5"/>
    </row>
    <row r="52" spans="1:28" x14ac:dyDescent="0.35">
      <c r="A52" s="13"/>
      <c r="F52" s="5" t="str">
        <f>IFERROR(IF($A52="","",_xlfn.XLOOKUP($A52,PersonaB!B:B,PersonaB!Q:Q,,,-1)),0)</f>
        <v/>
      </c>
      <c r="K52" s="5" t="str">
        <f t="shared" si="38"/>
        <v/>
      </c>
      <c r="Z52" s="5"/>
      <c r="AA52" s="5" t="str">
        <f t="shared" si="20"/>
        <v/>
      </c>
      <c r="AB52" s="5"/>
    </row>
    <row r="53" spans="1:28" x14ac:dyDescent="0.35">
      <c r="A53" s="13"/>
      <c r="F53" s="5" t="str">
        <f>IFERROR(IF($A53="","",_xlfn.XLOOKUP($A53,PersonaB!B:B,PersonaB!Q:Q,,,-1)),0)</f>
        <v/>
      </c>
      <c r="K53" s="5" t="str">
        <f t="shared" si="38"/>
        <v/>
      </c>
      <c r="Z53" s="5"/>
      <c r="AA53" s="5" t="str">
        <f t="shared" si="20"/>
        <v/>
      </c>
      <c r="AB53" s="5"/>
    </row>
    <row r="54" spans="1:28" x14ac:dyDescent="0.35">
      <c r="A54" s="13"/>
      <c r="F54" s="5" t="str">
        <f>IFERROR(IF($A54="","",_xlfn.XLOOKUP($A54,PersonaB!B:B,PersonaB!Q:Q,,,-1)),0)</f>
        <v/>
      </c>
      <c r="K54" s="5" t="str">
        <f t="shared" si="38"/>
        <v/>
      </c>
      <c r="Z54" s="5"/>
      <c r="AA54" s="5" t="str">
        <f t="shared" si="20"/>
        <v/>
      </c>
      <c r="AB54" s="5"/>
    </row>
    <row r="55" spans="1:28" x14ac:dyDescent="0.35">
      <c r="A55" s="13"/>
      <c r="F55" s="5" t="str">
        <f>IFERROR(IF($A55="","",_xlfn.XLOOKUP($A55,PersonaB!B:B,PersonaB!Q:Q,,,-1)),0)</f>
        <v/>
      </c>
      <c r="K55" s="5" t="str">
        <f t="shared" si="38"/>
        <v/>
      </c>
      <c r="Z55" s="5"/>
      <c r="AA55" s="5" t="str">
        <f t="shared" si="20"/>
        <v/>
      </c>
      <c r="AB55" s="5"/>
    </row>
    <row r="56" spans="1:28" x14ac:dyDescent="0.35">
      <c r="A56" s="13"/>
      <c r="F56" s="5" t="str">
        <f>IFERROR(IF($A56="","",_xlfn.XLOOKUP($A56,PersonaB!B:B,PersonaB!Q:Q,,,-1)),0)</f>
        <v/>
      </c>
      <c r="K56" s="5" t="str">
        <f t="shared" si="38"/>
        <v/>
      </c>
      <c r="Z56" s="5"/>
      <c r="AA56" s="5" t="str">
        <f t="shared" si="20"/>
        <v/>
      </c>
      <c r="AB56" s="5"/>
    </row>
    <row r="57" spans="1:28" x14ac:dyDescent="0.35">
      <c r="A57" s="13"/>
      <c r="F57" s="5" t="str">
        <f>IFERROR(IF($A57="","",_xlfn.XLOOKUP($A57,PersonaB!B:B,PersonaB!Q:Q,,,-1)),0)</f>
        <v/>
      </c>
      <c r="K57" s="5" t="str">
        <f t="shared" si="38"/>
        <v/>
      </c>
      <c r="Z57" s="5"/>
      <c r="AA57" s="5" t="str">
        <f t="shared" si="20"/>
        <v/>
      </c>
      <c r="AB57" s="5"/>
    </row>
    <row r="58" spans="1:28" x14ac:dyDescent="0.35">
      <c r="A58" s="13"/>
      <c r="F58" s="5" t="str">
        <f>IFERROR(IF($A58="","",_xlfn.XLOOKUP($A58,PersonaB!B:B,PersonaB!Q:Q,,,-1)),0)</f>
        <v/>
      </c>
      <c r="K58" s="5" t="str">
        <f t="shared" si="38"/>
        <v/>
      </c>
      <c r="Z58" s="5"/>
      <c r="AA58" s="5" t="str">
        <f t="shared" si="20"/>
        <v/>
      </c>
      <c r="AB58" s="5"/>
    </row>
    <row r="59" spans="1:28" x14ac:dyDescent="0.35">
      <c r="A59" s="13"/>
      <c r="F59" s="5" t="str">
        <f>IFERROR(IF($A59="","",_xlfn.XLOOKUP($A59,PersonaB!B:B,PersonaB!Q:Q,,,-1)),0)</f>
        <v/>
      </c>
      <c r="K59" s="5" t="str">
        <f t="shared" ref="K59:K90" si="39">IFERROR(IF($A59="", "", J59*(1+SuperReturn*(1-SuperTaxRate)) + (C59+AB59)*(1-SuperTaxRate) - M59), 0)</f>
        <v/>
      </c>
      <c r="Z59" s="5"/>
      <c r="AA59" s="5" t="str">
        <f t="shared" si="20"/>
        <v/>
      </c>
      <c r="AB59" s="5"/>
    </row>
    <row r="60" spans="1:28" x14ac:dyDescent="0.35">
      <c r="A60" s="13"/>
      <c r="F60" s="5" t="str">
        <f>IFERROR(IF($A60="","",_xlfn.XLOOKUP($A60,PersonaB!B:B,PersonaB!Q:Q,,,-1)),0)</f>
        <v/>
      </c>
      <c r="K60" s="5" t="str">
        <f t="shared" si="39"/>
        <v/>
      </c>
      <c r="Z60" s="5"/>
      <c r="AA60" s="5" t="str">
        <f t="shared" si="20"/>
        <v/>
      </c>
      <c r="AB60" s="5"/>
    </row>
    <row r="61" spans="1:28" x14ac:dyDescent="0.35">
      <c r="A61" s="13"/>
      <c r="F61" s="5" t="str">
        <f>IFERROR(IF($A61="","",_xlfn.XLOOKUP($A61,PersonaB!B:B,PersonaB!Q:Q,,,-1)),0)</f>
        <v/>
      </c>
      <c r="K61" s="5" t="str">
        <f t="shared" si="39"/>
        <v/>
      </c>
      <c r="Z61" s="5"/>
      <c r="AA61" s="5" t="str">
        <f t="shared" si="20"/>
        <v/>
      </c>
      <c r="AB61" s="5"/>
    </row>
    <row r="62" spans="1:28" x14ac:dyDescent="0.35">
      <c r="A62" s="13"/>
      <c r="F62" s="5" t="str">
        <f>IFERROR(IF($A62="","",_xlfn.XLOOKUP($A62,PersonaB!B:B,PersonaB!Q:Q,,,-1)),0)</f>
        <v/>
      </c>
      <c r="K62" s="5" t="str">
        <f t="shared" si="39"/>
        <v/>
      </c>
      <c r="Z62" s="5"/>
      <c r="AA62" s="5" t="str">
        <f t="shared" si="20"/>
        <v/>
      </c>
      <c r="AB62" s="5"/>
    </row>
    <row r="63" spans="1:28" x14ac:dyDescent="0.35">
      <c r="A63" s="13"/>
      <c r="F63" s="5" t="str">
        <f>IFERROR(IF($A63="","",_xlfn.XLOOKUP($A63,PersonaB!B:B,PersonaB!Q:Q,,,-1)),0)</f>
        <v/>
      </c>
      <c r="K63" s="5" t="str">
        <f t="shared" si="39"/>
        <v/>
      </c>
      <c r="Z63" s="5"/>
      <c r="AA63" s="5" t="str">
        <f t="shared" si="20"/>
        <v/>
      </c>
      <c r="AB63" s="5"/>
    </row>
    <row r="64" spans="1:28" x14ac:dyDescent="0.35">
      <c r="A64" s="13"/>
      <c r="F64" s="5" t="str">
        <f>IFERROR(IF($A64="","",_xlfn.XLOOKUP($A64,PersonaB!B:B,PersonaB!Q:Q,,,-1)),0)</f>
        <v/>
      </c>
      <c r="K64" s="5" t="str">
        <f t="shared" si="39"/>
        <v/>
      </c>
      <c r="Z64" s="5"/>
      <c r="AA64" s="5" t="str">
        <f t="shared" si="20"/>
        <v/>
      </c>
      <c r="AB64" s="5"/>
    </row>
    <row r="65" spans="1:28" x14ac:dyDescent="0.35">
      <c r="A65" s="13"/>
      <c r="F65" s="5" t="str">
        <f>IFERROR(IF($A65="","",_xlfn.XLOOKUP($A65,PersonaB!B:B,PersonaB!Q:Q,,,-1)),0)</f>
        <v/>
      </c>
      <c r="K65" s="5" t="str">
        <f t="shared" si="39"/>
        <v/>
      </c>
      <c r="Z65" s="5"/>
      <c r="AA65" s="5" t="str">
        <f t="shared" si="20"/>
        <v/>
      </c>
      <c r="AB65" s="5"/>
    </row>
    <row r="66" spans="1:28" x14ac:dyDescent="0.35">
      <c r="A66" s="13"/>
      <c r="F66" s="5" t="str">
        <f>IFERROR(IF($A66="","",_xlfn.XLOOKUP($A66,PersonaB!B:B,PersonaB!Q:Q,,,-1)),0)</f>
        <v/>
      </c>
      <c r="K66" s="5" t="str">
        <f t="shared" si="39"/>
        <v/>
      </c>
      <c r="Z66" s="5"/>
      <c r="AA66" s="5" t="str">
        <f t="shared" si="20"/>
        <v/>
      </c>
      <c r="AB66" s="5"/>
    </row>
    <row r="67" spans="1:28" x14ac:dyDescent="0.35">
      <c r="A67" s="13"/>
      <c r="F67" s="5" t="str">
        <f>IFERROR(IF($A67="","",_xlfn.XLOOKUP($A67,PersonaB!B:B,PersonaB!Q:Q,,,-1)),0)</f>
        <v/>
      </c>
      <c r="K67" s="5" t="str">
        <f t="shared" si="39"/>
        <v/>
      </c>
      <c r="Z67" s="5"/>
      <c r="AA67" s="5" t="str">
        <f t="shared" si="20"/>
        <v/>
      </c>
      <c r="AB67" s="5"/>
    </row>
    <row r="68" spans="1:28" x14ac:dyDescent="0.35">
      <c r="A68" s="13"/>
      <c r="F68" s="5" t="str">
        <f>IFERROR(IF($A68="","",_xlfn.XLOOKUP($A68,PersonaB!B:B,PersonaB!Q:Q,,,-1)),0)</f>
        <v/>
      </c>
      <c r="K68" s="5" t="str">
        <f t="shared" si="39"/>
        <v/>
      </c>
      <c r="Z68" s="5"/>
      <c r="AA68" s="5" t="str">
        <f t="shared" si="20"/>
        <v/>
      </c>
      <c r="AB68" s="5"/>
    </row>
    <row r="69" spans="1:28" x14ac:dyDescent="0.35">
      <c r="A69" s="13"/>
      <c r="F69" s="5" t="str">
        <f>IFERROR(IF($A69="","",_xlfn.XLOOKUP($A69,PersonaB!B:B,PersonaB!Q:Q,,,-1)),0)</f>
        <v/>
      </c>
      <c r="K69" s="5" t="str">
        <f t="shared" si="39"/>
        <v/>
      </c>
      <c r="Z69" s="5"/>
      <c r="AA69" s="5" t="str">
        <f t="shared" si="20"/>
        <v/>
      </c>
      <c r="AB69" s="5"/>
    </row>
    <row r="70" spans="1:28" x14ac:dyDescent="0.35">
      <c r="A70" s="13"/>
      <c r="F70" s="5" t="str">
        <f>IFERROR(IF($A70="","",_xlfn.XLOOKUP($A70,PersonaB!B:B,PersonaB!Q:Q,,,-1)),0)</f>
        <v/>
      </c>
      <c r="K70" s="5" t="str">
        <f t="shared" si="39"/>
        <v/>
      </c>
      <c r="Z70" s="5"/>
      <c r="AA70" s="5" t="str">
        <f t="shared" si="20"/>
        <v/>
      </c>
      <c r="AB70" s="5"/>
    </row>
    <row r="71" spans="1:28" x14ac:dyDescent="0.35">
      <c r="A71" s="13"/>
      <c r="F71" s="5" t="str">
        <f>IFERROR(IF($A71="","",_xlfn.XLOOKUP($A71,PersonaB!B:B,PersonaB!Q:Q,,,-1)),0)</f>
        <v/>
      </c>
      <c r="K71" s="5" t="str">
        <f t="shared" si="39"/>
        <v/>
      </c>
      <c r="Z71" s="5"/>
      <c r="AA71" s="5" t="str">
        <f t="shared" si="20"/>
        <v/>
      </c>
      <c r="AB71" s="5"/>
    </row>
    <row r="72" spans="1:28" x14ac:dyDescent="0.35">
      <c r="A72" s="13"/>
      <c r="F72" s="5" t="str">
        <f>IFERROR(IF($A72="","",_xlfn.XLOOKUP($A72,PersonaB!B:B,PersonaB!Q:Q,,,-1)),0)</f>
        <v/>
      </c>
      <c r="K72" s="5" t="str">
        <f t="shared" si="39"/>
        <v/>
      </c>
      <c r="Z72" s="5"/>
      <c r="AA72" s="5" t="str">
        <f t="shared" si="20"/>
        <v/>
      </c>
      <c r="AB72" s="5"/>
    </row>
    <row r="73" spans="1:28" x14ac:dyDescent="0.35">
      <c r="A73" s="13"/>
      <c r="F73" s="5" t="str">
        <f>IFERROR(IF($A73="","",_xlfn.XLOOKUP($A73,PersonaB!B:B,PersonaB!Q:Q,,,-1)),0)</f>
        <v/>
      </c>
      <c r="K73" s="5" t="str">
        <f t="shared" si="39"/>
        <v/>
      </c>
      <c r="Z73" s="5" t="str" cm="1">
        <f t="array" ref="Z73">IF($A73="","",IF(AND(SpousalTransfer="Yes", TransferDir="Yes"), _xlfn.XLOOKUP($A73, YearlyParamsA!$A:$A, YearlyParamsA!$Z:$Z, 0) * (IFERROR(INDEX(YearlyParamsA!$J:$J, MATCH($A73, YearlyParamsA!$A:$A, 0)-1),0)&gt;=500000), 0))</f>
        <v/>
      </c>
      <c r="AA73" s="5"/>
      <c r="AB73" s="5"/>
    </row>
    <row r="74" spans="1:28" x14ac:dyDescent="0.35">
      <c r="A74" s="13"/>
      <c r="F74" s="5" t="str">
        <f>IFERROR(IF($A74="","",_xlfn.XLOOKUP($A74,PersonaB!B:B,PersonaB!Q:Q,,,-1)),0)</f>
        <v/>
      </c>
      <c r="K74" s="5" t="str">
        <f t="shared" si="39"/>
        <v/>
      </c>
      <c r="Z74" s="5" t="str" cm="1">
        <f t="array" ref="Z74">IF($A74="","",IF(AND(SpousalTransfer="Yes", TransferDir="Yes"), _xlfn.XLOOKUP($A74, YearlyParamsA!$A:$A, YearlyParamsA!$Z:$Z, 0) * (IFERROR(INDEX(YearlyParamsA!$J:$J, MATCH($A74, YearlyParamsA!$A:$A, 0)-1),0)&gt;=500000), 0))</f>
        <v/>
      </c>
      <c r="AA74" s="5"/>
      <c r="AB74" s="5"/>
    </row>
    <row r="75" spans="1:28" x14ac:dyDescent="0.35">
      <c r="A75" s="13"/>
      <c r="F75" s="5" t="str">
        <f>IFERROR(IF($A75="","",_xlfn.XLOOKUP($A75,PersonaB!B:B,PersonaB!Q:Q,,,-1)),0)</f>
        <v/>
      </c>
      <c r="K75" s="5" t="str">
        <f t="shared" si="39"/>
        <v/>
      </c>
      <c r="Z75" s="5" t="str" cm="1">
        <f t="array" ref="Z75">IF($A75="","",IF(AND(SpousalTransfer="Yes", TransferDir="Yes"), _xlfn.XLOOKUP($A75, YearlyParamsA!$A:$A, YearlyParamsA!$Z:$Z, 0) * (IFERROR(INDEX(YearlyParamsA!$J:$J, MATCH($A75, YearlyParamsA!$A:$A, 0)-1),0)&gt;=500000), 0))</f>
        <v/>
      </c>
      <c r="AA75" s="5"/>
      <c r="AB75" s="5"/>
    </row>
    <row r="76" spans="1:28" x14ac:dyDescent="0.35">
      <c r="A76" s="13"/>
      <c r="F76" s="5" t="str">
        <f>IFERROR(IF($A76="","",_xlfn.XLOOKUP($A76,PersonaB!B:B,PersonaB!Q:Q,,,-1)),0)</f>
        <v/>
      </c>
      <c r="K76" s="5" t="str">
        <f t="shared" si="39"/>
        <v/>
      </c>
      <c r="Z76" s="5" t="str" cm="1">
        <f t="array" ref="Z76">IF($A76="","",IF(AND(SpousalTransfer="Yes", TransferDir="Yes"), _xlfn.XLOOKUP($A76, YearlyParamsA!$A:$A, YearlyParamsA!$Z:$Z, 0) * (IFERROR(INDEX(YearlyParamsA!$J:$J, MATCH($A76, YearlyParamsA!$A:$A, 0)-1),0)&gt;=500000), 0))</f>
        <v/>
      </c>
      <c r="AA76" s="5"/>
      <c r="AB76" s="5"/>
    </row>
    <row r="77" spans="1:28" x14ac:dyDescent="0.35">
      <c r="A77" s="13"/>
      <c r="F77" s="5" t="str">
        <f>IFERROR(IF($A77="","",_xlfn.XLOOKUP($A77,PersonaB!B:B,PersonaB!Q:Q,,,-1)),0)</f>
        <v/>
      </c>
      <c r="K77" s="5" t="str">
        <f t="shared" si="39"/>
        <v/>
      </c>
      <c r="Z77" s="5" t="str" cm="1">
        <f t="array" ref="Z77">IF($A77="","",IF(AND(SpousalTransfer="Yes", TransferDir="Yes"), _xlfn.XLOOKUP($A77, YearlyParamsA!$A:$A, YearlyParamsA!$Z:$Z, 0) * (IFERROR(INDEX(YearlyParamsA!$J:$J, MATCH($A77, YearlyParamsA!$A:$A, 0)-1),0)&gt;=500000), 0))</f>
        <v/>
      </c>
      <c r="AA77" s="5"/>
      <c r="AB77" s="5"/>
    </row>
    <row r="78" spans="1:28" x14ac:dyDescent="0.35">
      <c r="A78" s="13"/>
      <c r="F78" s="5" t="str">
        <f>IFERROR(IF($A78="","",_xlfn.XLOOKUP($A78,PersonaB!B:B,PersonaB!Q:Q,,,-1)),0)</f>
        <v/>
      </c>
      <c r="K78" s="5" t="str">
        <f t="shared" si="39"/>
        <v/>
      </c>
      <c r="Z78" s="5" t="str" cm="1">
        <f t="array" ref="Z78">IF($A78="","",IF(AND(SpousalTransfer="Yes", TransferDir="Yes"), _xlfn.XLOOKUP($A78, YearlyParamsA!$A:$A, YearlyParamsA!$Z:$Z, 0) * (IFERROR(INDEX(YearlyParamsA!$J:$J, MATCH($A78, YearlyParamsA!$A:$A, 0)-1),0)&gt;=500000), 0))</f>
        <v/>
      </c>
      <c r="AA78" s="5"/>
      <c r="AB78" s="5"/>
    </row>
    <row r="79" spans="1:28" x14ac:dyDescent="0.35">
      <c r="A79" s="13"/>
      <c r="F79" s="5" t="str">
        <f>IFERROR(IF($A79="","",_xlfn.XLOOKUP($A79,PersonaB!B:B,PersonaB!Q:Q,,,-1)),0)</f>
        <v/>
      </c>
      <c r="K79" s="5" t="str">
        <f t="shared" si="39"/>
        <v/>
      </c>
      <c r="Z79" s="5" t="str" cm="1">
        <f t="array" ref="Z79">IF($A79="","",IF(AND(SpousalTransfer="Yes", TransferDir="Yes"), _xlfn.XLOOKUP($A79, YearlyParamsA!$A:$A, YearlyParamsA!$Z:$Z, 0) * (IFERROR(INDEX(YearlyParamsA!$J:$J, MATCH($A79, YearlyParamsA!$A:$A, 0)-1),0)&gt;=500000), 0))</f>
        <v/>
      </c>
      <c r="AA79" s="5"/>
      <c r="AB79" s="5"/>
    </row>
    <row r="80" spans="1:28" x14ac:dyDescent="0.35">
      <c r="A80" s="13"/>
      <c r="F80" s="5" t="str">
        <f>IFERROR(IF($A80="","",_xlfn.XLOOKUP($A80,PersonaB!B:B,PersonaB!Q:Q,,,-1)),0)</f>
        <v/>
      </c>
      <c r="K80" s="5" t="str">
        <f t="shared" si="39"/>
        <v/>
      </c>
      <c r="Z80" s="5" t="str" cm="1">
        <f t="array" ref="Z80">IF($A80="","",IF(AND(SpousalTransfer="Yes", TransferDir="Yes"), _xlfn.XLOOKUP($A80, YearlyParamsA!$A:$A, YearlyParamsA!$Z:$Z, 0) * (IFERROR(INDEX(YearlyParamsA!$J:$J, MATCH($A80, YearlyParamsA!$A:$A, 0)-1),0)&gt;=500000), 0))</f>
        <v/>
      </c>
      <c r="AA80" s="5"/>
      <c r="AB80" s="5"/>
    </row>
    <row r="81" spans="1:28" x14ac:dyDescent="0.35">
      <c r="A81" s="13"/>
      <c r="F81" s="5" t="str">
        <f>IFERROR(IF($A81="","",_xlfn.XLOOKUP($A81,PersonaB!B:B,PersonaB!Q:Q,,,-1)),0)</f>
        <v/>
      </c>
      <c r="K81" s="5" t="str">
        <f t="shared" si="39"/>
        <v/>
      </c>
      <c r="Z81" s="5" t="str" cm="1">
        <f t="array" ref="Z81">IF($A81="","",IF(AND(SpousalTransfer="Yes", TransferDir="Yes"), _xlfn.XLOOKUP($A81, YearlyParamsA!$A:$A, YearlyParamsA!$Z:$Z, 0) * (IFERROR(INDEX(YearlyParamsA!$J:$J, MATCH($A81, YearlyParamsA!$A:$A, 0)-1),0)&gt;=500000), 0))</f>
        <v/>
      </c>
      <c r="AA81" s="5"/>
      <c r="AB81" s="5"/>
    </row>
    <row r="82" spans="1:28" x14ac:dyDescent="0.35">
      <c r="A82" s="13"/>
      <c r="F82" s="5" t="str">
        <f>IFERROR(IF($A82="","",_xlfn.XLOOKUP($A82,PersonaB!B:B,PersonaB!Q:Q,,,-1)),0)</f>
        <v/>
      </c>
      <c r="K82" s="5" t="str">
        <f t="shared" si="39"/>
        <v/>
      </c>
      <c r="Z82" s="5" t="str" cm="1">
        <f t="array" ref="Z82">IF($A82="","",IF(AND(SpousalTransfer="Yes", TransferDir="Yes"), _xlfn.XLOOKUP($A82, YearlyParamsA!$A:$A, YearlyParamsA!$Z:$Z, 0) * (IFERROR(INDEX(YearlyParamsA!$J:$J, MATCH($A82, YearlyParamsA!$A:$A, 0)-1),0)&gt;=500000), 0))</f>
        <v/>
      </c>
      <c r="AA82" s="5"/>
      <c r="AB82" s="5"/>
    </row>
    <row r="83" spans="1:28" x14ac:dyDescent="0.35">
      <c r="A83" s="13"/>
      <c r="F83" s="5" t="str">
        <f>IFERROR(IF($A83="","",_xlfn.XLOOKUP($A83,PersonaB!B:B,PersonaB!Q:Q,,,-1)),0)</f>
        <v/>
      </c>
      <c r="K83" s="5" t="str">
        <f t="shared" si="39"/>
        <v/>
      </c>
      <c r="Z83" s="5" t="str" cm="1">
        <f t="array" ref="Z83">IF($A83="","",IF(AND(SpousalTransfer="Yes", TransferDir="Yes"), _xlfn.XLOOKUP($A83, YearlyParamsA!$A:$A, YearlyParamsA!$Z:$Z, 0) * (IFERROR(INDEX(YearlyParamsA!$J:$J, MATCH($A83, YearlyParamsA!$A:$A, 0)-1),0)&gt;=500000), 0))</f>
        <v/>
      </c>
      <c r="AA83" s="5"/>
      <c r="AB83" s="5"/>
    </row>
    <row r="84" spans="1:28" x14ac:dyDescent="0.35">
      <c r="A84" s="13"/>
      <c r="F84" s="5" t="str">
        <f>IFERROR(IF($A84="","",_xlfn.XLOOKUP($A84,PersonaB!B:B,PersonaB!Q:Q,,,-1)),0)</f>
        <v/>
      </c>
      <c r="K84" s="5" t="str">
        <f t="shared" si="39"/>
        <v/>
      </c>
      <c r="Z84" s="5" t="str" cm="1">
        <f t="array" ref="Z84">IF($A84="","",IF(AND(SpousalTransfer="Yes", TransferDir="Yes"), _xlfn.XLOOKUP($A84, YearlyParamsA!$A:$A, YearlyParamsA!$Z:$Z, 0) * (IFERROR(INDEX(YearlyParamsA!$J:$J, MATCH($A84, YearlyParamsA!$A:$A, 0)-1),0)&gt;=500000), 0))</f>
        <v/>
      </c>
      <c r="AA84" s="5"/>
      <c r="AB84" s="5"/>
    </row>
    <row r="85" spans="1:28" x14ac:dyDescent="0.35">
      <c r="A85" s="13"/>
      <c r="F85" s="5" t="str">
        <f>IFERROR(IF($A85="","",_xlfn.XLOOKUP($A85,PersonaB!B:B,PersonaB!Q:Q,,,-1)),0)</f>
        <v/>
      </c>
      <c r="K85" s="5" t="str">
        <f t="shared" si="39"/>
        <v/>
      </c>
      <c r="Z85" s="5" t="str" cm="1">
        <f t="array" ref="Z85">IF($A85="","",IF(AND(SpousalTransfer="Yes", TransferDir="Yes"), _xlfn.XLOOKUP($A85, YearlyParamsA!$A:$A, YearlyParamsA!$Z:$Z, 0) * (IFERROR(INDEX(YearlyParamsA!$J:$J, MATCH($A85, YearlyParamsA!$A:$A, 0)-1),0)&gt;=500000), 0))</f>
        <v/>
      </c>
      <c r="AA85" s="5"/>
      <c r="AB85" s="5"/>
    </row>
    <row r="86" spans="1:28" x14ac:dyDescent="0.35">
      <c r="A86" s="13"/>
      <c r="F86" s="5" t="str">
        <f>IFERROR(IF($A86="","",_xlfn.XLOOKUP($A86,PersonaB!B:B,PersonaB!Q:Q,,,-1)),0)</f>
        <v/>
      </c>
      <c r="K86" s="5" t="str">
        <f t="shared" si="39"/>
        <v/>
      </c>
      <c r="Z86" s="5" t="str" cm="1">
        <f t="array" ref="Z86">IF($A86="","",IF(AND(SpousalTransfer="Yes", TransferDir="Yes"), _xlfn.XLOOKUP($A86, YearlyParamsA!$A:$A, YearlyParamsA!$Z:$Z, 0) * (IFERROR(INDEX(YearlyParamsA!$J:$J, MATCH($A86, YearlyParamsA!$A:$A, 0)-1),0)&gt;=500000), 0))</f>
        <v/>
      </c>
      <c r="AA86" s="5"/>
      <c r="AB86" s="5"/>
    </row>
    <row r="87" spans="1:28" x14ac:dyDescent="0.35">
      <c r="A87" s="13"/>
      <c r="F87" s="5" t="str">
        <f>IFERROR(IF($A87="","",_xlfn.XLOOKUP($A87,PersonaB!B:B,PersonaB!Q:Q,,,-1)),0)</f>
        <v/>
      </c>
      <c r="K87" s="5" t="str">
        <f t="shared" si="39"/>
        <v/>
      </c>
      <c r="Z87" s="5" t="str" cm="1">
        <f t="array" ref="Z87">IF($A87="","",IF(AND(SpousalTransfer="Yes", TransferDir="Yes"), _xlfn.XLOOKUP($A87, YearlyParamsA!$A:$A, YearlyParamsA!$Z:$Z, 0) * (IFERROR(INDEX(YearlyParamsA!$J:$J, MATCH($A87, YearlyParamsA!$A:$A, 0)-1),0)&gt;=500000), 0))</f>
        <v/>
      </c>
      <c r="AA87" s="5"/>
      <c r="AB87" s="5"/>
    </row>
    <row r="88" spans="1:28" x14ac:dyDescent="0.35">
      <c r="A88" s="13"/>
      <c r="F88" s="5" t="str">
        <f>IFERROR(IF($A88="","",_xlfn.XLOOKUP($A88,PersonaB!B:B,PersonaB!Q:Q,,,-1)),0)</f>
        <v/>
      </c>
      <c r="K88" s="5" t="str">
        <f t="shared" si="39"/>
        <v/>
      </c>
      <c r="Z88" s="5" t="str" cm="1">
        <f t="array" ref="Z88">IF($A88="","",IF(AND(SpousalTransfer="Yes", TransferDir="Yes"), _xlfn.XLOOKUP($A88, YearlyParamsA!$A:$A, YearlyParamsA!$Z:$Z, 0) * (IFERROR(INDEX(YearlyParamsA!$J:$J, MATCH($A88, YearlyParamsA!$A:$A, 0)-1),0)&gt;=500000), 0))</f>
        <v/>
      </c>
      <c r="AA88" s="5"/>
      <c r="AB88" s="5"/>
    </row>
    <row r="89" spans="1:28" x14ac:dyDescent="0.35">
      <c r="A89" s="13"/>
      <c r="F89" s="5" t="str">
        <f>IFERROR(IF($A89="","",_xlfn.XLOOKUP($A89,PersonaB!B:B,PersonaB!Q:Q,,,-1)),0)</f>
        <v/>
      </c>
      <c r="K89" s="5" t="str">
        <f t="shared" si="39"/>
        <v/>
      </c>
      <c r="Z89" s="5" t="str" cm="1">
        <f t="array" ref="Z89">IF($A89="","",IF(AND(SpousalTransfer="Yes", TransferDir="Yes"), _xlfn.XLOOKUP($A89, YearlyParamsA!$A:$A, YearlyParamsA!$Z:$Z, 0) * (IFERROR(INDEX(YearlyParamsA!$J:$J, MATCH($A89, YearlyParamsA!$A:$A, 0)-1),0)&gt;=500000), 0))</f>
        <v/>
      </c>
      <c r="AA89" s="5"/>
      <c r="AB89" s="5"/>
    </row>
    <row r="90" spans="1:28" x14ac:dyDescent="0.35">
      <c r="A90" s="13"/>
      <c r="F90" s="5" t="str">
        <f>IFERROR(IF($A90="","",_xlfn.XLOOKUP($A90,PersonaB!B:B,PersonaB!Q:Q,,,-1)),0)</f>
        <v/>
      </c>
      <c r="K90" s="5" t="str">
        <f t="shared" si="39"/>
        <v/>
      </c>
      <c r="Z90" s="5" t="str" cm="1">
        <f t="array" ref="Z90">IF($A90="","",IF(AND(SpousalTransfer="Yes", TransferDir="Yes"), _xlfn.XLOOKUP($A90, YearlyParamsA!$A:$A, YearlyParamsA!$Z:$Z, 0) * (IFERROR(INDEX(YearlyParamsA!$J:$J, MATCH($A90, YearlyParamsA!$A:$A, 0)-1),0)&gt;=500000), 0))</f>
        <v/>
      </c>
      <c r="AA90" s="5"/>
      <c r="AB90" s="5"/>
    </row>
    <row r="91" spans="1:28" x14ac:dyDescent="0.35">
      <c r="A91" s="13"/>
      <c r="F91" s="5" t="str">
        <f>IFERROR(IF($A91="","",_xlfn.XLOOKUP($A91,PersonaB!B:B,PersonaB!Q:Q,,,-1)),0)</f>
        <v/>
      </c>
      <c r="K91" s="5" t="str">
        <f t="shared" ref="K91:K122" si="40">IFERROR(IF($A91="", "", J91*(1+SuperReturn*(1-SuperTaxRate)) + (C91+AB91)*(1-SuperTaxRate) - M91), 0)</f>
        <v/>
      </c>
      <c r="Z91" s="5" t="str" cm="1">
        <f t="array" ref="Z91">IF($A91="","",IF(AND(SpousalTransfer="Yes", TransferDir="Yes"), _xlfn.XLOOKUP($A91, YearlyParamsA!$A:$A, YearlyParamsA!$Z:$Z, 0) * (IFERROR(INDEX(YearlyParamsA!$J:$J, MATCH($A91, YearlyParamsA!$A:$A, 0)-1),0)&gt;=500000), 0))</f>
        <v/>
      </c>
      <c r="AA91" s="5"/>
      <c r="AB91" s="5"/>
    </row>
    <row r="92" spans="1:28" x14ac:dyDescent="0.35">
      <c r="A92" s="13"/>
      <c r="F92" s="5" t="str">
        <f>IFERROR(IF($A92="","",_xlfn.XLOOKUP($A92,PersonaB!B:B,PersonaB!Q:Q,,,-1)),0)</f>
        <v/>
      </c>
      <c r="K92" s="5" t="str">
        <f t="shared" si="40"/>
        <v/>
      </c>
      <c r="Z92" s="5" t="str" cm="1">
        <f t="array" ref="Z92">IF($A92="","",IF(AND(SpousalTransfer="Yes", TransferDir="Yes"), _xlfn.XLOOKUP($A92, YearlyParamsA!$A:$A, YearlyParamsA!$Z:$Z, 0) * (IFERROR(INDEX(YearlyParamsA!$J:$J, MATCH($A92, YearlyParamsA!$A:$A, 0)-1),0)&gt;=500000), 0))</f>
        <v/>
      </c>
      <c r="AA92" s="5"/>
      <c r="AB92" s="5"/>
    </row>
    <row r="93" spans="1:28" x14ac:dyDescent="0.35">
      <c r="A93" s="13"/>
      <c r="F93" s="5" t="str">
        <f>IFERROR(IF($A93="","",_xlfn.XLOOKUP($A93,PersonaB!B:B,PersonaB!Q:Q,,,-1)),0)</f>
        <v/>
      </c>
      <c r="K93" s="5" t="str">
        <f t="shared" si="40"/>
        <v/>
      </c>
      <c r="Z93" s="5" t="str" cm="1">
        <f t="array" ref="Z93">IF($A93="","",IF(AND(SpousalTransfer="Yes", TransferDir="Yes"), _xlfn.XLOOKUP($A93, YearlyParamsA!$A:$A, YearlyParamsA!$Z:$Z, 0) * (IFERROR(INDEX(YearlyParamsA!$J:$J, MATCH($A93, YearlyParamsA!$A:$A, 0)-1),0)&gt;=500000), 0))</f>
        <v/>
      </c>
      <c r="AA93" s="5"/>
      <c r="AB93" s="5"/>
    </row>
    <row r="94" spans="1:28" x14ac:dyDescent="0.35">
      <c r="A94" s="13"/>
      <c r="F94" s="5" t="str">
        <f>IFERROR(IF($A94="","",_xlfn.XLOOKUP($A94,PersonaB!B:B,PersonaB!Q:Q,,,-1)),0)</f>
        <v/>
      </c>
      <c r="K94" s="5" t="str">
        <f t="shared" si="40"/>
        <v/>
      </c>
      <c r="Z94" s="5" t="str" cm="1">
        <f t="array" ref="Z94">IF($A94="","",IF(AND(SpousalTransfer="Yes", TransferDir="Yes"), _xlfn.XLOOKUP($A94, YearlyParamsA!$A:$A, YearlyParamsA!$Z:$Z, 0) * (IFERROR(INDEX(YearlyParamsA!$J:$J, MATCH($A94, YearlyParamsA!$A:$A, 0)-1),0)&gt;=500000), 0))</f>
        <v/>
      </c>
      <c r="AA94" s="5"/>
      <c r="AB94" s="5"/>
    </row>
    <row r="95" spans="1:28" x14ac:dyDescent="0.35">
      <c r="A95" s="13"/>
      <c r="F95" s="5" t="str">
        <f>IFERROR(IF($A95="","",_xlfn.XLOOKUP($A95,PersonaB!B:B,PersonaB!Q:Q,,,-1)),0)</f>
        <v/>
      </c>
      <c r="K95" s="5" t="str">
        <f t="shared" si="40"/>
        <v/>
      </c>
      <c r="Z95" s="5" t="str" cm="1">
        <f t="array" ref="Z95">IF($A95="","",IF(AND(SpousalTransfer="Yes", TransferDir="Yes"), _xlfn.XLOOKUP($A95, YearlyParamsA!$A:$A, YearlyParamsA!$Z:$Z, 0) * (IFERROR(INDEX(YearlyParamsA!$J:$J, MATCH($A95, YearlyParamsA!$A:$A, 0)-1),0)&gt;=500000), 0))</f>
        <v/>
      </c>
      <c r="AA95" s="5"/>
      <c r="AB95" s="5"/>
    </row>
    <row r="96" spans="1:28" x14ac:dyDescent="0.35">
      <c r="A96" s="13"/>
      <c r="F96" s="5" t="str">
        <f>IFERROR(IF($A96="","",_xlfn.XLOOKUP($A96,PersonaB!B:B,PersonaB!Q:Q,,,-1)),0)</f>
        <v/>
      </c>
      <c r="K96" s="5" t="str">
        <f t="shared" si="40"/>
        <v/>
      </c>
      <c r="Z96" s="5" t="str" cm="1">
        <f t="array" ref="Z96">IF($A96="","",IF(AND(SpousalTransfer="Yes", TransferDir="Yes"), _xlfn.XLOOKUP($A96, YearlyParamsA!$A:$A, YearlyParamsA!$Z:$Z, 0) * (IFERROR(INDEX(YearlyParamsA!$J:$J, MATCH($A96, YearlyParamsA!$A:$A, 0)-1),0)&gt;=500000), 0))</f>
        <v/>
      </c>
      <c r="AA96" s="5"/>
      <c r="AB96" s="5"/>
    </row>
    <row r="97" spans="1:28" x14ac:dyDescent="0.35">
      <c r="A97" s="13"/>
      <c r="F97" s="5" t="str">
        <f>IFERROR(IF($A97="","",_xlfn.XLOOKUP($A97,PersonaB!B:B,PersonaB!Q:Q,,,-1)),0)</f>
        <v/>
      </c>
      <c r="K97" s="5" t="str">
        <f t="shared" si="40"/>
        <v/>
      </c>
      <c r="Z97" s="5" t="str" cm="1">
        <f t="array" ref="Z97">IF($A97="","",IF(AND(SpousalTransfer="Yes", TransferDir="Yes"), _xlfn.XLOOKUP($A97, YearlyParamsA!$A:$A, YearlyParamsA!$Z:$Z, 0) * (IFERROR(INDEX(YearlyParamsA!$J:$J, MATCH($A97, YearlyParamsA!$A:$A, 0)-1),0)&gt;=500000), 0))</f>
        <v/>
      </c>
      <c r="AA97" s="5"/>
      <c r="AB97" s="5"/>
    </row>
    <row r="98" spans="1:28" x14ac:dyDescent="0.35">
      <c r="A98" s="13"/>
      <c r="F98" s="5" t="str">
        <f>IFERROR(IF($A98="","",_xlfn.XLOOKUP($A98,PersonaB!B:B,PersonaB!Q:Q,,,-1)),0)</f>
        <v/>
      </c>
      <c r="K98" s="5" t="str">
        <f t="shared" si="40"/>
        <v/>
      </c>
      <c r="Z98" s="5" t="str" cm="1">
        <f t="array" ref="Z98">IF($A98="","",IF(AND(SpousalTransfer="Yes", TransferDir="Yes"), _xlfn.XLOOKUP($A98, YearlyParamsA!$A:$A, YearlyParamsA!$Z:$Z, 0) * (IFERROR(INDEX(YearlyParamsA!$J:$J, MATCH($A98, YearlyParamsA!$A:$A, 0)-1),0)&gt;=500000), 0))</f>
        <v/>
      </c>
      <c r="AA98" s="5"/>
      <c r="AB98" s="5"/>
    </row>
    <row r="99" spans="1:28" x14ac:dyDescent="0.35">
      <c r="A99" s="13"/>
      <c r="F99" s="5" t="str">
        <f>IFERROR(IF($A99="","",_xlfn.XLOOKUP($A99,PersonaB!B:B,PersonaB!Q:Q,,,-1)),0)</f>
        <v/>
      </c>
      <c r="K99" s="5" t="str">
        <f t="shared" si="40"/>
        <v/>
      </c>
      <c r="Z99" s="5" t="str" cm="1">
        <f t="array" ref="Z99">IF($A99="","",IF(AND(SpousalTransfer="Yes", TransferDir="Yes"), _xlfn.XLOOKUP($A99, YearlyParamsA!$A:$A, YearlyParamsA!$Z:$Z, 0) * (IFERROR(INDEX(YearlyParamsA!$J:$J, MATCH($A99, YearlyParamsA!$A:$A, 0)-1),0)&gt;=500000), 0))</f>
        <v/>
      </c>
      <c r="AA99" s="5"/>
      <c r="AB99" s="5"/>
    </row>
    <row r="100" spans="1:28" x14ac:dyDescent="0.35">
      <c r="A100" s="13"/>
      <c r="F100" s="5" t="str">
        <f>IFERROR(IF($A100="","",_xlfn.XLOOKUP($A100,PersonaB!B:B,PersonaB!Q:Q,,,-1)),0)</f>
        <v/>
      </c>
      <c r="K100" s="5" t="str">
        <f t="shared" si="40"/>
        <v/>
      </c>
      <c r="Z100" s="5" t="str" cm="1">
        <f t="array" ref="Z100">IF($A100="","",IF(AND(SpousalTransfer="Yes", TransferDir="Yes"), _xlfn.XLOOKUP($A100, YearlyParamsA!$A:$A, YearlyParamsA!$Z:$Z, 0) * (IFERROR(INDEX(YearlyParamsA!$J:$J, MATCH($A100, YearlyParamsA!$A:$A, 0)-1),0)&gt;=500000), 0))</f>
        <v/>
      </c>
      <c r="AA100" s="5"/>
      <c r="AB100" s="5"/>
    </row>
    <row r="101" spans="1:28" x14ac:dyDescent="0.35">
      <c r="A101" s="13" t="str">
        <f>IF(ROW()-1 &lt;= ProjYearsB, A100+1, "")</f>
        <v/>
      </c>
      <c r="B101" s="5" t="str">
        <f>IF($A101="","",B100*(1+Inflation))</f>
        <v/>
      </c>
      <c r="C101" s="5" t="str">
        <f t="shared" ref="C101:C128" si="41">IFERROR(IF($A101="", "", B101*SGRate), 0)</f>
        <v/>
      </c>
      <c r="D101" s="5" t="str">
        <f>IF($A101="","",D100+IF(MOD(A101-YEAR(StartYear),CapIndexYears)=0,CapIncrement,0))</f>
        <v/>
      </c>
      <c r="E101" s="5" t="str">
        <f>IFERROR(IF($A101="", "", IF(J100&gt;500000, 0, MAX(0, G100-H101))), 0)</f>
        <v/>
      </c>
      <c r="F101" s="5" t="str">
        <f>IFERROR(IF($A101="","",_xlfn.XLOOKUP($A101,PersonaB!B:B,PersonaB!Q:Q,,,-1)),0)</f>
        <v/>
      </c>
      <c r="G101" s="5" t="str">
        <f t="shared" ref="G101:G128" si="42">IFERROR(IF($A101="", "", MAX(0, D101+E101-C101-AB101)), 0)</f>
        <v/>
      </c>
      <c r="H101" s="5" t="str">
        <f>IFERROR(IF($A101="","",IF(YEAR(StartYear)+0&lt;A101-5,N100-T100,0)+IF(YEAR(StartYear)+1&lt;A101-5,O100-U100,0)+IF(YEAR(StartYear)+2&lt;A101-5,P100-V100,0)+IF(YEAR(StartYear)+3&lt;A101-5,Q100-W100,0)+IF(YEAR(StartYear)+4&lt;A101-5,R100-X100,0)+IF(YEAR(StartYear)+5&lt;A101-5,S100-Y100,0)),0)</f>
        <v/>
      </c>
      <c r="I101" s="5" t="str">
        <f t="shared" ref="I101:I128" si="43">IFERROR(IF($A101="", "", MAX(0, D101+E101-C101)), 0)</f>
        <v/>
      </c>
      <c r="J101" s="5" t="str">
        <f>IFERROR(IF($A101="", "", K100), 0)</f>
        <v/>
      </c>
      <c r="K101" s="5" t="str">
        <f t="shared" si="40"/>
        <v/>
      </c>
      <c r="L101" s="5" t="str">
        <f t="shared" ref="L101:L128" si="44">IFERROR(IF($A101="", "", B101 + AB101 + NetInvLoss), 0)</f>
        <v/>
      </c>
      <c r="M101" s="5" t="str">
        <f t="shared" ref="M101:M128" si="45">IFERROR(IF($A101="", "", IF(L101 &gt; Div293Thresh, 0.15 * MIN(AB101, L101 - Div293Thresh), 0)), 0)</f>
        <v/>
      </c>
      <c r="N101" s="5" t="str">
        <f>IFERROR(IF($A101="", "", G100), 0)</f>
        <v/>
      </c>
      <c r="O101" s="5" t="str">
        <f>IFERROR(IF($A101="", "", N100), 0)</f>
        <v/>
      </c>
      <c r="P101" s="5" t="str">
        <f>IFERROR(IF($A101="", "", O100), 0)</f>
        <v/>
      </c>
      <c r="Q101" s="5" t="str">
        <f>IFERROR(IF($A101="", "", P100), 0)</f>
        <v/>
      </c>
      <c r="R101" s="5" t="str">
        <f>IFERROR(IF($A101="", "", Q100), 0)</f>
        <v/>
      </c>
      <c r="S101" s="5" t="str">
        <f>IFERROR(IF($A101="", "", R100), 0)</f>
        <v/>
      </c>
      <c r="T101" s="5" t="str">
        <f t="shared" si="14"/>
        <v/>
      </c>
      <c r="U101" s="5" t="str">
        <f t="shared" si="15"/>
        <v/>
      </c>
      <c r="V101" s="5" t="str">
        <f t="shared" si="16"/>
        <v/>
      </c>
      <c r="W101" s="5" t="str">
        <f t="shared" si="17"/>
        <v/>
      </c>
      <c r="X101" s="5" t="str">
        <f t="shared" si="18"/>
        <v/>
      </c>
      <c r="Y101" s="5" t="str">
        <f t="shared" si="19"/>
        <v/>
      </c>
      <c r="Z101" s="5" t="str" cm="1">
        <f t="array" ref="Z101">IF($A101="","",IF(AND(SpousalTransfer="Yes", TransferDir="Yes"), _xlfn.XLOOKUP($A101, YearlyParamsA!$A:$A, YearlyParamsA!$Z:$Z, 0) * (IFERROR(INDEX(YearlyParamsA!$J:$J, MATCH($A101, YearlyParamsA!$A:$A, 0)-1),0)&gt;=500000), 0))</f>
        <v/>
      </c>
      <c r="AA101" s="5" t="str">
        <f t="shared" ref="AA101:AA128" si="46">IF($A101="","",Z101)</f>
        <v/>
      </c>
      <c r="AB101" s="5" t="str">
        <f t="shared" ref="AB101:AB128" si="47">IF($A101="","",F101+AA101)</f>
        <v/>
      </c>
    </row>
    <row r="102" spans="1:28" x14ac:dyDescent="0.35">
      <c r="A102" s="13" t="str">
        <f t="shared" ref="A102:A128" si="48">IF(ROW()-1 &lt;= ProjYearsB, A101+1, "")</f>
        <v/>
      </c>
      <c r="B102" s="5" t="str">
        <f t="shared" ref="B102:B128" si="49">IF($A102="","",B101*(1+Inflation))</f>
        <v/>
      </c>
      <c r="C102" s="5" t="str">
        <f t="shared" si="41"/>
        <v/>
      </c>
      <c r="D102" s="5" t="str">
        <f t="shared" ref="D102:D128" si="50">IF($A102="","",D101+IF(MOD(A102-YEAR(StartYear),CapIndexYears)=0,CapIncrement,0))</f>
        <v/>
      </c>
      <c r="E102" s="5" t="str">
        <f t="shared" ref="E102:E128" si="51">IFERROR(IF($A102="", "", IF(J101&gt;500000, 0, MAX(0, G101-H102))), 0)</f>
        <v/>
      </c>
      <c r="F102" s="5" t="str">
        <f>IFERROR(IF($A102="","",_xlfn.XLOOKUP($A102,PersonaB!B:B,PersonaB!Q:Q,,,-1)),0)</f>
        <v/>
      </c>
      <c r="G102" s="5" t="str">
        <f t="shared" si="42"/>
        <v/>
      </c>
      <c r="H102" s="5" t="str">
        <f t="shared" ref="H102:H128" si="52">IFERROR(IF($A102="","",IF(YEAR(StartYear)+0&lt;A102-5,N101-T101,0)+IF(YEAR(StartYear)+1&lt;A102-5,O101-U101,0)+IF(YEAR(StartYear)+2&lt;A102-5,P101-V101,0)+IF(YEAR(StartYear)+3&lt;A102-5,Q101-W101,0)+IF(YEAR(StartYear)+4&lt;A102-5,R101-X101,0)+IF(YEAR(StartYear)+5&lt;A102-5,S101-Y101,0)),0)</f>
        <v/>
      </c>
      <c r="I102" s="5" t="str">
        <f t="shared" si="43"/>
        <v/>
      </c>
      <c r="J102" s="5" t="str">
        <f t="shared" ref="J102:J128" si="53">IFERROR(IF($A102="", "", K101), 0)</f>
        <v/>
      </c>
      <c r="K102" s="5" t="str">
        <f t="shared" si="40"/>
        <v/>
      </c>
      <c r="L102" s="5" t="str">
        <f t="shared" si="44"/>
        <v/>
      </c>
      <c r="M102" s="5" t="str">
        <f t="shared" si="45"/>
        <v/>
      </c>
      <c r="N102" s="5" t="str">
        <f t="shared" ref="N102:N128" si="54">IFERROR(IF($A102="", "", G101), 0)</f>
        <v/>
      </c>
      <c r="O102" s="5" t="str">
        <f t="shared" ref="O102:S128" si="55">IFERROR(IF($A102="", "", N101), 0)</f>
        <v/>
      </c>
      <c r="P102" s="5" t="str">
        <f t="shared" si="55"/>
        <v/>
      </c>
      <c r="Q102" s="5" t="str">
        <f t="shared" si="55"/>
        <v/>
      </c>
      <c r="R102" s="5" t="str">
        <f t="shared" si="55"/>
        <v/>
      </c>
      <c r="S102" s="5" t="str">
        <f t="shared" si="55"/>
        <v/>
      </c>
      <c r="T102" s="5" t="str">
        <f t="shared" si="14"/>
        <v/>
      </c>
      <c r="U102" s="5" t="str">
        <f t="shared" si="15"/>
        <v/>
      </c>
      <c r="V102" s="5" t="str">
        <f t="shared" si="16"/>
        <v/>
      </c>
      <c r="W102" s="5" t="str">
        <f t="shared" si="17"/>
        <v/>
      </c>
      <c r="X102" s="5" t="str">
        <f t="shared" si="18"/>
        <v/>
      </c>
      <c r="Y102" s="5" t="str">
        <f t="shared" si="19"/>
        <v/>
      </c>
      <c r="Z102" s="5" t="str" cm="1">
        <f t="array" ref="Z102">IF($A102="","",IF(AND(SpousalTransfer="Yes", TransferDir="Yes"), _xlfn.XLOOKUP($A102, YearlyParamsA!$A:$A, YearlyParamsA!$Z:$Z, 0) * (IFERROR(INDEX(YearlyParamsA!$J:$J, MATCH($A102, YearlyParamsA!$A:$A, 0)-1),0)&gt;=500000), 0))</f>
        <v/>
      </c>
      <c r="AA102" s="5" t="str">
        <f t="shared" si="46"/>
        <v/>
      </c>
      <c r="AB102" s="5" t="str">
        <f t="shared" si="47"/>
        <v/>
      </c>
    </row>
    <row r="103" spans="1:28" x14ac:dyDescent="0.35">
      <c r="A103" s="13" t="str">
        <f t="shared" si="48"/>
        <v/>
      </c>
      <c r="B103" s="5" t="str">
        <f t="shared" si="49"/>
        <v/>
      </c>
      <c r="C103" s="5" t="str">
        <f t="shared" si="41"/>
        <v/>
      </c>
      <c r="D103" s="5" t="str">
        <f t="shared" si="50"/>
        <v/>
      </c>
      <c r="E103" s="5" t="str">
        <f t="shared" si="51"/>
        <v/>
      </c>
      <c r="F103" s="5" t="str">
        <f>IFERROR(IF($A103="","",_xlfn.XLOOKUP($A103,PersonaB!B:B,PersonaB!Q:Q,,,-1)),0)</f>
        <v/>
      </c>
      <c r="G103" s="5" t="str">
        <f t="shared" si="42"/>
        <v/>
      </c>
      <c r="H103" s="5" t="str">
        <f t="shared" si="52"/>
        <v/>
      </c>
      <c r="I103" s="5" t="str">
        <f t="shared" si="43"/>
        <v/>
      </c>
      <c r="J103" s="5" t="str">
        <f t="shared" si="53"/>
        <v/>
      </c>
      <c r="K103" s="5" t="str">
        <f t="shared" si="40"/>
        <v/>
      </c>
      <c r="L103" s="5" t="str">
        <f t="shared" si="44"/>
        <v/>
      </c>
      <c r="M103" s="5" t="str">
        <f t="shared" si="45"/>
        <v/>
      </c>
      <c r="N103" s="5" t="str">
        <f t="shared" si="54"/>
        <v/>
      </c>
      <c r="O103" s="5" t="str">
        <f t="shared" si="55"/>
        <v/>
      </c>
      <c r="P103" s="5" t="str">
        <f t="shared" si="55"/>
        <v/>
      </c>
      <c r="Q103" s="5" t="str">
        <f t="shared" si="55"/>
        <v/>
      </c>
      <c r="R103" s="5" t="str">
        <f t="shared" si="55"/>
        <v/>
      </c>
      <c r="S103" s="5" t="str">
        <f t="shared" si="55"/>
        <v/>
      </c>
      <c r="T103" s="5" t="str">
        <f t="shared" si="14"/>
        <v/>
      </c>
      <c r="U103" s="5" t="str">
        <f t="shared" si="15"/>
        <v/>
      </c>
      <c r="V103" s="5" t="str">
        <f t="shared" si="16"/>
        <v/>
      </c>
      <c r="W103" s="5" t="str">
        <f t="shared" si="17"/>
        <v/>
      </c>
      <c r="X103" s="5" t="str">
        <f t="shared" si="18"/>
        <v/>
      </c>
      <c r="Y103" s="5" t="str">
        <f t="shared" si="19"/>
        <v/>
      </c>
      <c r="Z103" s="5" t="str" cm="1">
        <f t="array" ref="Z103">IF($A103="","",IF(AND(SpousalTransfer="Yes", TransferDir="Yes"), _xlfn.XLOOKUP($A103, YearlyParamsA!$A:$A, YearlyParamsA!$Z:$Z, 0) * (IFERROR(INDEX(YearlyParamsA!$J:$J, MATCH($A103, YearlyParamsA!$A:$A, 0)-1),0)&gt;=500000), 0))</f>
        <v/>
      </c>
      <c r="AA103" s="5" t="str">
        <f t="shared" si="46"/>
        <v/>
      </c>
      <c r="AB103" s="5" t="str">
        <f t="shared" si="47"/>
        <v/>
      </c>
    </row>
    <row r="104" spans="1:28" x14ac:dyDescent="0.35">
      <c r="A104" s="13" t="str">
        <f t="shared" si="48"/>
        <v/>
      </c>
      <c r="B104" s="5" t="str">
        <f t="shared" si="49"/>
        <v/>
      </c>
      <c r="C104" s="5" t="str">
        <f t="shared" si="41"/>
        <v/>
      </c>
      <c r="D104" s="5" t="str">
        <f t="shared" si="50"/>
        <v/>
      </c>
      <c r="E104" s="5" t="str">
        <f t="shared" si="51"/>
        <v/>
      </c>
      <c r="F104" s="5" t="str">
        <f>IFERROR(IF($A104="","",_xlfn.XLOOKUP($A104,PersonaB!B:B,PersonaB!Q:Q,,,-1)),0)</f>
        <v/>
      </c>
      <c r="G104" s="5" t="str">
        <f t="shared" si="42"/>
        <v/>
      </c>
      <c r="H104" s="5" t="str">
        <f t="shared" si="52"/>
        <v/>
      </c>
      <c r="I104" s="5" t="str">
        <f t="shared" si="43"/>
        <v/>
      </c>
      <c r="J104" s="5" t="str">
        <f t="shared" si="53"/>
        <v/>
      </c>
      <c r="K104" s="5" t="str">
        <f t="shared" si="40"/>
        <v/>
      </c>
      <c r="L104" s="5" t="str">
        <f t="shared" si="44"/>
        <v/>
      </c>
      <c r="M104" s="5" t="str">
        <f t="shared" si="45"/>
        <v/>
      </c>
      <c r="N104" s="5" t="str">
        <f t="shared" si="54"/>
        <v/>
      </c>
      <c r="O104" s="5" t="str">
        <f t="shared" si="55"/>
        <v/>
      </c>
      <c r="P104" s="5" t="str">
        <f t="shared" si="55"/>
        <v/>
      </c>
      <c r="Q104" s="5" t="str">
        <f t="shared" si="55"/>
        <v/>
      </c>
      <c r="R104" s="5" t="str">
        <f t="shared" si="55"/>
        <v/>
      </c>
      <c r="S104" s="5" t="str">
        <f t="shared" si="55"/>
        <v/>
      </c>
      <c r="T104" s="5" t="str">
        <f t="shared" si="14"/>
        <v/>
      </c>
      <c r="U104" s="5" t="str">
        <f t="shared" si="15"/>
        <v/>
      </c>
      <c r="V104" s="5" t="str">
        <f t="shared" si="16"/>
        <v/>
      </c>
      <c r="W104" s="5" t="str">
        <f t="shared" si="17"/>
        <v/>
      </c>
      <c r="X104" s="5" t="str">
        <f t="shared" si="18"/>
        <v/>
      </c>
      <c r="Y104" s="5" t="str">
        <f t="shared" si="19"/>
        <v/>
      </c>
      <c r="Z104" s="5" t="str" cm="1">
        <f t="array" ref="Z104">IF($A104="","",IF(AND(SpousalTransfer="Yes", TransferDir="Yes"), _xlfn.XLOOKUP($A104, YearlyParamsA!$A:$A, YearlyParamsA!$Z:$Z, 0) * (IFERROR(INDEX(YearlyParamsA!$J:$J, MATCH($A104, YearlyParamsA!$A:$A, 0)-1),0)&gt;=500000), 0))</f>
        <v/>
      </c>
      <c r="AA104" s="5" t="str">
        <f t="shared" si="46"/>
        <v/>
      </c>
      <c r="AB104" s="5" t="str">
        <f t="shared" si="47"/>
        <v/>
      </c>
    </row>
    <row r="105" spans="1:28" x14ac:dyDescent="0.35">
      <c r="A105" s="13" t="str">
        <f t="shared" si="48"/>
        <v/>
      </c>
      <c r="B105" s="5" t="str">
        <f t="shared" si="49"/>
        <v/>
      </c>
      <c r="C105" s="5" t="str">
        <f t="shared" si="41"/>
        <v/>
      </c>
      <c r="D105" s="5" t="str">
        <f t="shared" si="50"/>
        <v/>
      </c>
      <c r="E105" s="5" t="str">
        <f t="shared" si="51"/>
        <v/>
      </c>
      <c r="F105" s="5" t="str">
        <f>IFERROR(IF($A105="","",_xlfn.XLOOKUP($A105,PersonaB!B:B,PersonaB!Q:Q,,,-1)),0)</f>
        <v/>
      </c>
      <c r="G105" s="5" t="str">
        <f t="shared" si="42"/>
        <v/>
      </c>
      <c r="H105" s="5" t="str">
        <f t="shared" si="52"/>
        <v/>
      </c>
      <c r="I105" s="5" t="str">
        <f t="shared" si="43"/>
        <v/>
      </c>
      <c r="J105" s="5" t="str">
        <f t="shared" si="53"/>
        <v/>
      </c>
      <c r="K105" s="5" t="str">
        <f t="shared" si="40"/>
        <v/>
      </c>
      <c r="L105" s="5" t="str">
        <f t="shared" si="44"/>
        <v/>
      </c>
      <c r="M105" s="5" t="str">
        <f t="shared" si="45"/>
        <v/>
      </c>
      <c r="N105" s="5" t="str">
        <f t="shared" si="54"/>
        <v/>
      </c>
      <c r="O105" s="5" t="str">
        <f t="shared" si="55"/>
        <v/>
      </c>
      <c r="P105" s="5" t="str">
        <f t="shared" si="55"/>
        <v/>
      </c>
      <c r="Q105" s="5" t="str">
        <f t="shared" si="55"/>
        <v/>
      </c>
      <c r="R105" s="5" t="str">
        <f t="shared" si="55"/>
        <v/>
      </c>
      <c r="S105" s="5" t="str">
        <f t="shared" si="55"/>
        <v/>
      </c>
      <c r="T105" s="5" t="str">
        <f t="shared" si="14"/>
        <v/>
      </c>
      <c r="U105" s="5" t="str">
        <f t="shared" si="15"/>
        <v/>
      </c>
      <c r="V105" s="5" t="str">
        <f t="shared" si="16"/>
        <v/>
      </c>
      <c r="W105" s="5" t="str">
        <f t="shared" si="17"/>
        <v/>
      </c>
      <c r="X105" s="5" t="str">
        <f t="shared" si="18"/>
        <v/>
      </c>
      <c r="Y105" s="5" t="str">
        <f t="shared" si="19"/>
        <v/>
      </c>
      <c r="Z105" s="5" t="str" cm="1">
        <f t="array" ref="Z105">IF($A105="","",IF(AND(SpousalTransfer="Yes", TransferDir="Yes"), _xlfn.XLOOKUP($A105, YearlyParamsA!$A:$A, YearlyParamsA!$Z:$Z, 0) * (IFERROR(INDEX(YearlyParamsA!$J:$J, MATCH($A105, YearlyParamsA!$A:$A, 0)-1),0)&gt;=500000), 0))</f>
        <v/>
      </c>
      <c r="AA105" s="5" t="str">
        <f t="shared" si="46"/>
        <v/>
      </c>
      <c r="AB105" s="5" t="str">
        <f t="shared" si="47"/>
        <v/>
      </c>
    </row>
    <row r="106" spans="1:28" x14ac:dyDescent="0.35">
      <c r="A106" s="13" t="str">
        <f t="shared" si="48"/>
        <v/>
      </c>
      <c r="B106" s="5" t="str">
        <f t="shared" si="49"/>
        <v/>
      </c>
      <c r="C106" s="5" t="str">
        <f t="shared" si="41"/>
        <v/>
      </c>
      <c r="D106" s="5" t="str">
        <f t="shared" si="50"/>
        <v/>
      </c>
      <c r="E106" s="5" t="str">
        <f t="shared" si="51"/>
        <v/>
      </c>
      <c r="F106" s="5" t="str">
        <f>IFERROR(IF($A106="","",_xlfn.XLOOKUP($A106,PersonaB!B:B,PersonaB!Q:Q,,,-1)),0)</f>
        <v/>
      </c>
      <c r="G106" s="5" t="str">
        <f t="shared" si="42"/>
        <v/>
      </c>
      <c r="H106" s="5" t="str">
        <f t="shared" si="52"/>
        <v/>
      </c>
      <c r="I106" s="5" t="str">
        <f t="shared" si="43"/>
        <v/>
      </c>
      <c r="J106" s="5" t="str">
        <f t="shared" si="53"/>
        <v/>
      </c>
      <c r="K106" s="5" t="str">
        <f t="shared" si="40"/>
        <v/>
      </c>
      <c r="L106" s="5" t="str">
        <f t="shared" si="44"/>
        <v/>
      </c>
      <c r="M106" s="5" t="str">
        <f t="shared" si="45"/>
        <v/>
      </c>
      <c r="N106" s="5" t="str">
        <f t="shared" si="54"/>
        <v/>
      </c>
      <c r="O106" s="5" t="str">
        <f t="shared" si="55"/>
        <v/>
      </c>
      <c r="P106" s="5" t="str">
        <f t="shared" si="55"/>
        <v/>
      </c>
      <c r="Q106" s="5" t="str">
        <f t="shared" si="55"/>
        <v/>
      </c>
      <c r="R106" s="5" t="str">
        <f t="shared" si="55"/>
        <v/>
      </c>
      <c r="S106" s="5" t="str">
        <f t="shared" si="55"/>
        <v/>
      </c>
      <c r="T106" s="5" t="str">
        <f t="shared" si="14"/>
        <v/>
      </c>
      <c r="U106" s="5" t="str">
        <f t="shared" si="15"/>
        <v/>
      </c>
      <c r="V106" s="5" t="str">
        <f t="shared" si="16"/>
        <v/>
      </c>
      <c r="W106" s="5" t="str">
        <f t="shared" si="17"/>
        <v/>
      </c>
      <c r="X106" s="5" t="str">
        <f t="shared" si="18"/>
        <v/>
      </c>
      <c r="Y106" s="5" t="str">
        <f t="shared" si="19"/>
        <v/>
      </c>
      <c r="Z106" s="5" t="str" cm="1">
        <f t="array" ref="Z106">IF($A106="","",IF(AND(SpousalTransfer="Yes", TransferDir="Yes"), _xlfn.XLOOKUP($A106, YearlyParamsA!$A:$A, YearlyParamsA!$Z:$Z, 0) * (IFERROR(INDEX(YearlyParamsA!$J:$J, MATCH($A106, YearlyParamsA!$A:$A, 0)-1),0)&gt;=500000), 0))</f>
        <v/>
      </c>
      <c r="AA106" s="5" t="str">
        <f t="shared" si="46"/>
        <v/>
      </c>
      <c r="AB106" s="5" t="str">
        <f t="shared" si="47"/>
        <v/>
      </c>
    </row>
    <row r="107" spans="1:28" x14ac:dyDescent="0.35">
      <c r="A107" s="13" t="str">
        <f t="shared" si="48"/>
        <v/>
      </c>
      <c r="B107" s="5" t="str">
        <f t="shared" si="49"/>
        <v/>
      </c>
      <c r="C107" s="5" t="str">
        <f t="shared" si="41"/>
        <v/>
      </c>
      <c r="D107" s="5" t="str">
        <f t="shared" si="50"/>
        <v/>
      </c>
      <c r="E107" s="5" t="str">
        <f t="shared" si="51"/>
        <v/>
      </c>
      <c r="F107" s="5" t="str">
        <f>IFERROR(IF($A107="","",_xlfn.XLOOKUP($A107,PersonaB!B:B,PersonaB!Q:Q,,,-1)),0)</f>
        <v/>
      </c>
      <c r="G107" s="5" t="str">
        <f t="shared" si="42"/>
        <v/>
      </c>
      <c r="H107" s="5" t="str">
        <f t="shared" si="52"/>
        <v/>
      </c>
      <c r="I107" s="5" t="str">
        <f t="shared" si="43"/>
        <v/>
      </c>
      <c r="J107" s="5" t="str">
        <f t="shared" si="53"/>
        <v/>
      </c>
      <c r="K107" s="5" t="str">
        <f t="shared" si="40"/>
        <v/>
      </c>
      <c r="L107" s="5" t="str">
        <f t="shared" si="44"/>
        <v/>
      </c>
      <c r="M107" s="5" t="str">
        <f t="shared" si="45"/>
        <v/>
      </c>
      <c r="N107" s="5" t="str">
        <f t="shared" si="54"/>
        <v/>
      </c>
      <c r="O107" s="5" t="str">
        <f t="shared" si="55"/>
        <v/>
      </c>
      <c r="P107" s="5" t="str">
        <f t="shared" si="55"/>
        <v/>
      </c>
      <c r="Q107" s="5" t="str">
        <f t="shared" si="55"/>
        <v/>
      </c>
      <c r="R107" s="5" t="str">
        <f t="shared" si="55"/>
        <v/>
      </c>
      <c r="S107" s="5" t="str">
        <f t="shared" si="55"/>
        <v/>
      </c>
      <c r="T107" s="5" t="str">
        <f t="shared" si="14"/>
        <v/>
      </c>
      <c r="U107" s="5" t="str">
        <f t="shared" si="15"/>
        <v/>
      </c>
      <c r="V107" s="5" t="str">
        <f t="shared" si="16"/>
        <v/>
      </c>
      <c r="W107" s="5" t="str">
        <f t="shared" si="17"/>
        <v/>
      </c>
      <c r="X107" s="5" t="str">
        <f t="shared" si="18"/>
        <v/>
      </c>
      <c r="Y107" s="5" t="str">
        <f t="shared" si="19"/>
        <v/>
      </c>
      <c r="Z107" s="5" t="str" cm="1">
        <f t="array" ref="Z107">IF($A107="","",IF(AND(SpousalTransfer="Yes", TransferDir="Yes"), _xlfn.XLOOKUP($A107, YearlyParamsA!$A:$A, YearlyParamsA!$Z:$Z, 0) * (IFERROR(INDEX(YearlyParamsA!$J:$J, MATCH($A107, YearlyParamsA!$A:$A, 0)-1),0)&gt;=500000), 0))</f>
        <v/>
      </c>
      <c r="AA107" s="5" t="str">
        <f t="shared" si="46"/>
        <v/>
      </c>
      <c r="AB107" s="5" t="str">
        <f t="shared" si="47"/>
        <v/>
      </c>
    </row>
    <row r="108" spans="1:28" x14ac:dyDescent="0.35">
      <c r="A108" s="13" t="str">
        <f t="shared" si="48"/>
        <v/>
      </c>
      <c r="B108" s="5" t="str">
        <f t="shared" si="49"/>
        <v/>
      </c>
      <c r="C108" s="5" t="str">
        <f t="shared" si="41"/>
        <v/>
      </c>
      <c r="D108" s="5" t="str">
        <f t="shared" si="50"/>
        <v/>
      </c>
      <c r="E108" s="5" t="str">
        <f t="shared" si="51"/>
        <v/>
      </c>
      <c r="F108" s="5" t="str">
        <f>IFERROR(IF($A108="","",_xlfn.XLOOKUP($A108,PersonaB!B:B,PersonaB!Q:Q,,,-1)),0)</f>
        <v/>
      </c>
      <c r="G108" s="5" t="str">
        <f t="shared" si="42"/>
        <v/>
      </c>
      <c r="H108" s="5" t="str">
        <f t="shared" si="52"/>
        <v/>
      </c>
      <c r="I108" s="5" t="str">
        <f t="shared" si="43"/>
        <v/>
      </c>
      <c r="J108" s="5" t="str">
        <f t="shared" si="53"/>
        <v/>
      </c>
      <c r="K108" s="5" t="str">
        <f t="shared" si="40"/>
        <v/>
      </c>
      <c r="L108" s="5" t="str">
        <f t="shared" si="44"/>
        <v/>
      </c>
      <c r="M108" s="5" t="str">
        <f t="shared" si="45"/>
        <v/>
      </c>
      <c r="N108" s="5" t="str">
        <f t="shared" si="54"/>
        <v/>
      </c>
      <c r="O108" s="5" t="str">
        <f t="shared" si="55"/>
        <v/>
      </c>
      <c r="P108" s="5" t="str">
        <f t="shared" si="55"/>
        <v/>
      </c>
      <c r="Q108" s="5" t="str">
        <f t="shared" si="55"/>
        <v/>
      </c>
      <c r="R108" s="5" t="str">
        <f t="shared" si="55"/>
        <v/>
      </c>
      <c r="S108" s="5" t="str">
        <f t="shared" si="55"/>
        <v/>
      </c>
      <c r="T108" s="5" t="str">
        <f t="shared" si="14"/>
        <v/>
      </c>
      <c r="U108" s="5" t="str">
        <f t="shared" si="15"/>
        <v/>
      </c>
      <c r="V108" s="5" t="str">
        <f t="shared" si="16"/>
        <v/>
      </c>
      <c r="W108" s="5" t="str">
        <f t="shared" si="17"/>
        <v/>
      </c>
      <c r="X108" s="5" t="str">
        <f t="shared" si="18"/>
        <v/>
      </c>
      <c r="Y108" s="5" t="str">
        <f t="shared" si="19"/>
        <v/>
      </c>
      <c r="Z108" s="5" t="str" cm="1">
        <f t="array" ref="Z108">IF($A108="","",IF(AND(SpousalTransfer="Yes", TransferDir="Yes"), _xlfn.XLOOKUP($A108, YearlyParamsA!$A:$A, YearlyParamsA!$Z:$Z, 0) * (IFERROR(INDEX(YearlyParamsA!$J:$J, MATCH($A108, YearlyParamsA!$A:$A, 0)-1),0)&gt;=500000), 0))</f>
        <v/>
      </c>
      <c r="AA108" s="5" t="str">
        <f t="shared" si="46"/>
        <v/>
      </c>
      <c r="AB108" s="5" t="str">
        <f t="shared" si="47"/>
        <v/>
      </c>
    </row>
    <row r="109" spans="1:28" x14ac:dyDescent="0.35">
      <c r="A109" s="13" t="str">
        <f t="shared" si="48"/>
        <v/>
      </c>
      <c r="B109" s="5" t="str">
        <f t="shared" si="49"/>
        <v/>
      </c>
      <c r="C109" s="5" t="str">
        <f t="shared" si="41"/>
        <v/>
      </c>
      <c r="D109" s="5" t="str">
        <f t="shared" si="50"/>
        <v/>
      </c>
      <c r="E109" s="5" t="str">
        <f t="shared" si="51"/>
        <v/>
      </c>
      <c r="F109" s="5" t="str">
        <f>IFERROR(IF($A109="","",_xlfn.XLOOKUP($A109,PersonaB!B:B,PersonaB!Q:Q,,,-1)),0)</f>
        <v/>
      </c>
      <c r="G109" s="5" t="str">
        <f t="shared" si="42"/>
        <v/>
      </c>
      <c r="H109" s="5" t="str">
        <f t="shared" si="52"/>
        <v/>
      </c>
      <c r="I109" s="5" t="str">
        <f t="shared" si="43"/>
        <v/>
      </c>
      <c r="J109" s="5" t="str">
        <f t="shared" si="53"/>
        <v/>
      </c>
      <c r="K109" s="5" t="str">
        <f t="shared" si="40"/>
        <v/>
      </c>
      <c r="L109" s="5" t="str">
        <f t="shared" si="44"/>
        <v/>
      </c>
      <c r="M109" s="5" t="str">
        <f t="shared" si="45"/>
        <v/>
      </c>
      <c r="N109" s="5" t="str">
        <f t="shared" si="54"/>
        <v/>
      </c>
      <c r="O109" s="5" t="str">
        <f t="shared" si="55"/>
        <v/>
      </c>
      <c r="P109" s="5" t="str">
        <f t="shared" si="55"/>
        <v/>
      </c>
      <c r="Q109" s="5" t="str">
        <f t="shared" si="55"/>
        <v/>
      </c>
      <c r="R109" s="5" t="str">
        <f t="shared" si="55"/>
        <v/>
      </c>
      <c r="S109" s="5" t="str">
        <f t="shared" si="55"/>
        <v/>
      </c>
      <c r="T109" s="5" t="str">
        <f t="shared" si="14"/>
        <v/>
      </c>
      <c r="U109" s="5" t="str">
        <f t="shared" si="15"/>
        <v/>
      </c>
      <c r="V109" s="5" t="str">
        <f t="shared" si="16"/>
        <v/>
      </c>
      <c r="W109" s="5" t="str">
        <f t="shared" si="17"/>
        <v/>
      </c>
      <c r="X109" s="5" t="str">
        <f t="shared" si="18"/>
        <v/>
      </c>
      <c r="Y109" s="5" t="str">
        <f t="shared" si="19"/>
        <v/>
      </c>
      <c r="Z109" s="5" t="str" cm="1">
        <f t="array" ref="Z109">IF($A109="","",IF(AND(SpousalTransfer="Yes", TransferDir="Yes"), _xlfn.XLOOKUP($A109, YearlyParamsA!$A:$A, YearlyParamsA!$Z:$Z, 0) * (IFERROR(INDEX(YearlyParamsA!$J:$J, MATCH($A109, YearlyParamsA!$A:$A, 0)-1),0)&gt;=500000), 0))</f>
        <v/>
      </c>
      <c r="AA109" s="5" t="str">
        <f t="shared" si="46"/>
        <v/>
      </c>
      <c r="AB109" s="5" t="str">
        <f t="shared" si="47"/>
        <v/>
      </c>
    </row>
    <row r="110" spans="1:28" x14ac:dyDescent="0.35">
      <c r="A110" s="13" t="str">
        <f t="shared" si="48"/>
        <v/>
      </c>
      <c r="B110" s="5" t="str">
        <f t="shared" si="49"/>
        <v/>
      </c>
      <c r="C110" s="5" t="str">
        <f t="shared" si="41"/>
        <v/>
      </c>
      <c r="D110" s="5" t="str">
        <f t="shared" si="50"/>
        <v/>
      </c>
      <c r="E110" s="5" t="str">
        <f t="shared" si="51"/>
        <v/>
      </c>
      <c r="F110" s="5" t="str">
        <f>IFERROR(IF($A110="","",_xlfn.XLOOKUP($A110,PersonaB!B:B,PersonaB!Q:Q,,,-1)),0)</f>
        <v/>
      </c>
      <c r="G110" s="5" t="str">
        <f t="shared" si="42"/>
        <v/>
      </c>
      <c r="H110" s="5" t="str">
        <f t="shared" si="52"/>
        <v/>
      </c>
      <c r="I110" s="5" t="str">
        <f t="shared" si="43"/>
        <v/>
      </c>
      <c r="J110" s="5" t="str">
        <f t="shared" si="53"/>
        <v/>
      </c>
      <c r="K110" s="5" t="str">
        <f t="shared" si="40"/>
        <v/>
      </c>
      <c r="L110" s="5" t="str">
        <f t="shared" si="44"/>
        <v/>
      </c>
      <c r="M110" s="5" t="str">
        <f t="shared" si="45"/>
        <v/>
      </c>
      <c r="N110" s="5" t="str">
        <f t="shared" si="54"/>
        <v/>
      </c>
      <c r="O110" s="5" t="str">
        <f t="shared" si="55"/>
        <v/>
      </c>
      <c r="P110" s="5" t="str">
        <f t="shared" si="55"/>
        <v/>
      </c>
      <c r="Q110" s="5" t="str">
        <f t="shared" si="55"/>
        <v/>
      </c>
      <c r="R110" s="5" t="str">
        <f t="shared" si="55"/>
        <v/>
      </c>
      <c r="S110" s="5" t="str">
        <f t="shared" si="55"/>
        <v/>
      </c>
      <c r="T110" s="5" t="str">
        <f t="shared" si="14"/>
        <v/>
      </c>
      <c r="U110" s="5" t="str">
        <f t="shared" si="15"/>
        <v/>
      </c>
      <c r="V110" s="5" t="str">
        <f t="shared" si="16"/>
        <v/>
      </c>
      <c r="W110" s="5" t="str">
        <f t="shared" si="17"/>
        <v/>
      </c>
      <c r="X110" s="5" t="str">
        <f t="shared" si="18"/>
        <v/>
      </c>
      <c r="Y110" s="5" t="str">
        <f t="shared" si="19"/>
        <v/>
      </c>
      <c r="Z110" s="5" t="str" cm="1">
        <f t="array" ref="Z110">IF($A110="","",IF(AND(SpousalTransfer="Yes", TransferDir="Yes"), _xlfn.XLOOKUP($A110, YearlyParamsA!$A:$A, YearlyParamsA!$Z:$Z, 0) * (IFERROR(INDEX(YearlyParamsA!$J:$J, MATCH($A110, YearlyParamsA!$A:$A, 0)-1),0)&gt;=500000), 0))</f>
        <v/>
      </c>
      <c r="AA110" s="5" t="str">
        <f t="shared" si="46"/>
        <v/>
      </c>
      <c r="AB110" s="5" t="str">
        <f t="shared" si="47"/>
        <v/>
      </c>
    </row>
    <row r="111" spans="1:28" x14ac:dyDescent="0.35">
      <c r="A111" s="13" t="str">
        <f t="shared" si="48"/>
        <v/>
      </c>
      <c r="B111" s="5" t="str">
        <f t="shared" si="49"/>
        <v/>
      </c>
      <c r="C111" s="5" t="str">
        <f t="shared" si="41"/>
        <v/>
      </c>
      <c r="D111" s="5" t="str">
        <f t="shared" si="50"/>
        <v/>
      </c>
      <c r="E111" s="5" t="str">
        <f t="shared" si="51"/>
        <v/>
      </c>
      <c r="F111" s="5" t="str">
        <f>IFERROR(IF($A111="","",_xlfn.XLOOKUP($A111,PersonaB!B:B,PersonaB!Q:Q,,,-1)),0)</f>
        <v/>
      </c>
      <c r="G111" s="5" t="str">
        <f t="shared" si="42"/>
        <v/>
      </c>
      <c r="H111" s="5" t="str">
        <f t="shared" si="52"/>
        <v/>
      </c>
      <c r="I111" s="5" t="str">
        <f t="shared" si="43"/>
        <v/>
      </c>
      <c r="J111" s="5" t="str">
        <f t="shared" si="53"/>
        <v/>
      </c>
      <c r="K111" s="5" t="str">
        <f t="shared" si="40"/>
        <v/>
      </c>
      <c r="L111" s="5" t="str">
        <f t="shared" si="44"/>
        <v/>
      </c>
      <c r="M111" s="5" t="str">
        <f t="shared" si="45"/>
        <v/>
      </c>
      <c r="N111" s="5" t="str">
        <f t="shared" si="54"/>
        <v/>
      </c>
      <c r="O111" s="5" t="str">
        <f t="shared" si="55"/>
        <v/>
      </c>
      <c r="P111" s="5" t="str">
        <f t="shared" si="55"/>
        <v/>
      </c>
      <c r="Q111" s="5" t="str">
        <f t="shared" si="55"/>
        <v/>
      </c>
      <c r="R111" s="5" t="str">
        <f t="shared" si="55"/>
        <v/>
      </c>
      <c r="S111" s="5" t="str">
        <f t="shared" si="55"/>
        <v/>
      </c>
      <c r="T111" s="5" t="str">
        <f t="shared" si="14"/>
        <v/>
      </c>
      <c r="U111" s="5" t="str">
        <f t="shared" si="15"/>
        <v/>
      </c>
      <c r="V111" s="5" t="str">
        <f t="shared" si="16"/>
        <v/>
      </c>
      <c r="W111" s="5" t="str">
        <f t="shared" si="17"/>
        <v/>
      </c>
      <c r="X111" s="5" t="str">
        <f t="shared" si="18"/>
        <v/>
      </c>
      <c r="Y111" s="5" t="str">
        <f t="shared" si="19"/>
        <v/>
      </c>
      <c r="Z111" s="5" t="str" cm="1">
        <f t="array" ref="Z111">IF($A111="","",IF(AND(SpousalTransfer="Yes", TransferDir="Yes"), _xlfn.XLOOKUP($A111, YearlyParamsA!$A:$A, YearlyParamsA!$Z:$Z, 0) * (IFERROR(INDEX(YearlyParamsA!$J:$J, MATCH($A111, YearlyParamsA!$A:$A, 0)-1),0)&gt;=500000), 0))</f>
        <v/>
      </c>
      <c r="AA111" s="5" t="str">
        <f t="shared" si="46"/>
        <v/>
      </c>
      <c r="AB111" s="5" t="str">
        <f t="shared" si="47"/>
        <v/>
      </c>
    </row>
    <row r="112" spans="1:28" x14ac:dyDescent="0.35">
      <c r="A112" s="13" t="str">
        <f t="shared" si="48"/>
        <v/>
      </c>
      <c r="B112" s="5" t="str">
        <f t="shared" si="49"/>
        <v/>
      </c>
      <c r="C112" s="5" t="str">
        <f t="shared" si="41"/>
        <v/>
      </c>
      <c r="D112" s="5" t="str">
        <f t="shared" si="50"/>
        <v/>
      </c>
      <c r="E112" s="5" t="str">
        <f t="shared" si="51"/>
        <v/>
      </c>
      <c r="F112" s="5" t="str">
        <f>IFERROR(IF($A112="","",_xlfn.XLOOKUP($A112,PersonaB!B:B,PersonaB!Q:Q,,,-1)),0)</f>
        <v/>
      </c>
      <c r="G112" s="5" t="str">
        <f t="shared" si="42"/>
        <v/>
      </c>
      <c r="H112" s="5" t="str">
        <f t="shared" si="52"/>
        <v/>
      </c>
      <c r="I112" s="5" t="str">
        <f t="shared" si="43"/>
        <v/>
      </c>
      <c r="J112" s="5" t="str">
        <f t="shared" si="53"/>
        <v/>
      </c>
      <c r="K112" s="5" t="str">
        <f t="shared" si="40"/>
        <v/>
      </c>
      <c r="L112" s="5" t="str">
        <f t="shared" si="44"/>
        <v/>
      </c>
      <c r="M112" s="5" t="str">
        <f t="shared" si="45"/>
        <v/>
      </c>
      <c r="N112" s="5" t="str">
        <f t="shared" si="54"/>
        <v/>
      </c>
      <c r="O112" s="5" t="str">
        <f t="shared" si="55"/>
        <v/>
      </c>
      <c r="P112" s="5" t="str">
        <f t="shared" si="55"/>
        <v/>
      </c>
      <c r="Q112" s="5" t="str">
        <f t="shared" si="55"/>
        <v/>
      </c>
      <c r="R112" s="5" t="str">
        <f t="shared" si="55"/>
        <v/>
      </c>
      <c r="S112" s="5" t="str">
        <f t="shared" si="55"/>
        <v/>
      </c>
      <c r="T112" s="5" t="str">
        <f t="shared" si="14"/>
        <v/>
      </c>
      <c r="U112" s="5" t="str">
        <f t="shared" si="15"/>
        <v/>
      </c>
      <c r="V112" s="5" t="str">
        <f t="shared" si="16"/>
        <v/>
      </c>
      <c r="W112" s="5" t="str">
        <f t="shared" si="17"/>
        <v/>
      </c>
      <c r="X112" s="5" t="str">
        <f t="shared" si="18"/>
        <v/>
      </c>
      <c r="Y112" s="5" t="str">
        <f t="shared" si="19"/>
        <v/>
      </c>
      <c r="Z112" s="5" t="str" cm="1">
        <f t="array" ref="Z112">IF($A112="","",IF(AND(SpousalTransfer="Yes", TransferDir="Yes"), _xlfn.XLOOKUP($A112, YearlyParamsA!$A:$A, YearlyParamsA!$Z:$Z, 0) * (IFERROR(INDEX(YearlyParamsA!$J:$J, MATCH($A112, YearlyParamsA!$A:$A, 0)-1),0)&gt;=500000), 0))</f>
        <v/>
      </c>
      <c r="AA112" s="5" t="str">
        <f t="shared" si="46"/>
        <v/>
      </c>
      <c r="AB112" s="5" t="str">
        <f t="shared" si="47"/>
        <v/>
      </c>
    </row>
    <row r="113" spans="1:28" x14ac:dyDescent="0.35">
      <c r="A113" s="13" t="str">
        <f t="shared" si="48"/>
        <v/>
      </c>
      <c r="B113" s="5" t="str">
        <f t="shared" si="49"/>
        <v/>
      </c>
      <c r="C113" s="5" t="str">
        <f t="shared" si="41"/>
        <v/>
      </c>
      <c r="D113" s="5" t="str">
        <f t="shared" si="50"/>
        <v/>
      </c>
      <c r="E113" s="5" t="str">
        <f t="shared" si="51"/>
        <v/>
      </c>
      <c r="F113" s="5" t="str">
        <f>IFERROR(IF($A113="","",_xlfn.XLOOKUP($A113,PersonaB!B:B,PersonaB!Q:Q,,,-1)),0)</f>
        <v/>
      </c>
      <c r="G113" s="5" t="str">
        <f t="shared" si="42"/>
        <v/>
      </c>
      <c r="H113" s="5" t="str">
        <f t="shared" si="52"/>
        <v/>
      </c>
      <c r="I113" s="5" t="str">
        <f t="shared" si="43"/>
        <v/>
      </c>
      <c r="J113" s="5" t="str">
        <f t="shared" si="53"/>
        <v/>
      </c>
      <c r="K113" s="5" t="str">
        <f t="shared" si="40"/>
        <v/>
      </c>
      <c r="L113" s="5" t="str">
        <f t="shared" si="44"/>
        <v/>
      </c>
      <c r="M113" s="5" t="str">
        <f t="shared" si="45"/>
        <v/>
      </c>
      <c r="N113" s="5" t="str">
        <f t="shared" si="54"/>
        <v/>
      </c>
      <c r="O113" s="5" t="str">
        <f t="shared" si="55"/>
        <v/>
      </c>
      <c r="P113" s="5" t="str">
        <f t="shared" si="55"/>
        <v/>
      </c>
      <c r="Q113" s="5" t="str">
        <f t="shared" si="55"/>
        <v/>
      </c>
      <c r="R113" s="5" t="str">
        <f t="shared" si="55"/>
        <v/>
      </c>
      <c r="S113" s="5" t="str">
        <f t="shared" si="55"/>
        <v/>
      </c>
      <c r="T113" s="5" t="str">
        <f t="shared" si="14"/>
        <v/>
      </c>
      <c r="U113" s="5" t="str">
        <f t="shared" si="15"/>
        <v/>
      </c>
      <c r="V113" s="5" t="str">
        <f t="shared" si="16"/>
        <v/>
      </c>
      <c r="W113" s="5" t="str">
        <f t="shared" si="17"/>
        <v/>
      </c>
      <c r="X113" s="5" t="str">
        <f t="shared" si="18"/>
        <v/>
      </c>
      <c r="Y113" s="5" t="str">
        <f t="shared" si="19"/>
        <v/>
      </c>
      <c r="Z113" s="5" t="str" cm="1">
        <f t="array" ref="Z113">IF($A113="","",IF(AND(SpousalTransfer="Yes", TransferDir="Yes"), _xlfn.XLOOKUP($A113, YearlyParamsA!$A:$A, YearlyParamsA!$Z:$Z, 0) * (IFERROR(INDEX(YearlyParamsA!$J:$J, MATCH($A113, YearlyParamsA!$A:$A, 0)-1),0)&gt;=500000), 0))</f>
        <v/>
      </c>
      <c r="AA113" s="5" t="str">
        <f t="shared" si="46"/>
        <v/>
      </c>
      <c r="AB113" s="5" t="str">
        <f t="shared" si="47"/>
        <v/>
      </c>
    </row>
    <row r="114" spans="1:28" x14ac:dyDescent="0.35">
      <c r="A114" s="13" t="str">
        <f t="shared" si="48"/>
        <v/>
      </c>
      <c r="B114" s="5" t="str">
        <f t="shared" si="49"/>
        <v/>
      </c>
      <c r="C114" s="5" t="str">
        <f t="shared" si="41"/>
        <v/>
      </c>
      <c r="D114" s="5" t="str">
        <f t="shared" si="50"/>
        <v/>
      </c>
      <c r="E114" s="5" t="str">
        <f t="shared" si="51"/>
        <v/>
      </c>
      <c r="F114" s="5" t="str">
        <f>IFERROR(IF($A114="","",_xlfn.XLOOKUP($A114,PersonaB!B:B,PersonaB!Q:Q,,,-1)),0)</f>
        <v/>
      </c>
      <c r="G114" s="5" t="str">
        <f t="shared" si="42"/>
        <v/>
      </c>
      <c r="H114" s="5" t="str">
        <f t="shared" si="52"/>
        <v/>
      </c>
      <c r="I114" s="5" t="str">
        <f t="shared" si="43"/>
        <v/>
      </c>
      <c r="J114" s="5" t="str">
        <f t="shared" si="53"/>
        <v/>
      </c>
      <c r="K114" s="5" t="str">
        <f t="shared" si="40"/>
        <v/>
      </c>
      <c r="L114" s="5" t="str">
        <f t="shared" si="44"/>
        <v/>
      </c>
      <c r="M114" s="5" t="str">
        <f t="shared" si="45"/>
        <v/>
      </c>
      <c r="N114" s="5" t="str">
        <f t="shared" si="54"/>
        <v/>
      </c>
      <c r="O114" s="5" t="str">
        <f t="shared" si="55"/>
        <v/>
      </c>
      <c r="P114" s="5" t="str">
        <f t="shared" si="55"/>
        <v/>
      </c>
      <c r="Q114" s="5" t="str">
        <f t="shared" si="55"/>
        <v/>
      </c>
      <c r="R114" s="5" t="str">
        <f t="shared" si="55"/>
        <v/>
      </c>
      <c r="S114" s="5" t="str">
        <f t="shared" si="55"/>
        <v/>
      </c>
      <c r="T114" s="5" t="str">
        <f t="shared" si="14"/>
        <v/>
      </c>
      <c r="U114" s="5" t="str">
        <f t="shared" si="15"/>
        <v/>
      </c>
      <c r="V114" s="5" t="str">
        <f t="shared" si="16"/>
        <v/>
      </c>
      <c r="W114" s="5" t="str">
        <f t="shared" si="17"/>
        <v/>
      </c>
      <c r="X114" s="5" t="str">
        <f t="shared" si="18"/>
        <v/>
      </c>
      <c r="Y114" s="5" t="str">
        <f t="shared" si="19"/>
        <v/>
      </c>
      <c r="Z114" s="5" t="str" cm="1">
        <f t="array" ref="Z114">IF($A114="","",IF(AND(SpousalTransfer="Yes", TransferDir="Yes"), _xlfn.XLOOKUP($A114, YearlyParamsA!$A:$A, YearlyParamsA!$Z:$Z, 0) * (IFERROR(INDEX(YearlyParamsA!$J:$J, MATCH($A114, YearlyParamsA!$A:$A, 0)-1),0)&gt;=500000), 0))</f>
        <v/>
      </c>
      <c r="AA114" s="5" t="str">
        <f t="shared" si="46"/>
        <v/>
      </c>
      <c r="AB114" s="5" t="str">
        <f t="shared" si="47"/>
        <v/>
      </c>
    </row>
    <row r="115" spans="1:28" x14ac:dyDescent="0.35">
      <c r="A115" s="13" t="str">
        <f t="shared" si="48"/>
        <v/>
      </c>
      <c r="B115" s="5" t="str">
        <f t="shared" si="49"/>
        <v/>
      </c>
      <c r="C115" s="5" t="str">
        <f t="shared" si="41"/>
        <v/>
      </c>
      <c r="D115" s="5" t="str">
        <f t="shared" si="50"/>
        <v/>
      </c>
      <c r="E115" s="5" t="str">
        <f t="shared" si="51"/>
        <v/>
      </c>
      <c r="F115" s="5" t="str">
        <f>IFERROR(IF($A115="","",_xlfn.XLOOKUP($A115,PersonaB!B:B,PersonaB!Q:Q,,,-1)),0)</f>
        <v/>
      </c>
      <c r="G115" s="5" t="str">
        <f t="shared" si="42"/>
        <v/>
      </c>
      <c r="H115" s="5" t="str">
        <f t="shared" si="52"/>
        <v/>
      </c>
      <c r="I115" s="5" t="str">
        <f t="shared" si="43"/>
        <v/>
      </c>
      <c r="J115" s="5" t="str">
        <f t="shared" si="53"/>
        <v/>
      </c>
      <c r="K115" s="5" t="str">
        <f t="shared" si="40"/>
        <v/>
      </c>
      <c r="L115" s="5" t="str">
        <f t="shared" si="44"/>
        <v/>
      </c>
      <c r="M115" s="5" t="str">
        <f t="shared" si="45"/>
        <v/>
      </c>
      <c r="N115" s="5" t="str">
        <f t="shared" si="54"/>
        <v/>
      </c>
      <c r="O115" s="5" t="str">
        <f t="shared" si="55"/>
        <v/>
      </c>
      <c r="P115" s="5" t="str">
        <f t="shared" si="55"/>
        <v/>
      </c>
      <c r="Q115" s="5" t="str">
        <f t="shared" si="55"/>
        <v/>
      </c>
      <c r="R115" s="5" t="str">
        <f t="shared" si="55"/>
        <v/>
      </c>
      <c r="S115" s="5" t="str">
        <f t="shared" si="55"/>
        <v/>
      </c>
      <c r="T115" s="5" t="str">
        <f t="shared" si="14"/>
        <v/>
      </c>
      <c r="U115" s="5" t="str">
        <f t="shared" si="15"/>
        <v/>
      </c>
      <c r="V115" s="5" t="str">
        <f t="shared" si="16"/>
        <v/>
      </c>
      <c r="W115" s="5" t="str">
        <f t="shared" si="17"/>
        <v/>
      </c>
      <c r="X115" s="5" t="str">
        <f t="shared" si="18"/>
        <v/>
      </c>
      <c r="Y115" s="5" t="str">
        <f t="shared" si="19"/>
        <v/>
      </c>
      <c r="Z115" s="5" t="str" cm="1">
        <f t="array" ref="Z115">IF($A115="","",IF(AND(SpousalTransfer="Yes", TransferDir="Yes"), _xlfn.XLOOKUP($A115, YearlyParamsA!$A:$A, YearlyParamsA!$Z:$Z, 0) * (IFERROR(INDEX(YearlyParamsA!$J:$J, MATCH($A115, YearlyParamsA!$A:$A, 0)-1),0)&gt;=500000), 0))</f>
        <v/>
      </c>
      <c r="AA115" s="5" t="str">
        <f t="shared" si="46"/>
        <v/>
      </c>
      <c r="AB115" s="5" t="str">
        <f t="shared" si="47"/>
        <v/>
      </c>
    </row>
    <row r="116" spans="1:28" x14ac:dyDescent="0.35">
      <c r="A116" s="13" t="str">
        <f t="shared" si="48"/>
        <v/>
      </c>
      <c r="B116" s="5" t="str">
        <f t="shared" si="49"/>
        <v/>
      </c>
      <c r="C116" s="5" t="str">
        <f t="shared" si="41"/>
        <v/>
      </c>
      <c r="D116" s="5" t="str">
        <f t="shared" si="50"/>
        <v/>
      </c>
      <c r="E116" s="5" t="str">
        <f t="shared" si="51"/>
        <v/>
      </c>
      <c r="F116" s="5" t="str">
        <f>IFERROR(IF($A116="","",_xlfn.XLOOKUP($A116,PersonaB!B:B,PersonaB!Q:Q,,,-1)),0)</f>
        <v/>
      </c>
      <c r="G116" s="5" t="str">
        <f t="shared" si="42"/>
        <v/>
      </c>
      <c r="H116" s="5" t="str">
        <f t="shared" si="52"/>
        <v/>
      </c>
      <c r="I116" s="5" t="str">
        <f t="shared" si="43"/>
        <v/>
      </c>
      <c r="J116" s="5" t="str">
        <f t="shared" si="53"/>
        <v/>
      </c>
      <c r="K116" s="5" t="str">
        <f t="shared" si="40"/>
        <v/>
      </c>
      <c r="L116" s="5" t="str">
        <f t="shared" si="44"/>
        <v/>
      </c>
      <c r="M116" s="5" t="str">
        <f t="shared" si="45"/>
        <v/>
      </c>
      <c r="N116" s="5" t="str">
        <f t="shared" si="54"/>
        <v/>
      </c>
      <c r="O116" s="5" t="str">
        <f t="shared" si="55"/>
        <v/>
      </c>
      <c r="P116" s="5" t="str">
        <f t="shared" si="55"/>
        <v/>
      </c>
      <c r="Q116" s="5" t="str">
        <f t="shared" si="55"/>
        <v/>
      </c>
      <c r="R116" s="5" t="str">
        <f t="shared" si="55"/>
        <v/>
      </c>
      <c r="S116" s="5" t="str">
        <f t="shared" si="55"/>
        <v/>
      </c>
      <c r="T116" s="5" t="str">
        <f t="shared" si="14"/>
        <v/>
      </c>
      <c r="U116" s="5" t="str">
        <f t="shared" si="15"/>
        <v/>
      </c>
      <c r="V116" s="5" t="str">
        <f t="shared" si="16"/>
        <v/>
      </c>
      <c r="W116" s="5" t="str">
        <f t="shared" si="17"/>
        <v/>
      </c>
      <c r="X116" s="5" t="str">
        <f t="shared" si="18"/>
        <v/>
      </c>
      <c r="Y116" s="5" t="str">
        <f t="shared" si="19"/>
        <v/>
      </c>
      <c r="Z116" s="5" t="str" cm="1">
        <f t="array" ref="Z116">IF($A116="","",IF(AND(SpousalTransfer="Yes", TransferDir="Yes"), _xlfn.XLOOKUP($A116, YearlyParamsA!$A:$A, YearlyParamsA!$Z:$Z, 0) * (IFERROR(INDEX(YearlyParamsA!$J:$J, MATCH($A116, YearlyParamsA!$A:$A, 0)-1),0)&gt;=500000), 0))</f>
        <v/>
      </c>
      <c r="AA116" s="5" t="str">
        <f t="shared" si="46"/>
        <v/>
      </c>
      <c r="AB116" s="5" t="str">
        <f t="shared" si="47"/>
        <v/>
      </c>
    </row>
    <row r="117" spans="1:28" x14ac:dyDescent="0.35">
      <c r="A117" s="13" t="str">
        <f t="shared" si="48"/>
        <v/>
      </c>
      <c r="B117" s="5" t="str">
        <f t="shared" si="49"/>
        <v/>
      </c>
      <c r="C117" s="5" t="str">
        <f t="shared" si="41"/>
        <v/>
      </c>
      <c r="D117" s="5" t="str">
        <f t="shared" si="50"/>
        <v/>
      </c>
      <c r="E117" s="5" t="str">
        <f t="shared" si="51"/>
        <v/>
      </c>
      <c r="F117" s="5" t="str">
        <f>IFERROR(IF($A117="","",_xlfn.XLOOKUP($A117,PersonaB!B:B,PersonaB!Q:Q,,,-1)),0)</f>
        <v/>
      </c>
      <c r="G117" s="5" t="str">
        <f t="shared" si="42"/>
        <v/>
      </c>
      <c r="H117" s="5" t="str">
        <f t="shared" si="52"/>
        <v/>
      </c>
      <c r="I117" s="5" t="str">
        <f t="shared" si="43"/>
        <v/>
      </c>
      <c r="J117" s="5" t="str">
        <f t="shared" si="53"/>
        <v/>
      </c>
      <c r="K117" s="5" t="str">
        <f t="shared" si="40"/>
        <v/>
      </c>
      <c r="L117" s="5" t="str">
        <f t="shared" si="44"/>
        <v/>
      </c>
      <c r="M117" s="5" t="str">
        <f t="shared" si="45"/>
        <v/>
      </c>
      <c r="N117" s="5" t="str">
        <f t="shared" si="54"/>
        <v/>
      </c>
      <c r="O117" s="5" t="str">
        <f t="shared" si="55"/>
        <v/>
      </c>
      <c r="P117" s="5" t="str">
        <f t="shared" si="55"/>
        <v/>
      </c>
      <c r="Q117" s="5" t="str">
        <f t="shared" si="55"/>
        <v/>
      </c>
      <c r="R117" s="5" t="str">
        <f t="shared" si="55"/>
        <v/>
      </c>
      <c r="S117" s="5" t="str">
        <f t="shared" si="55"/>
        <v/>
      </c>
      <c r="T117" s="5" t="str">
        <f t="shared" si="14"/>
        <v/>
      </c>
      <c r="U117" s="5" t="str">
        <f t="shared" si="15"/>
        <v/>
      </c>
      <c r="V117" s="5" t="str">
        <f t="shared" si="16"/>
        <v/>
      </c>
      <c r="W117" s="5" t="str">
        <f t="shared" si="17"/>
        <v/>
      </c>
      <c r="X117" s="5" t="str">
        <f t="shared" si="18"/>
        <v/>
      </c>
      <c r="Y117" s="5" t="str">
        <f t="shared" si="19"/>
        <v/>
      </c>
      <c r="Z117" s="5" t="str" cm="1">
        <f t="array" ref="Z117">IF($A117="","",IF(AND(SpousalTransfer="Yes", TransferDir="Yes"), _xlfn.XLOOKUP($A117, YearlyParamsA!$A:$A, YearlyParamsA!$Z:$Z, 0) * (IFERROR(INDEX(YearlyParamsA!$J:$J, MATCH($A117, YearlyParamsA!$A:$A, 0)-1),0)&gt;=500000), 0))</f>
        <v/>
      </c>
      <c r="AA117" s="5" t="str">
        <f t="shared" si="46"/>
        <v/>
      </c>
      <c r="AB117" s="5" t="str">
        <f t="shared" si="47"/>
        <v/>
      </c>
    </row>
    <row r="118" spans="1:28" x14ac:dyDescent="0.35">
      <c r="A118" s="13" t="str">
        <f t="shared" si="48"/>
        <v/>
      </c>
      <c r="B118" s="5" t="str">
        <f t="shared" si="49"/>
        <v/>
      </c>
      <c r="C118" s="5" t="str">
        <f t="shared" si="41"/>
        <v/>
      </c>
      <c r="D118" s="5" t="str">
        <f t="shared" si="50"/>
        <v/>
      </c>
      <c r="E118" s="5" t="str">
        <f t="shared" si="51"/>
        <v/>
      </c>
      <c r="F118" s="5" t="str">
        <f>IFERROR(IF($A118="","",_xlfn.XLOOKUP($A118,PersonaB!B:B,PersonaB!Q:Q,,,-1)),0)</f>
        <v/>
      </c>
      <c r="G118" s="5" t="str">
        <f t="shared" si="42"/>
        <v/>
      </c>
      <c r="H118" s="5" t="str">
        <f t="shared" si="52"/>
        <v/>
      </c>
      <c r="I118" s="5" t="str">
        <f t="shared" si="43"/>
        <v/>
      </c>
      <c r="J118" s="5" t="str">
        <f t="shared" si="53"/>
        <v/>
      </c>
      <c r="K118" s="5" t="str">
        <f t="shared" si="40"/>
        <v/>
      </c>
      <c r="L118" s="5" t="str">
        <f t="shared" si="44"/>
        <v/>
      </c>
      <c r="M118" s="5" t="str">
        <f t="shared" si="45"/>
        <v/>
      </c>
      <c r="N118" s="5" t="str">
        <f t="shared" si="54"/>
        <v/>
      </c>
      <c r="O118" s="5" t="str">
        <f t="shared" si="55"/>
        <v/>
      </c>
      <c r="P118" s="5" t="str">
        <f t="shared" si="55"/>
        <v/>
      </c>
      <c r="Q118" s="5" t="str">
        <f t="shared" si="55"/>
        <v/>
      </c>
      <c r="R118" s="5" t="str">
        <f t="shared" si="55"/>
        <v/>
      </c>
      <c r="S118" s="5" t="str">
        <f t="shared" si="55"/>
        <v/>
      </c>
      <c r="T118" s="5" t="str">
        <f t="shared" si="14"/>
        <v/>
      </c>
      <c r="U118" s="5" t="str">
        <f t="shared" si="15"/>
        <v/>
      </c>
      <c r="V118" s="5" t="str">
        <f t="shared" si="16"/>
        <v/>
      </c>
      <c r="W118" s="5" t="str">
        <f t="shared" si="17"/>
        <v/>
      </c>
      <c r="X118" s="5" t="str">
        <f t="shared" si="18"/>
        <v/>
      </c>
      <c r="Y118" s="5" t="str">
        <f t="shared" si="19"/>
        <v/>
      </c>
      <c r="Z118" s="5" t="str" cm="1">
        <f t="array" ref="Z118">IF($A118="","",IF(AND(SpousalTransfer="Yes", TransferDir="Yes"), _xlfn.XLOOKUP($A118, YearlyParamsA!$A:$A, YearlyParamsA!$Z:$Z, 0) * (IFERROR(INDEX(YearlyParamsA!$J:$J, MATCH($A118, YearlyParamsA!$A:$A, 0)-1),0)&gt;=500000), 0))</f>
        <v/>
      </c>
      <c r="AA118" s="5" t="str">
        <f t="shared" si="46"/>
        <v/>
      </c>
      <c r="AB118" s="5" t="str">
        <f t="shared" si="47"/>
        <v/>
      </c>
    </row>
    <row r="119" spans="1:28" x14ac:dyDescent="0.35">
      <c r="A119" s="13" t="str">
        <f t="shared" si="48"/>
        <v/>
      </c>
      <c r="B119" s="5" t="str">
        <f t="shared" si="49"/>
        <v/>
      </c>
      <c r="C119" s="5" t="str">
        <f t="shared" si="41"/>
        <v/>
      </c>
      <c r="D119" s="5" t="str">
        <f t="shared" si="50"/>
        <v/>
      </c>
      <c r="E119" s="5" t="str">
        <f t="shared" si="51"/>
        <v/>
      </c>
      <c r="F119" s="5" t="str">
        <f>IFERROR(IF($A119="","",_xlfn.XLOOKUP($A119,PersonaB!B:B,PersonaB!Q:Q,,,-1)),0)</f>
        <v/>
      </c>
      <c r="G119" s="5" t="str">
        <f t="shared" si="42"/>
        <v/>
      </c>
      <c r="H119" s="5" t="str">
        <f t="shared" si="52"/>
        <v/>
      </c>
      <c r="I119" s="5" t="str">
        <f t="shared" si="43"/>
        <v/>
      </c>
      <c r="J119" s="5" t="str">
        <f t="shared" si="53"/>
        <v/>
      </c>
      <c r="K119" s="5" t="str">
        <f t="shared" si="40"/>
        <v/>
      </c>
      <c r="L119" s="5" t="str">
        <f t="shared" si="44"/>
        <v/>
      </c>
      <c r="M119" s="5" t="str">
        <f t="shared" si="45"/>
        <v/>
      </c>
      <c r="N119" s="5" t="str">
        <f t="shared" si="54"/>
        <v/>
      </c>
      <c r="O119" s="5" t="str">
        <f t="shared" si="55"/>
        <v/>
      </c>
      <c r="P119" s="5" t="str">
        <f t="shared" si="55"/>
        <v/>
      </c>
      <c r="Q119" s="5" t="str">
        <f t="shared" si="55"/>
        <v/>
      </c>
      <c r="R119" s="5" t="str">
        <f t="shared" si="55"/>
        <v/>
      </c>
      <c r="S119" s="5" t="str">
        <f t="shared" si="55"/>
        <v/>
      </c>
      <c r="T119" s="5" t="str">
        <f t="shared" si="14"/>
        <v/>
      </c>
      <c r="U119" s="5" t="str">
        <f t="shared" si="15"/>
        <v/>
      </c>
      <c r="V119" s="5" t="str">
        <f t="shared" si="16"/>
        <v/>
      </c>
      <c r="W119" s="5" t="str">
        <f t="shared" si="17"/>
        <v/>
      </c>
      <c r="X119" s="5" t="str">
        <f t="shared" si="18"/>
        <v/>
      </c>
      <c r="Y119" s="5" t="str">
        <f t="shared" si="19"/>
        <v/>
      </c>
      <c r="Z119" s="5" t="str" cm="1">
        <f t="array" ref="Z119">IF($A119="","",IF(AND(SpousalTransfer="Yes", TransferDir="Yes"), _xlfn.XLOOKUP($A119, YearlyParamsA!$A:$A, YearlyParamsA!$Z:$Z, 0) * (IFERROR(INDEX(YearlyParamsA!$J:$J, MATCH($A119, YearlyParamsA!$A:$A, 0)-1),0)&gt;=500000), 0))</f>
        <v/>
      </c>
      <c r="AA119" s="5" t="str">
        <f t="shared" si="46"/>
        <v/>
      </c>
      <c r="AB119" s="5" t="str">
        <f t="shared" si="47"/>
        <v/>
      </c>
    </row>
    <row r="120" spans="1:28" x14ac:dyDescent="0.35">
      <c r="A120" s="13" t="str">
        <f t="shared" si="48"/>
        <v/>
      </c>
      <c r="B120" s="5" t="str">
        <f t="shared" si="49"/>
        <v/>
      </c>
      <c r="C120" s="5" t="str">
        <f t="shared" si="41"/>
        <v/>
      </c>
      <c r="D120" s="5" t="str">
        <f t="shared" si="50"/>
        <v/>
      </c>
      <c r="E120" s="5" t="str">
        <f t="shared" si="51"/>
        <v/>
      </c>
      <c r="F120" s="5" t="str">
        <f>IFERROR(IF($A120="","",_xlfn.XLOOKUP($A120,PersonaB!B:B,PersonaB!Q:Q,,,-1)),0)</f>
        <v/>
      </c>
      <c r="G120" s="5" t="str">
        <f t="shared" si="42"/>
        <v/>
      </c>
      <c r="H120" s="5" t="str">
        <f t="shared" si="52"/>
        <v/>
      </c>
      <c r="I120" s="5" t="str">
        <f t="shared" si="43"/>
        <v/>
      </c>
      <c r="J120" s="5" t="str">
        <f t="shared" si="53"/>
        <v/>
      </c>
      <c r="K120" s="5" t="str">
        <f t="shared" si="40"/>
        <v/>
      </c>
      <c r="L120" s="5" t="str">
        <f t="shared" si="44"/>
        <v/>
      </c>
      <c r="M120" s="5" t="str">
        <f t="shared" si="45"/>
        <v/>
      </c>
      <c r="N120" s="5" t="str">
        <f t="shared" si="54"/>
        <v/>
      </c>
      <c r="O120" s="5" t="str">
        <f t="shared" si="55"/>
        <v/>
      </c>
      <c r="P120" s="5" t="str">
        <f t="shared" si="55"/>
        <v/>
      </c>
      <c r="Q120" s="5" t="str">
        <f t="shared" si="55"/>
        <v/>
      </c>
      <c r="R120" s="5" t="str">
        <f t="shared" si="55"/>
        <v/>
      </c>
      <c r="S120" s="5" t="str">
        <f t="shared" si="55"/>
        <v/>
      </c>
      <c r="T120" s="5" t="str">
        <f t="shared" si="14"/>
        <v/>
      </c>
      <c r="U120" s="5" t="str">
        <f t="shared" si="15"/>
        <v/>
      </c>
      <c r="V120" s="5" t="str">
        <f t="shared" si="16"/>
        <v/>
      </c>
      <c r="W120" s="5" t="str">
        <f t="shared" si="17"/>
        <v/>
      </c>
      <c r="X120" s="5" t="str">
        <f t="shared" si="18"/>
        <v/>
      </c>
      <c r="Y120" s="5" t="str">
        <f t="shared" si="19"/>
        <v/>
      </c>
      <c r="Z120" s="5" t="str" cm="1">
        <f t="array" ref="Z120">IF($A120="","",IF(AND(SpousalTransfer="Yes", TransferDir="Yes"), _xlfn.XLOOKUP($A120, YearlyParamsA!$A:$A, YearlyParamsA!$Z:$Z, 0) * (IFERROR(INDEX(YearlyParamsA!$J:$J, MATCH($A120, YearlyParamsA!$A:$A, 0)-1),0)&gt;=500000), 0))</f>
        <v/>
      </c>
      <c r="AA120" s="5" t="str">
        <f t="shared" si="46"/>
        <v/>
      </c>
      <c r="AB120" s="5" t="str">
        <f t="shared" si="47"/>
        <v/>
      </c>
    </row>
    <row r="121" spans="1:28" x14ac:dyDescent="0.35">
      <c r="A121" s="13" t="str">
        <f t="shared" si="48"/>
        <v/>
      </c>
      <c r="B121" s="5" t="str">
        <f t="shared" si="49"/>
        <v/>
      </c>
      <c r="C121" s="5" t="str">
        <f t="shared" si="41"/>
        <v/>
      </c>
      <c r="D121" s="5" t="str">
        <f t="shared" si="50"/>
        <v/>
      </c>
      <c r="E121" s="5" t="str">
        <f t="shared" si="51"/>
        <v/>
      </c>
      <c r="F121" s="5" t="str">
        <f>IFERROR(IF($A121="","",_xlfn.XLOOKUP($A121,PersonaB!B:B,PersonaB!Q:Q,,,-1)),0)</f>
        <v/>
      </c>
      <c r="G121" s="5" t="str">
        <f t="shared" si="42"/>
        <v/>
      </c>
      <c r="H121" s="5" t="str">
        <f t="shared" si="52"/>
        <v/>
      </c>
      <c r="I121" s="5" t="str">
        <f t="shared" si="43"/>
        <v/>
      </c>
      <c r="J121" s="5" t="str">
        <f t="shared" si="53"/>
        <v/>
      </c>
      <c r="K121" s="5" t="str">
        <f t="shared" si="40"/>
        <v/>
      </c>
      <c r="L121" s="5" t="str">
        <f t="shared" si="44"/>
        <v/>
      </c>
      <c r="M121" s="5" t="str">
        <f t="shared" si="45"/>
        <v/>
      </c>
      <c r="N121" s="5" t="str">
        <f t="shared" si="54"/>
        <v/>
      </c>
      <c r="O121" s="5" t="str">
        <f t="shared" si="55"/>
        <v/>
      </c>
      <c r="P121" s="5" t="str">
        <f t="shared" si="55"/>
        <v/>
      </c>
      <c r="Q121" s="5" t="str">
        <f t="shared" si="55"/>
        <v/>
      </c>
      <c r="R121" s="5" t="str">
        <f t="shared" si="55"/>
        <v/>
      </c>
      <c r="S121" s="5" t="str">
        <f t="shared" si="55"/>
        <v/>
      </c>
      <c r="T121" s="5" t="str">
        <f t="shared" si="14"/>
        <v/>
      </c>
      <c r="U121" s="5" t="str">
        <f t="shared" si="15"/>
        <v/>
      </c>
      <c r="V121" s="5" t="str">
        <f t="shared" si="16"/>
        <v/>
      </c>
      <c r="W121" s="5" t="str">
        <f t="shared" si="17"/>
        <v/>
      </c>
      <c r="X121" s="5" t="str">
        <f t="shared" si="18"/>
        <v/>
      </c>
      <c r="Y121" s="5" t="str">
        <f t="shared" si="19"/>
        <v/>
      </c>
      <c r="Z121" s="5" t="str" cm="1">
        <f t="array" ref="Z121">IF($A121="","",IF(AND(SpousalTransfer="Yes", TransferDir="Yes"), _xlfn.XLOOKUP($A121, YearlyParamsA!$A:$A, YearlyParamsA!$Z:$Z, 0) * (IFERROR(INDEX(YearlyParamsA!$J:$J, MATCH($A121, YearlyParamsA!$A:$A, 0)-1),0)&gt;=500000), 0))</f>
        <v/>
      </c>
      <c r="AA121" s="5" t="str">
        <f t="shared" si="46"/>
        <v/>
      </c>
      <c r="AB121" s="5" t="str">
        <f t="shared" si="47"/>
        <v/>
      </c>
    </row>
    <row r="122" spans="1:28" x14ac:dyDescent="0.35">
      <c r="A122" s="13" t="str">
        <f t="shared" si="48"/>
        <v/>
      </c>
      <c r="B122" s="5" t="str">
        <f t="shared" si="49"/>
        <v/>
      </c>
      <c r="C122" s="5" t="str">
        <f t="shared" si="41"/>
        <v/>
      </c>
      <c r="D122" s="5" t="str">
        <f t="shared" si="50"/>
        <v/>
      </c>
      <c r="E122" s="5" t="str">
        <f t="shared" si="51"/>
        <v/>
      </c>
      <c r="F122" s="5" t="str">
        <f>IFERROR(IF($A122="","",_xlfn.XLOOKUP($A122,PersonaB!B:B,PersonaB!Q:Q,,,-1)),0)</f>
        <v/>
      </c>
      <c r="G122" s="5" t="str">
        <f t="shared" si="42"/>
        <v/>
      </c>
      <c r="H122" s="5" t="str">
        <f t="shared" si="52"/>
        <v/>
      </c>
      <c r="I122" s="5" t="str">
        <f t="shared" si="43"/>
        <v/>
      </c>
      <c r="J122" s="5" t="str">
        <f t="shared" si="53"/>
        <v/>
      </c>
      <c r="K122" s="5" t="str">
        <f t="shared" si="40"/>
        <v/>
      </c>
      <c r="L122" s="5" t="str">
        <f t="shared" si="44"/>
        <v/>
      </c>
      <c r="M122" s="5" t="str">
        <f t="shared" si="45"/>
        <v/>
      </c>
      <c r="N122" s="5" t="str">
        <f t="shared" si="54"/>
        <v/>
      </c>
      <c r="O122" s="5" t="str">
        <f t="shared" si="55"/>
        <v/>
      </c>
      <c r="P122" s="5" t="str">
        <f t="shared" si="55"/>
        <v/>
      </c>
      <c r="Q122" s="5" t="str">
        <f t="shared" si="55"/>
        <v/>
      </c>
      <c r="R122" s="5" t="str">
        <f t="shared" si="55"/>
        <v/>
      </c>
      <c r="S122" s="5" t="str">
        <f t="shared" si="55"/>
        <v/>
      </c>
      <c r="T122" s="5" t="str">
        <f t="shared" si="14"/>
        <v/>
      </c>
      <c r="U122" s="5" t="str">
        <f t="shared" si="15"/>
        <v/>
      </c>
      <c r="V122" s="5" t="str">
        <f t="shared" si="16"/>
        <v/>
      </c>
      <c r="W122" s="5" t="str">
        <f t="shared" si="17"/>
        <v/>
      </c>
      <c r="X122" s="5" t="str">
        <f t="shared" si="18"/>
        <v/>
      </c>
      <c r="Y122" s="5" t="str">
        <f t="shared" si="19"/>
        <v/>
      </c>
      <c r="Z122" s="5" t="str" cm="1">
        <f t="array" ref="Z122">IF($A122="","",IF(AND(SpousalTransfer="Yes", TransferDir="Yes"), _xlfn.XLOOKUP($A122, YearlyParamsA!$A:$A, YearlyParamsA!$Z:$Z, 0) * (IFERROR(INDEX(YearlyParamsA!$J:$J, MATCH($A122, YearlyParamsA!$A:$A, 0)-1),0)&gt;=500000), 0))</f>
        <v/>
      </c>
      <c r="AA122" s="5" t="str">
        <f t="shared" si="46"/>
        <v/>
      </c>
      <c r="AB122" s="5" t="str">
        <f t="shared" si="47"/>
        <v/>
      </c>
    </row>
    <row r="123" spans="1:28" x14ac:dyDescent="0.35">
      <c r="A123" s="13" t="str">
        <f t="shared" si="48"/>
        <v/>
      </c>
      <c r="B123" s="5" t="str">
        <f t="shared" si="49"/>
        <v/>
      </c>
      <c r="C123" s="5" t="str">
        <f t="shared" si="41"/>
        <v/>
      </c>
      <c r="D123" s="5" t="str">
        <f t="shared" si="50"/>
        <v/>
      </c>
      <c r="E123" s="5" t="str">
        <f t="shared" si="51"/>
        <v/>
      </c>
      <c r="F123" s="5" t="str">
        <f>IFERROR(IF($A123="","",_xlfn.XLOOKUP($A123,PersonaB!B:B,PersonaB!Q:Q,,,-1)),0)</f>
        <v/>
      </c>
      <c r="G123" s="5" t="str">
        <f t="shared" si="42"/>
        <v/>
      </c>
      <c r="H123" s="5" t="str">
        <f t="shared" si="52"/>
        <v/>
      </c>
      <c r="I123" s="5" t="str">
        <f t="shared" si="43"/>
        <v/>
      </c>
      <c r="J123" s="5" t="str">
        <f t="shared" si="53"/>
        <v/>
      </c>
      <c r="K123" s="5" t="str">
        <f t="shared" ref="K123:K128" si="56">IFERROR(IF($A123="", "", J123*(1+SuperReturn*(1-SuperTaxRate)) + (C123+AB123)*(1-SuperTaxRate) - M123), 0)</f>
        <v/>
      </c>
      <c r="L123" s="5" t="str">
        <f t="shared" si="44"/>
        <v/>
      </c>
      <c r="M123" s="5" t="str">
        <f t="shared" si="45"/>
        <v/>
      </c>
      <c r="N123" s="5" t="str">
        <f t="shared" si="54"/>
        <v/>
      </c>
      <c r="O123" s="5" t="str">
        <f t="shared" si="55"/>
        <v/>
      </c>
      <c r="P123" s="5" t="str">
        <f t="shared" si="55"/>
        <v/>
      </c>
      <c r="Q123" s="5" t="str">
        <f t="shared" si="55"/>
        <v/>
      </c>
      <c r="R123" s="5" t="str">
        <f t="shared" si="55"/>
        <v/>
      </c>
      <c r="S123" s="5" t="str">
        <f t="shared" si="55"/>
        <v/>
      </c>
      <c r="T123" s="5" t="str">
        <f t="shared" si="14"/>
        <v/>
      </c>
      <c r="U123" s="5" t="str">
        <f t="shared" si="15"/>
        <v/>
      </c>
      <c r="V123" s="5" t="str">
        <f t="shared" si="16"/>
        <v/>
      </c>
      <c r="W123" s="5" t="str">
        <f t="shared" si="17"/>
        <v/>
      </c>
      <c r="X123" s="5" t="str">
        <f t="shared" si="18"/>
        <v/>
      </c>
      <c r="Y123" s="5" t="str">
        <f t="shared" si="19"/>
        <v/>
      </c>
      <c r="Z123" s="5" t="str" cm="1">
        <f t="array" ref="Z123">IF($A123="","",IF(AND(SpousalTransfer="Yes", TransferDir="Yes"), _xlfn.XLOOKUP($A123, YearlyParamsA!$A:$A, YearlyParamsA!$Z:$Z, 0) * (IFERROR(INDEX(YearlyParamsA!$J:$J, MATCH($A123, YearlyParamsA!$A:$A, 0)-1),0)&gt;=500000), 0))</f>
        <v/>
      </c>
      <c r="AA123" s="5" t="str">
        <f t="shared" si="46"/>
        <v/>
      </c>
      <c r="AB123" s="5" t="str">
        <f t="shared" si="47"/>
        <v/>
      </c>
    </row>
    <row r="124" spans="1:28" x14ac:dyDescent="0.35">
      <c r="A124" s="13" t="str">
        <f t="shared" si="48"/>
        <v/>
      </c>
      <c r="B124" s="5" t="str">
        <f t="shared" si="49"/>
        <v/>
      </c>
      <c r="C124" s="5" t="str">
        <f t="shared" si="41"/>
        <v/>
      </c>
      <c r="D124" s="5" t="str">
        <f t="shared" si="50"/>
        <v/>
      </c>
      <c r="E124" s="5" t="str">
        <f t="shared" si="51"/>
        <v/>
      </c>
      <c r="F124" s="5" t="str">
        <f>IFERROR(IF($A124="","",_xlfn.XLOOKUP($A124,PersonaB!B:B,PersonaB!Q:Q,,,-1)),0)</f>
        <v/>
      </c>
      <c r="G124" s="5" t="str">
        <f t="shared" si="42"/>
        <v/>
      </c>
      <c r="H124" s="5" t="str">
        <f t="shared" si="52"/>
        <v/>
      </c>
      <c r="I124" s="5" t="str">
        <f t="shared" si="43"/>
        <v/>
      </c>
      <c r="J124" s="5" t="str">
        <f t="shared" si="53"/>
        <v/>
      </c>
      <c r="K124" s="5" t="str">
        <f t="shared" si="56"/>
        <v/>
      </c>
      <c r="L124" s="5" t="str">
        <f t="shared" si="44"/>
        <v/>
      </c>
      <c r="M124" s="5" t="str">
        <f t="shared" si="45"/>
        <v/>
      </c>
      <c r="N124" s="5" t="str">
        <f t="shared" si="54"/>
        <v/>
      </c>
      <c r="O124" s="5" t="str">
        <f t="shared" si="55"/>
        <v/>
      </c>
      <c r="P124" s="5" t="str">
        <f t="shared" si="55"/>
        <v/>
      </c>
      <c r="Q124" s="5" t="str">
        <f t="shared" si="55"/>
        <v/>
      </c>
      <c r="R124" s="5" t="str">
        <f t="shared" si="55"/>
        <v/>
      </c>
      <c r="S124" s="5" t="str">
        <f t="shared" si="55"/>
        <v/>
      </c>
      <c r="T124" s="5" t="str">
        <f t="shared" si="14"/>
        <v/>
      </c>
      <c r="U124" s="5" t="str">
        <f t="shared" si="15"/>
        <v/>
      </c>
      <c r="V124" s="5" t="str">
        <f t="shared" si="16"/>
        <v/>
      </c>
      <c r="W124" s="5" t="str">
        <f t="shared" si="17"/>
        <v/>
      </c>
      <c r="X124" s="5" t="str">
        <f t="shared" si="18"/>
        <v/>
      </c>
      <c r="Y124" s="5" t="str">
        <f t="shared" si="19"/>
        <v/>
      </c>
      <c r="Z124" s="5" t="str" cm="1">
        <f t="array" ref="Z124">IF($A124="","",IF(AND(SpousalTransfer="Yes", TransferDir="Yes"), _xlfn.XLOOKUP($A124, YearlyParamsA!$A:$A, YearlyParamsA!$Z:$Z, 0) * (IFERROR(INDEX(YearlyParamsA!$J:$J, MATCH($A124, YearlyParamsA!$A:$A, 0)-1),0)&gt;=500000), 0))</f>
        <v/>
      </c>
      <c r="AA124" s="5" t="str">
        <f t="shared" si="46"/>
        <v/>
      </c>
      <c r="AB124" s="5" t="str">
        <f t="shared" si="47"/>
        <v/>
      </c>
    </row>
    <row r="125" spans="1:28" x14ac:dyDescent="0.35">
      <c r="A125" s="13" t="str">
        <f t="shared" si="48"/>
        <v/>
      </c>
      <c r="B125" s="5" t="str">
        <f t="shared" si="49"/>
        <v/>
      </c>
      <c r="C125" s="5" t="str">
        <f t="shared" si="41"/>
        <v/>
      </c>
      <c r="D125" s="5" t="str">
        <f t="shared" si="50"/>
        <v/>
      </c>
      <c r="E125" s="5" t="str">
        <f t="shared" si="51"/>
        <v/>
      </c>
      <c r="F125" s="5" t="str">
        <f>IFERROR(IF($A125="","",_xlfn.XLOOKUP($A125,PersonaB!B:B,PersonaB!Q:Q,,,-1)),0)</f>
        <v/>
      </c>
      <c r="G125" s="5" t="str">
        <f t="shared" si="42"/>
        <v/>
      </c>
      <c r="H125" s="5" t="str">
        <f t="shared" si="52"/>
        <v/>
      </c>
      <c r="I125" s="5" t="str">
        <f t="shared" si="43"/>
        <v/>
      </c>
      <c r="J125" s="5" t="str">
        <f t="shared" si="53"/>
        <v/>
      </c>
      <c r="K125" s="5" t="str">
        <f t="shared" si="56"/>
        <v/>
      </c>
      <c r="L125" s="5" t="str">
        <f t="shared" si="44"/>
        <v/>
      </c>
      <c r="M125" s="5" t="str">
        <f t="shared" si="45"/>
        <v/>
      </c>
      <c r="N125" s="5" t="str">
        <f t="shared" si="54"/>
        <v/>
      </c>
      <c r="O125" s="5" t="str">
        <f t="shared" si="55"/>
        <v/>
      </c>
      <c r="P125" s="5" t="str">
        <f t="shared" si="55"/>
        <v/>
      </c>
      <c r="Q125" s="5" t="str">
        <f t="shared" si="55"/>
        <v/>
      </c>
      <c r="R125" s="5" t="str">
        <f t="shared" si="55"/>
        <v/>
      </c>
      <c r="S125" s="5" t="str">
        <f t="shared" si="55"/>
        <v/>
      </c>
      <c r="T125" s="5" t="str">
        <f t="shared" si="14"/>
        <v/>
      </c>
      <c r="U125" s="5" t="str">
        <f t="shared" si="15"/>
        <v/>
      </c>
      <c r="V125" s="5" t="str">
        <f t="shared" si="16"/>
        <v/>
      </c>
      <c r="W125" s="5" t="str">
        <f t="shared" si="17"/>
        <v/>
      </c>
      <c r="X125" s="5" t="str">
        <f t="shared" si="18"/>
        <v/>
      </c>
      <c r="Y125" s="5" t="str">
        <f t="shared" si="19"/>
        <v/>
      </c>
      <c r="Z125" s="5" t="str" cm="1">
        <f t="array" ref="Z125">IF($A125="","",IF(AND(SpousalTransfer="Yes", TransferDir="Yes"), _xlfn.XLOOKUP($A125, YearlyParamsA!$A:$A, YearlyParamsA!$Z:$Z, 0) * (IFERROR(INDEX(YearlyParamsA!$J:$J, MATCH($A125, YearlyParamsA!$A:$A, 0)-1),0)&gt;=500000), 0))</f>
        <v/>
      </c>
      <c r="AA125" s="5" t="str">
        <f t="shared" si="46"/>
        <v/>
      </c>
      <c r="AB125" s="5" t="str">
        <f t="shared" si="47"/>
        <v/>
      </c>
    </row>
    <row r="126" spans="1:28" x14ac:dyDescent="0.35">
      <c r="A126" s="13" t="str">
        <f t="shared" si="48"/>
        <v/>
      </c>
      <c r="B126" s="5" t="str">
        <f t="shared" si="49"/>
        <v/>
      </c>
      <c r="C126" s="5" t="str">
        <f t="shared" si="41"/>
        <v/>
      </c>
      <c r="D126" s="5" t="str">
        <f t="shared" si="50"/>
        <v/>
      </c>
      <c r="E126" s="5" t="str">
        <f t="shared" si="51"/>
        <v/>
      </c>
      <c r="F126" s="5" t="str">
        <f>IFERROR(IF($A126="","",_xlfn.XLOOKUP($A126,PersonaB!B:B,PersonaB!Q:Q,,,-1)),0)</f>
        <v/>
      </c>
      <c r="G126" s="5" t="str">
        <f t="shared" si="42"/>
        <v/>
      </c>
      <c r="H126" s="5" t="str">
        <f t="shared" si="52"/>
        <v/>
      </c>
      <c r="I126" s="5" t="str">
        <f t="shared" si="43"/>
        <v/>
      </c>
      <c r="J126" s="5" t="str">
        <f t="shared" si="53"/>
        <v/>
      </c>
      <c r="K126" s="5" t="str">
        <f t="shared" si="56"/>
        <v/>
      </c>
      <c r="L126" s="5" t="str">
        <f t="shared" si="44"/>
        <v/>
      </c>
      <c r="M126" s="5" t="str">
        <f t="shared" si="45"/>
        <v/>
      </c>
      <c r="N126" s="5" t="str">
        <f t="shared" si="54"/>
        <v/>
      </c>
      <c r="O126" s="5" t="str">
        <f t="shared" si="55"/>
        <v/>
      </c>
      <c r="P126" s="5" t="str">
        <f t="shared" si="55"/>
        <v/>
      </c>
      <c r="Q126" s="5" t="str">
        <f t="shared" si="55"/>
        <v/>
      </c>
      <c r="R126" s="5" t="str">
        <f t="shared" si="55"/>
        <v/>
      </c>
      <c r="S126" s="5" t="str">
        <f t="shared" si="55"/>
        <v/>
      </c>
      <c r="T126" s="5" t="str">
        <f t="shared" si="14"/>
        <v/>
      </c>
      <c r="U126" s="5" t="str">
        <f t="shared" si="15"/>
        <v/>
      </c>
      <c r="V126" s="5" t="str">
        <f t="shared" si="16"/>
        <v/>
      </c>
      <c r="W126" s="5" t="str">
        <f t="shared" si="17"/>
        <v/>
      </c>
      <c r="X126" s="5" t="str">
        <f t="shared" si="18"/>
        <v/>
      </c>
      <c r="Y126" s="5" t="str">
        <f t="shared" si="19"/>
        <v/>
      </c>
      <c r="Z126" s="5" t="str" cm="1">
        <f t="array" ref="Z126">IF($A126="","",IF(AND(SpousalTransfer="Yes", TransferDir="Yes"), _xlfn.XLOOKUP($A126, YearlyParamsA!$A:$A, YearlyParamsA!$Z:$Z, 0) * (IFERROR(INDEX(YearlyParamsA!$J:$J, MATCH($A126, YearlyParamsA!$A:$A, 0)-1),0)&gt;=500000), 0))</f>
        <v/>
      </c>
      <c r="AA126" s="5" t="str">
        <f t="shared" si="46"/>
        <v/>
      </c>
      <c r="AB126" s="5" t="str">
        <f t="shared" si="47"/>
        <v/>
      </c>
    </row>
    <row r="127" spans="1:28" x14ac:dyDescent="0.35">
      <c r="A127" s="13" t="str">
        <f t="shared" si="48"/>
        <v/>
      </c>
      <c r="B127" s="5" t="str">
        <f t="shared" si="49"/>
        <v/>
      </c>
      <c r="C127" s="5" t="str">
        <f t="shared" si="41"/>
        <v/>
      </c>
      <c r="D127" s="5" t="str">
        <f t="shared" si="50"/>
        <v/>
      </c>
      <c r="E127" s="5" t="str">
        <f t="shared" si="51"/>
        <v/>
      </c>
      <c r="F127" s="5" t="str">
        <f>IFERROR(IF($A127="","",_xlfn.XLOOKUP($A127,PersonaB!B:B,PersonaB!Q:Q,,,-1)),0)</f>
        <v/>
      </c>
      <c r="G127" s="5" t="str">
        <f t="shared" si="42"/>
        <v/>
      </c>
      <c r="H127" s="5" t="str">
        <f t="shared" si="52"/>
        <v/>
      </c>
      <c r="I127" s="5" t="str">
        <f t="shared" si="43"/>
        <v/>
      </c>
      <c r="J127" s="5" t="str">
        <f t="shared" si="53"/>
        <v/>
      </c>
      <c r="K127" s="5" t="str">
        <f t="shared" si="56"/>
        <v/>
      </c>
      <c r="L127" s="5" t="str">
        <f t="shared" si="44"/>
        <v/>
      </c>
      <c r="M127" s="5" t="str">
        <f t="shared" si="45"/>
        <v/>
      </c>
      <c r="N127" s="5" t="str">
        <f t="shared" si="54"/>
        <v/>
      </c>
      <c r="O127" s="5" t="str">
        <f t="shared" si="55"/>
        <v/>
      </c>
      <c r="P127" s="5" t="str">
        <f t="shared" si="55"/>
        <v/>
      </c>
      <c r="Q127" s="5" t="str">
        <f t="shared" si="55"/>
        <v/>
      </c>
      <c r="R127" s="5" t="str">
        <f t="shared" si="55"/>
        <v/>
      </c>
      <c r="S127" s="5" t="str">
        <f t="shared" si="55"/>
        <v/>
      </c>
      <c r="T127" s="5" t="str">
        <f t="shared" si="14"/>
        <v/>
      </c>
      <c r="U127" s="5" t="str">
        <f t="shared" si="15"/>
        <v/>
      </c>
      <c r="V127" s="5" t="str">
        <f t="shared" si="16"/>
        <v/>
      </c>
      <c r="W127" s="5" t="str">
        <f t="shared" si="17"/>
        <v/>
      </c>
      <c r="X127" s="5" t="str">
        <f t="shared" si="18"/>
        <v/>
      </c>
      <c r="Y127" s="5" t="str">
        <f t="shared" si="19"/>
        <v/>
      </c>
      <c r="Z127" s="5" t="str" cm="1">
        <f t="array" ref="Z127">IF($A127="","",IF(AND(SpousalTransfer="Yes", TransferDir="Yes"), _xlfn.XLOOKUP($A127, YearlyParamsA!$A:$A, YearlyParamsA!$Z:$Z, 0) * (IFERROR(INDEX(YearlyParamsA!$J:$J, MATCH($A127, YearlyParamsA!$A:$A, 0)-1),0)&gt;=500000), 0))</f>
        <v/>
      </c>
      <c r="AA127" s="5" t="str">
        <f t="shared" si="46"/>
        <v/>
      </c>
      <c r="AB127" s="5" t="str">
        <f t="shared" si="47"/>
        <v/>
      </c>
    </row>
    <row r="128" spans="1:28" x14ac:dyDescent="0.35">
      <c r="A128" s="13" t="str">
        <f t="shared" si="48"/>
        <v/>
      </c>
      <c r="B128" s="5" t="str">
        <f t="shared" si="49"/>
        <v/>
      </c>
      <c r="C128" s="5" t="str">
        <f t="shared" si="41"/>
        <v/>
      </c>
      <c r="D128" s="5" t="str">
        <f t="shared" si="50"/>
        <v/>
      </c>
      <c r="E128" s="5" t="str">
        <f t="shared" si="51"/>
        <v/>
      </c>
      <c r="F128" s="5" t="str">
        <f>IFERROR(IF($A128="","",_xlfn.XLOOKUP($A128,PersonaB!B:B,PersonaB!Q:Q,,,-1)),0)</f>
        <v/>
      </c>
      <c r="G128" s="5" t="str">
        <f t="shared" si="42"/>
        <v/>
      </c>
      <c r="H128" s="5" t="str">
        <f t="shared" si="52"/>
        <v/>
      </c>
      <c r="I128" s="5" t="str">
        <f t="shared" si="43"/>
        <v/>
      </c>
      <c r="J128" s="5" t="str">
        <f t="shared" si="53"/>
        <v/>
      </c>
      <c r="K128" s="5" t="str">
        <f t="shared" si="56"/>
        <v/>
      </c>
      <c r="L128" s="5" t="str">
        <f t="shared" si="44"/>
        <v/>
      </c>
      <c r="M128" s="5" t="str">
        <f t="shared" si="45"/>
        <v/>
      </c>
      <c r="N128" s="5" t="str">
        <f t="shared" si="54"/>
        <v/>
      </c>
      <c r="O128" s="5" t="str">
        <f t="shared" si="55"/>
        <v/>
      </c>
      <c r="P128" s="5" t="str">
        <f t="shared" si="55"/>
        <v/>
      </c>
      <c r="Q128" s="5" t="str">
        <f t="shared" si="55"/>
        <v/>
      </c>
      <c r="R128" s="5" t="str">
        <f t="shared" si="55"/>
        <v/>
      </c>
      <c r="S128" s="5" t="str">
        <f t="shared" si="55"/>
        <v/>
      </c>
      <c r="T128" s="5" t="str">
        <f t="shared" si="14"/>
        <v/>
      </c>
      <c r="U128" s="5" t="str">
        <f t="shared" si="15"/>
        <v/>
      </c>
      <c r="V128" s="5" t="str">
        <f t="shared" si="16"/>
        <v/>
      </c>
      <c r="W128" s="5" t="str">
        <f t="shared" si="17"/>
        <v/>
      </c>
      <c r="X128" s="5" t="str">
        <f t="shared" si="18"/>
        <v/>
      </c>
      <c r="Y128" s="5" t="str">
        <f t="shared" si="19"/>
        <v/>
      </c>
      <c r="Z128" s="5" t="str" cm="1">
        <f t="array" ref="Z128">IF($A128="","",IF(AND(SpousalTransfer="Yes", TransferDir="Yes"), _xlfn.XLOOKUP($A128, YearlyParamsA!$A:$A, YearlyParamsA!$Z:$Z, 0) * (IFERROR(INDEX(YearlyParamsA!$J:$J, MATCH($A128, YearlyParamsA!$A:$A, 0)-1),0)&gt;=500000), 0))</f>
        <v/>
      </c>
      <c r="AA128" s="5" t="str">
        <f t="shared" si="46"/>
        <v/>
      </c>
      <c r="AB128" s="5" t="str">
        <f t="shared" si="47"/>
        <v/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5B6B-89A9-49B3-A08D-DF062F4C9522}">
  <sheetPr>
    <tabColor rgb="FF023E8A"/>
  </sheetPr>
  <dimension ref="A1:AH44"/>
  <sheetViews>
    <sheetView workbookViewId="0">
      <pane ySplit="1" topLeftCell="A2" activePane="bottomLeft" state="frozen"/>
      <selection activeCell="F54" sqref="F54"/>
      <selection pane="bottomLeft" activeCell="H46" sqref="H46"/>
    </sheetView>
  </sheetViews>
  <sheetFormatPr defaultColWidth="8.453125" defaultRowHeight="14.5" x14ac:dyDescent="0.35"/>
  <cols>
    <col min="2" max="4" width="21.08984375" style="5" customWidth="1"/>
    <col min="5" max="7" width="18.36328125" style="5" customWidth="1"/>
    <col min="8" max="8" width="26.7265625" style="5" customWidth="1"/>
    <col min="9" max="9" width="29.90625" style="5" customWidth="1"/>
    <col min="10" max="10" width="19.08984375" style="5" customWidth="1"/>
    <col min="11" max="11" width="22.08984375" style="5" customWidth="1"/>
    <col min="12" max="12" width="19.36328125" style="5" customWidth="1"/>
    <col min="13" max="13" width="21.26953125" style="5" customWidth="1"/>
    <col min="14" max="14" width="24" style="5" customWidth="1"/>
    <col min="15" max="15" width="18.7265625" style="5" customWidth="1"/>
    <col min="16" max="16" width="40.36328125" style="5" customWidth="1"/>
    <col min="17" max="17" width="32.1796875" style="5" customWidth="1"/>
    <col min="18" max="18" width="37.26953125" style="5" customWidth="1"/>
    <col min="19" max="19" width="20.81640625" customWidth="1"/>
    <col min="20" max="20" width="14.90625" customWidth="1"/>
    <col min="21" max="21" width="21.36328125" customWidth="1"/>
    <col min="22" max="22" width="18.7265625" customWidth="1"/>
    <col min="23" max="23" width="22.6328125" customWidth="1"/>
    <col min="24" max="24" width="24.453125" customWidth="1"/>
  </cols>
  <sheetData>
    <row r="1" spans="1:34" x14ac:dyDescent="0.35">
      <c r="A1" s="223" t="s">
        <v>23</v>
      </c>
      <c r="B1" s="223" t="s">
        <v>141</v>
      </c>
      <c r="C1" s="223" t="s">
        <v>73</v>
      </c>
      <c r="D1" s="223" t="s">
        <v>74</v>
      </c>
      <c r="E1" s="223" t="s">
        <v>75</v>
      </c>
      <c r="F1" s="223" t="s">
        <v>76</v>
      </c>
      <c r="G1" s="223" t="s">
        <v>77</v>
      </c>
      <c r="H1" s="223" t="s">
        <v>78</v>
      </c>
      <c r="I1" s="223" t="s">
        <v>142</v>
      </c>
      <c r="J1" s="223" t="s">
        <v>143</v>
      </c>
      <c r="K1" s="223" t="s">
        <v>144</v>
      </c>
      <c r="L1" s="223" t="s">
        <v>145</v>
      </c>
      <c r="M1" s="223" t="s">
        <v>146</v>
      </c>
      <c r="N1" s="223" t="s">
        <v>147</v>
      </c>
      <c r="O1" s="223" t="s">
        <v>148</v>
      </c>
      <c r="P1" s="223" t="s">
        <v>149</v>
      </c>
      <c r="Q1" s="223" t="s">
        <v>150</v>
      </c>
      <c r="R1" s="223" t="s">
        <v>151</v>
      </c>
      <c r="S1" s="223" t="s">
        <v>152</v>
      </c>
      <c r="T1" s="223" t="s">
        <v>52</v>
      </c>
      <c r="U1" s="223" t="s">
        <v>153</v>
      </c>
      <c r="V1" s="223" t="s">
        <v>154</v>
      </c>
      <c r="W1" s="223" t="s">
        <v>155</v>
      </c>
      <c r="X1" s="223" t="s">
        <v>156</v>
      </c>
      <c r="Y1" s="223" t="s">
        <v>157</v>
      </c>
      <c r="Z1" s="223" t="s">
        <v>158</v>
      </c>
      <c r="AA1" s="223" t="s">
        <v>159</v>
      </c>
      <c r="AB1" s="223" t="s">
        <v>160</v>
      </c>
      <c r="AC1" s="223" t="s">
        <v>161</v>
      </c>
      <c r="AD1" s="223" t="s">
        <v>162</v>
      </c>
      <c r="AE1" s="223" t="s">
        <v>163</v>
      </c>
      <c r="AF1" s="223" t="s">
        <v>164</v>
      </c>
      <c r="AG1" s="223" t="s">
        <v>165</v>
      </c>
      <c r="AH1" s="223" t="s">
        <v>166</v>
      </c>
    </row>
    <row r="2" spans="1:34" x14ac:dyDescent="0.35">
      <c r="A2" s="224">
        <f>YEAR(StartYear)</f>
        <v>2027</v>
      </c>
      <c r="B2" s="224">
        <f>ROW()-1</f>
        <v>1</v>
      </c>
      <c r="C2" s="225">
        <f>IFERROR(_xlfn.XLOOKUP($A2,PersonaA!B:B,PersonaA!Q:Q,,,-1),0)</f>
        <v>85100</v>
      </c>
      <c r="D2" s="225">
        <f>IFERROR(_xlfn.XLOOKUP($A2,PersonaB!B:B,PersonaB!Q:Q,,,-1),0)</f>
        <v>124900</v>
      </c>
      <c r="E2" s="225">
        <f>C2+D2</f>
        <v>210000</v>
      </c>
      <c r="F2" s="225">
        <f>IFERROR(SUMIF(PersonaA!B:B,$A2,PersonaA!P:P),0)</f>
        <v>39031.666499719991</v>
      </c>
      <c r="G2" s="225">
        <f>IFERROR(SUMIF(PersonaB!B:B,$A2,PersonaB!P:P),0)</f>
        <v>79829.415094339638</v>
      </c>
      <c r="H2" s="225">
        <f>F2+G2</f>
        <v>118861.08159405962</v>
      </c>
      <c r="I2" s="225">
        <f>IFERROR(_xlfn.XLOOKUP($A2,PersonaA!B:B,PersonaA!S:S,,,-1),0)</f>
        <v>39031.666499719991</v>
      </c>
      <c r="J2" s="225">
        <f>IFERROR(_xlfn.XLOOKUP($A2,PersonaB!B:B,PersonaB!S:S,,,-1),0)</f>
        <v>79829.415094339638</v>
      </c>
      <c r="K2" s="225">
        <f>I2+J2</f>
        <v>118861.08159405962</v>
      </c>
      <c r="L2" s="225">
        <f>IFERROR(_xlfn.XLOOKUP($A2,YearlyParamsA!A:A,YearlyParamsA!K:K,0),0)</f>
        <v>277835</v>
      </c>
      <c r="M2" s="225">
        <f>IFERROR(_xlfn.XLOOKUP($A2,YearlyParamsB!A:A,YearlyParamsB!K:K,0),0)</f>
        <v>325790</v>
      </c>
      <c r="N2" s="225">
        <f>L2+M2</f>
        <v>603625</v>
      </c>
      <c r="O2" s="225">
        <f>IFERROR(_xlfn.XLOOKUP($A2,Loan!R:R,Loan!X:X,,,-1),0)</f>
        <v>2370587.4024000098</v>
      </c>
      <c r="P2" s="225">
        <f>IFERROR(_xlfn.XLOOKUP($A2,Loan!AD:AD,Loan!AJ:AJ,,,-1),0)</f>
        <v>2362494.9504862763</v>
      </c>
      <c r="Q2" s="225">
        <f>IFERROR(_xlfn.XLOOKUP($A2,Loan!B:B,Loan!J:J,,,-1),0)</f>
        <v>2357180.2396100829</v>
      </c>
      <c r="R2" s="225">
        <f>IFERROR(SUMIF(Loan!B:B,$A2,Loan!K:K),0)</f>
        <v>13081.986666666673</v>
      </c>
      <c r="S2" s="225">
        <f>IFERROR(_xlfn.XLOOKUP($A2,Loan!B:B,Loan!L:L,,,-1),0)</f>
        <v>13081.986666666673</v>
      </c>
      <c r="T2" s="225">
        <f>IFERROR(SUMIF(Offset!B:B,$A2,Offset!J:J),0)</f>
        <v>301892.00000000012</v>
      </c>
      <c r="U2" s="225">
        <f>T2</f>
        <v>301892.00000000012</v>
      </c>
      <c r="V2" s="225">
        <f>IFERROR(_xlfn.MAXIFS(Offset!I:I,Offset!B:B,$A2),0)</f>
        <v>301892.00000000012</v>
      </c>
      <c r="W2" s="225">
        <f>IFERROR((AfterTaxA+AfterTaxB)*_xlfn.XLOOKUP(FreqA,Input!B57:B59,Input!C57:C59),0)</f>
        <v>144000</v>
      </c>
      <c r="X2" s="226">
        <f>IF(W2=0,0,(E2-W2)/W2)</f>
        <v>0.45833333333333331</v>
      </c>
      <c r="Y2" s="225">
        <f>IFERROR(_xlfn.XLOOKUP($A2,YearlyParamsA!A:A,YearlyParamsA!M:M,0),0)</f>
        <v>0</v>
      </c>
      <c r="Z2" s="225">
        <f>IFERROR(_xlfn.XLOOKUP($A2,YearlyParamsB!A:A,YearlyParamsB!M:M,0),0)</f>
        <v>15735</v>
      </c>
      <c r="AA2" s="225">
        <f>IFERROR(_xlfn.XLOOKUP($A2,YearlyParamsA!A:A,YearlyParamsA!C:C,0),0)</f>
        <v>17400</v>
      </c>
      <c r="AB2" s="225">
        <f>IFERROR(_xlfn.XLOOKUP($A2,YearlyParamsB!A:A,YearlyParamsB!C:C,0),0)</f>
        <v>27600</v>
      </c>
      <c r="AC2" s="227">
        <f>IFERROR(_xlfn.XLOOKUP($A2,YearlyParamsA!A:A,YearlyParamsA!G:G,0),0)</f>
        <v>0</v>
      </c>
      <c r="AD2" s="227">
        <f>IFERROR(_xlfn.XLOOKUP($A2,YearlyParamsB!A:A,YearlyParamsB!G:G,0),0)</f>
        <v>0</v>
      </c>
      <c r="AE2" s="227">
        <f>IFERROR(_xlfn.XLOOKUP($A2,YearlyParamsA!A:A,YearlyParamsA!D:D,0),0)</f>
        <v>32500</v>
      </c>
      <c r="AF2" s="227">
        <f>IFERROR(_xlfn.XLOOKUP($A2,YearlyParamsA!A:A,YearlyParamsA!AA:AA,0),0)</f>
        <v>85100</v>
      </c>
      <c r="AG2" s="227">
        <f>IFERROR(_xlfn.XLOOKUP($A2,YearlyParamsB!A:A,YearlyParamsB!AB:AB,0),0)</f>
        <v>124900</v>
      </c>
      <c r="AH2" s="226">
        <f>IF(W2=0,0,(H2)/W2)</f>
        <v>0.8254241777365251</v>
      </c>
    </row>
    <row r="3" spans="1:34" x14ac:dyDescent="0.35">
      <c r="A3" s="13">
        <f t="shared" ref="A3:A16" si="0">IF(ROW() &lt;= ProjYears + 1, A2+1, "")</f>
        <v>2028</v>
      </c>
      <c r="B3" s="13">
        <f>IF($A3="","",ROW()-1)</f>
        <v>2</v>
      </c>
      <c r="C3" s="166">
        <f>IF($A3="","",IFERROR(_xlfn.XLOOKUP($A3,PersonaA!B:B,PersonaA!Q:Q,,,-1),0))</f>
        <v>14665</v>
      </c>
      <c r="D3" s="166">
        <f>IF($A3="","",IFERROR(_xlfn.XLOOKUP($A3,PersonaB!B:B,PersonaB!Q:Q,,,-1),0))</f>
        <v>4210.0000000000036</v>
      </c>
      <c r="E3" s="166">
        <f>IF($A3="","",C3+D3)</f>
        <v>18875.000000000004</v>
      </c>
      <c r="F3" s="166">
        <f>IF($A3="","",IFERROR(SUMIF(PersonaA!B:B,$A3,PersonaA!P:P),0))</f>
        <v>5719.35</v>
      </c>
      <c r="G3" s="166">
        <f>IF($A3="","",IFERROR(SUMIF(PersonaB!B:B,$A3,PersonaB!P:P),0))</f>
        <v>1978.7000000000019</v>
      </c>
      <c r="H3" s="166">
        <f>IF($A3="","",F3+G3)</f>
        <v>7698.050000000002</v>
      </c>
      <c r="I3" s="166">
        <f>IF($A3="","",IFERROR(IF(COUNTIF(PersonaA!B:B,$A3)&gt;0,_xlfn.XLOOKUP($A3,PersonaA!B:B,PersonaA!S:S,,,-1),I2),I2))</f>
        <v>44751.01649971999</v>
      </c>
      <c r="J3" s="166">
        <f>IF($A3="","",IFERROR(_xlfn.XLOOKUP($A3,PersonaB!B:B,PersonaB!S:S,,,-1),0))</f>
        <v>81808.115094339635</v>
      </c>
      <c r="K3" s="166">
        <f>IF($A3="","",I3+J3)</f>
        <v>126559.13159405963</v>
      </c>
      <c r="L3" s="166">
        <f>IF($A3="","",IFERROR(IF(COUNTIF(YearlyParamsA!A:A,$A3)&gt;0,_xlfn.XLOOKUP($A3,YearlyParamsA!A:A,YearlyParamsA!K:K,0),L2),L2))</f>
        <v>321991.18250000005</v>
      </c>
      <c r="M3" s="166">
        <f>IF($A3="","",IFERROR(_xlfn.XLOOKUP($A3,YearlyParamsB!A:A,YearlyParamsB!K:K,0),0))</f>
        <v>372799.50500000006</v>
      </c>
      <c r="N3" s="166">
        <f>IF($A3="","",L3+M3)</f>
        <v>694790.68750000012</v>
      </c>
      <c r="O3" s="166">
        <f>IF($A3="","",IFERROR(_xlfn.XLOOKUP($A3,Loan!R:R,Loan!X:X,,,-1),0))</f>
        <v>2230433.6230245396</v>
      </c>
      <c r="P3" s="166">
        <f>IF($A3="","",IFERROR(_xlfn.XLOOKUP($A3,Loan!AD:AD,Loan!AJ:AJ,,,-1),0))</f>
        <v>2213577.0496793711</v>
      </c>
      <c r="Q3" s="166">
        <f>IF($A3="","",IFERROR(_xlfn.XLOOKUP($A3,Loan!B:B,Loan!J:J,,,-1),0))</f>
        <v>2214733.5509436885</v>
      </c>
      <c r="R3" s="166">
        <f>IF($A3="","",IFERROR(SUMIF(Loan!B:B,$A3,Loan!K:K),0))</f>
        <v>1151.4988333333336</v>
      </c>
      <c r="S3" s="166">
        <f>IF($A3="","",IFERROR(_xlfn.XLOOKUP($A3,Loan!B:B,Loan!L:L,,,-1),0))</f>
        <v>14233.485500000006</v>
      </c>
      <c r="T3" s="166">
        <f>IF($A3="","",IFERROR(SUMIF(Offset!B:B,$A3,Offset!J:J),0))</f>
        <v>26573.050000000007</v>
      </c>
      <c r="U3" s="166">
        <f>IF($A3="","",U2+T3)</f>
        <v>328465.0500000001</v>
      </c>
      <c r="V3" s="166">
        <f>IF($A3="","",IFERROR(_xlfn.MAXIFS(Offset!I:I,Offset!B:B,$A3),0))</f>
        <v>26573.050000000007</v>
      </c>
      <c r="W3" s="166">
        <f t="shared" ref="W3:W14" si="1">IF($A3="","",W2*(1+Inflation))</f>
        <v>147600</v>
      </c>
      <c r="X3" s="20">
        <f>IF($A3="","",IF(W3=0,0,(E3-W3)/W3))</f>
        <v>-0.87212059620596205</v>
      </c>
      <c r="Y3" s="166">
        <f>IF($A3="","",IFERROR(_xlfn.XLOOKUP($A3,YearlyParamsA!A:A,YearlyParamsA!M:M,0),0))</f>
        <v>0</v>
      </c>
      <c r="Z3" s="166">
        <f>IF($A3="","",IFERROR(_xlfn.XLOOKUP($A3,YearlyParamsB!A:A,YearlyParamsB!M:M,0),0))</f>
        <v>0</v>
      </c>
      <c r="AA3" s="166">
        <f>IF($A3="","",IFERROR(_xlfn.XLOOKUP($A3,YearlyParamsA!A:A,YearlyParamsA!C:C,0),0))</f>
        <v>17835</v>
      </c>
      <c r="AB3" s="166">
        <f>IF($A3="","",IFERROR(_xlfn.XLOOKUP($A3,YearlyParamsB!A:A,YearlyParamsB!C:C,0),0))</f>
        <v>28289.999999999996</v>
      </c>
      <c r="AC3" s="19">
        <f>IF($A3="","",IFERROR(_xlfn.XLOOKUP($A3,YearlyParamsA!A:A,YearlyParamsA!G:G,0),0))</f>
        <v>0</v>
      </c>
      <c r="AD3" s="19">
        <f>IF($A3="","",IFERROR(_xlfn.XLOOKUP($A3,YearlyParamsB!A:A,YearlyParamsB!G:G,0),0))</f>
        <v>0</v>
      </c>
      <c r="AE3" s="19">
        <f>IF($A3="","",IFERROR(_xlfn.XLOOKUP($A3,YearlyParamsA!A:A,YearlyParamsA!D:D,0),0))</f>
        <v>32500</v>
      </c>
      <c r="AF3" s="19">
        <f>IF($A3="","",IFERROR(_xlfn.XLOOKUP($A3,YearlyParamsA!A:A,YearlyParamsA!AA:AA,0),0))</f>
        <v>14665</v>
      </c>
      <c r="AG3" s="19">
        <f>IF($A3="","",IFERROR(_xlfn.XLOOKUP($A3,YearlyParamsB!A:A,YearlyParamsB!AB:AB,0),0))</f>
        <v>4210.0000000000036</v>
      </c>
      <c r="AH3" s="20">
        <f>IF($A3="","",IF(W3=0,0,(H3)/W3))</f>
        <v>5.2154810298102997E-2</v>
      </c>
    </row>
    <row r="4" spans="1:34" x14ac:dyDescent="0.35">
      <c r="A4" s="224">
        <f t="shared" si="0"/>
        <v>2029</v>
      </c>
      <c r="B4" s="224">
        <f t="shared" ref="B4:B16" si="2">IF($A4="","",ROW()-1)</f>
        <v>3</v>
      </c>
      <c r="C4" s="225">
        <f>IF($A4="","",IFERROR(_xlfn.XLOOKUP($A4,PersonaA!B:B,PersonaA!Q:Q,,,-1),0))</f>
        <v>16719.125</v>
      </c>
      <c r="D4" s="225">
        <f>IF($A4="","",IFERROR(_xlfn.XLOOKUP($A4,PersonaB!B:B,PersonaB!Q:Q,,,-1),0))</f>
        <v>6002.7500000000073</v>
      </c>
      <c r="E4" s="225">
        <f t="shared" ref="E4:E14" si="3">IF($A4="","",C4+D4)</f>
        <v>22721.875000000007</v>
      </c>
      <c r="F4" s="225">
        <f>IF($A4="","",IFERROR(SUMIF(PersonaA!B:B,$A4,PersonaA!P:P),0))</f>
        <v>6520.4587499999998</v>
      </c>
      <c r="G4" s="225">
        <f>IF($A4="","",IFERROR(SUMIF(PersonaB!B:B,$A4,PersonaB!P:P),0))</f>
        <v>2821.2925000000037</v>
      </c>
      <c r="H4" s="225">
        <f t="shared" ref="H4:H14" si="4">IF($A4="","",F4+G4)</f>
        <v>9341.751250000003</v>
      </c>
      <c r="I4" s="225">
        <f>IF($A4="","",IFERROR(IF(COUNTIF(PersonaA!B:B,$A4)&gt;0,_xlfn.XLOOKUP($A4,PersonaA!B:B,PersonaA!S:S,,,-1),I3),I3))</f>
        <v>51271.475249719995</v>
      </c>
      <c r="J4" s="225">
        <f>IF($A4="","",IFERROR(_xlfn.XLOOKUP($A4,PersonaB!B:B,PersonaB!S:S,,,-1),0))</f>
        <v>84629.407594339646</v>
      </c>
      <c r="K4" s="225">
        <f t="shared" ref="K4:K14" si="5">IF($A4="","",I4+J4)</f>
        <v>135900.88284405964</v>
      </c>
      <c r="L4" s="225">
        <f>IF($A4="","",IFERROR(IF(COUNTIF(YearlyParamsA!A:A,$A4)&gt;0,_xlfn.XLOOKUP($A4,YearlyParamsA!A:A,YearlyParamsA!K:K,0),L3),L3))</f>
        <v>370899.65785875008</v>
      </c>
      <c r="M4" s="225">
        <f>IF($A4="","",IFERROR(_xlfn.XLOOKUP($A4,YearlyParamsB!A:A,YearlyParamsB!K:K,0),0))</f>
        <v>424731.07554750011</v>
      </c>
      <c r="N4" s="225">
        <f t="shared" ref="N4:N14" si="6">IF($A4="","",L4+M4)</f>
        <v>795630.73340625013</v>
      </c>
      <c r="O4" s="225">
        <f>IF($A4="","",IFERROR(_xlfn.XLOOKUP($A4,Loan!R:R,Loan!X:X,,,-1),0))</f>
        <v>2078647.1490836972</v>
      </c>
      <c r="P4" s="225">
        <f>IF($A4="","",IFERROR(_xlfn.XLOOKUP($A4,Loan!AD:AD,Loan!AJ:AJ,,,-1),0))</f>
        <v>2052299.0365506837</v>
      </c>
      <c r="Q4" s="225">
        <f>IF($A4="","",IFERROR(_xlfn.XLOOKUP($A4,Loan!B:B,Loan!J:J,,,-1),0))</f>
        <v>2060220.0183510624</v>
      </c>
      <c r="R4" s="225">
        <f>IF($A4="","",IFERROR(SUMIF(Loan!B:B,$A4,Loan!K:K),0))</f>
        <v>1389.4238041666672</v>
      </c>
      <c r="S4" s="225">
        <f>IF($A4="","",IFERROR(_xlfn.XLOOKUP($A4,Loan!B:B,Loan!L:L,,,-1),0))</f>
        <v>15622.909304166675</v>
      </c>
      <c r="T4" s="225">
        <f>IF($A4="","",IFERROR(SUMIF(Offset!B:B,$A4,Offset!J:J),0))</f>
        <v>32063.626250000016</v>
      </c>
      <c r="U4" s="225">
        <f t="shared" ref="U4:U14" si="7">IF($A4="","",U3+T4)</f>
        <v>360528.67625000014</v>
      </c>
      <c r="V4" s="225">
        <f>IF($A4="","",IFERROR(_xlfn.MAXIFS(Offset!I:I,Offset!B:B,$A4),0))</f>
        <v>32063.626250000016</v>
      </c>
      <c r="W4" s="225">
        <f t="shared" si="1"/>
        <v>151290</v>
      </c>
      <c r="X4" s="226">
        <f t="shared" ref="X4:X14" si="8">IF($A4="","",IF(W4=0,0,(E4-W4)/W4))</f>
        <v>-0.8498124462951947</v>
      </c>
      <c r="Y4" s="225">
        <f>IF($A4="","",IFERROR(_xlfn.XLOOKUP($A4,YearlyParamsA!A:A,YearlyParamsA!M:M,0),0))</f>
        <v>0</v>
      </c>
      <c r="Z4" s="225">
        <f>IF($A4="","",IFERROR(_xlfn.XLOOKUP($A4,YearlyParamsB!A:A,YearlyParamsB!M:M,0),0))</f>
        <v>0</v>
      </c>
      <c r="AA4" s="225">
        <f>IF($A4="","",IFERROR(_xlfn.XLOOKUP($A4,YearlyParamsA!A:A,YearlyParamsA!C:C,0),0))</f>
        <v>18280.875</v>
      </c>
      <c r="AB4" s="225">
        <f>IF($A4="","",IFERROR(_xlfn.XLOOKUP($A4,YearlyParamsB!A:A,YearlyParamsB!C:C,0),0))</f>
        <v>28997.249999999993</v>
      </c>
      <c r="AC4" s="227">
        <f>IF($A4="","",IFERROR(_xlfn.XLOOKUP($A4,YearlyParamsA!A:A,YearlyParamsA!G:G,0),0))</f>
        <v>0</v>
      </c>
      <c r="AD4" s="227">
        <f>IF($A4="","",IFERROR(_xlfn.XLOOKUP($A4,YearlyParamsB!A:A,YearlyParamsB!G:G,0),0))</f>
        <v>0</v>
      </c>
      <c r="AE4" s="227">
        <f>IF($A4="","",IFERROR(_xlfn.XLOOKUP($A4,YearlyParamsA!A:A,YearlyParamsA!D:D,0),0))</f>
        <v>35000</v>
      </c>
      <c r="AF4" s="227">
        <f>IF($A4="","",IFERROR(_xlfn.XLOOKUP($A4,YearlyParamsA!A:A,YearlyParamsA!AA:AA,0),0))</f>
        <v>16719.125</v>
      </c>
      <c r="AG4" s="227">
        <f>IF($A4="","",IFERROR(_xlfn.XLOOKUP($A4,YearlyParamsB!A:A,YearlyParamsB!AB:AB,0),0))</f>
        <v>6002.7500000000073</v>
      </c>
      <c r="AH4" s="226">
        <f t="shared" ref="AH4:AH14" si="9">IF($A4="","",IF(W4=0,0,(H4)/W4))</f>
        <v>6.1747314759732982E-2</v>
      </c>
    </row>
    <row r="5" spans="1:34" x14ac:dyDescent="0.35">
      <c r="A5" s="13">
        <f t="shared" si="0"/>
        <v>2030</v>
      </c>
      <c r="B5" s="13">
        <f t="shared" si="2"/>
        <v>4</v>
      </c>
      <c r="C5" s="166">
        <f>IF($A5="","",IFERROR(_xlfn.XLOOKUP($A5,PersonaA!B:B,PersonaA!Q:Q,,,-1),0))</f>
        <v>16262.103125000001</v>
      </c>
      <c r="D5" s="166">
        <f>IF($A5="","",IFERROR(_xlfn.XLOOKUP($A5,PersonaB!B:B,PersonaB!Q:Q,,,-1),0))</f>
        <v>5277.8187500000131</v>
      </c>
      <c r="E5" s="166">
        <f t="shared" si="3"/>
        <v>21539.921875000015</v>
      </c>
      <c r="F5" s="166">
        <f>IF($A5="","",IFERROR(SUMIF(PersonaA!B:B,$A5,PersonaA!P:P),0))</f>
        <v>6342.2202187500006</v>
      </c>
      <c r="G5" s="166">
        <f>IF($A5="","",IFERROR(SUMIF(PersonaB!B:B,$A5,PersonaB!P:P),0))</f>
        <v>2480.5748125000064</v>
      </c>
      <c r="H5" s="166">
        <f t="shared" si="4"/>
        <v>8822.795031250007</v>
      </c>
      <c r="I5" s="166">
        <f>IF($A5="","",IFERROR(IF(COUNTIF(PersonaA!B:B,$A5)&gt;0,_xlfn.XLOOKUP($A5,PersonaA!B:B,PersonaA!S:S,,,-1),I4),I4))</f>
        <v>57613.695468469996</v>
      </c>
      <c r="J5" s="166">
        <f>IF($A5="","",IFERROR(_xlfn.XLOOKUP($A5,PersonaB!B:B,PersonaB!S:S,,,-1),0))</f>
        <v>87109.982406839656</v>
      </c>
      <c r="K5" s="166">
        <f t="shared" si="5"/>
        <v>144723.67787530966</v>
      </c>
      <c r="L5" s="166">
        <f>IF($A5="","",IFERROR(IF(COUNTIF(YearlyParamsA!A:A,$A5)&gt;0,_xlfn.XLOOKUP($A5,YearlyParamsA!A:A,YearlyParamsA!K:K,0),L4),L4))</f>
        <v>422718.18750134576</v>
      </c>
      <c r="M5" s="166">
        <f>IF($A5="","",IFERROR(_xlfn.XLOOKUP($A5,YearlyParamsB!A:A,YearlyParamsB!K:K,0),0))</f>
        <v>479308.17516757641</v>
      </c>
      <c r="N5" s="166">
        <f t="shared" si="6"/>
        <v>902026.36266892217</v>
      </c>
      <c r="O5" s="166">
        <f>IF($A5="","",IFERROR(_xlfn.XLOOKUP($A5,Loan!R:R,Loan!X:X,,,-1),0))</f>
        <v>1914262.4726657143</v>
      </c>
      <c r="P5" s="166">
        <f>IF($A5="","",IFERROR(_xlfn.XLOOKUP($A5,Loan!AD:AD,Loan!AJ:AJ,,,-1),0))</f>
        <v>1877635.0278734195</v>
      </c>
      <c r="Q5" s="166">
        <f>IF($A5="","",IFERROR(_xlfn.XLOOKUP($A5,Loan!B:B,Loan!J:J,,,-1),0))</f>
        <v>1892957.476925662</v>
      </c>
      <c r="R5" s="166">
        <f>IF($A5="","",IFERROR(SUMIF(Loan!B:B,$A5,Loan!K:K),0))</f>
        <v>1315.7177326041678</v>
      </c>
      <c r="S5" s="166">
        <f>IF($A5="","",IFERROR(_xlfn.XLOOKUP($A5,Loan!B:B,Loan!L:L,,,-1),0))</f>
        <v>16938.627036770842</v>
      </c>
      <c r="T5" s="166">
        <f>IF($A5="","",IFERROR(SUMIF(Offset!B:B,$A5,Offset!J:J),0))</f>
        <v>30362.716906250032</v>
      </c>
      <c r="U5" s="166">
        <f t="shared" si="7"/>
        <v>390891.39315625018</v>
      </c>
      <c r="V5" s="166">
        <f>IF($A5="","",IFERROR(_xlfn.MAXIFS(Offset!I:I,Offset!B:B,$A5),0))</f>
        <v>30362.716906250032</v>
      </c>
      <c r="W5" s="166">
        <f t="shared" si="1"/>
        <v>155072.25</v>
      </c>
      <c r="X5" s="20">
        <f t="shared" si="8"/>
        <v>-0.86109750858067768</v>
      </c>
      <c r="Y5" s="166">
        <f>IF($A5="","",IFERROR(_xlfn.XLOOKUP($A5,YearlyParamsA!A:A,YearlyParamsA!M:M,0),0))</f>
        <v>0</v>
      </c>
      <c r="Z5" s="166">
        <f>IF($A5="","",IFERROR(_xlfn.XLOOKUP($A5,YearlyParamsB!A:A,YearlyParamsB!M:M,0),0))</f>
        <v>444.39937499998774</v>
      </c>
      <c r="AA5" s="166">
        <f>IF($A5="","",IFERROR(_xlfn.XLOOKUP($A5,YearlyParamsA!A:A,YearlyParamsA!C:C,0),0))</f>
        <v>18737.896874999999</v>
      </c>
      <c r="AB5" s="166">
        <f>IF($A5="","",IFERROR(_xlfn.XLOOKUP($A5,YearlyParamsB!A:A,YearlyParamsB!C:C,0),0))</f>
        <v>29722.181249999987</v>
      </c>
      <c r="AC5" s="19">
        <f>IF($A5="","",IFERROR(_xlfn.XLOOKUP($A5,YearlyParamsA!A:A,YearlyParamsA!G:G,0),0))</f>
        <v>0</v>
      </c>
      <c r="AD5" s="19">
        <f>IF($A5="","",IFERROR(_xlfn.XLOOKUP($A5,YearlyParamsB!A:A,YearlyParamsB!G:G,0),0))</f>
        <v>0</v>
      </c>
      <c r="AE5" s="19">
        <f>IF($A5="","",IFERROR(_xlfn.XLOOKUP($A5,YearlyParamsA!A:A,YearlyParamsA!D:D,0),0))</f>
        <v>35000</v>
      </c>
      <c r="AF5" s="19">
        <f>IF($A5="","",IFERROR(_xlfn.XLOOKUP($A5,YearlyParamsA!A:A,YearlyParamsA!AA:AA,0),0))</f>
        <v>16262.103125000001</v>
      </c>
      <c r="AG5" s="19">
        <f>IF($A5="","",IFERROR(_xlfn.XLOOKUP($A5,YearlyParamsB!A:A,YearlyParamsB!AB:AB,0),0))</f>
        <v>5277.8187500000131</v>
      </c>
      <c r="AH5" s="20">
        <f t="shared" si="9"/>
        <v>5.6894737976975293E-2</v>
      </c>
    </row>
    <row r="6" spans="1:34" x14ac:dyDescent="0.35">
      <c r="A6" s="224">
        <f t="shared" si="0"/>
        <v>2031</v>
      </c>
      <c r="B6" s="224">
        <f t="shared" si="2"/>
        <v>5</v>
      </c>
      <c r="C6" s="225">
        <f>IF($A6="","",IFERROR(_xlfn.XLOOKUP($A6,PersonaA!B:B,PersonaA!Q:Q,,,-1),0))</f>
        <v>18293.655703125001</v>
      </c>
      <c r="D6" s="225">
        <f>IF($A6="","",IFERROR(_xlfn.XLOOKUP($A6,PersonaB!B:B,PersonaB!Q:Q,,,-1),0))</f>
        <v>7034.7642187500169</v>
      </c>
      <c r="E6" s="225">
        <f t="shared" si="3"/>
        <v>25328.419921875018</v>
      </c>
      <c r="F6" s="225">
        <f>IF($A6="","",IFERROR(SUMIF(PersonaA!B:B,$A6,PersonaA!P:P),0))</f>
        <v>7134.5257242187508</v>
      </c>
      <c r="G6" s="225">
        <f>IF($A6="","",IFERROR(SUMIF(PersonaB!B:B,$A6,PersonaB!P:P),0))</f>
        <v>3306.3391828125082</v>
      </c>
      <c r="H6" s="225">
        <f t="shared" si="4"/>
        <v>10440.864907031259</v>
      </c>
      <c r="I6" s="225">
        <f>IF($A6="","",IFERROR(IF(COUNTIF(PersonaA!B:B,$A6)&gt;0,_xlfn.XLOOKUP($A6,PersonaA!B:B,PersonaA!S:S,,,-1),I5),I5))</f>
        <v>64748.221192688739</v>
      </c>
      <c r="J6" s="225">
        <f>IF($A6="","",IFERROR(_xlfn.XLOOKUP($A6,PersonaB!B:B,PersonaB!S:S,,,-1),0))</f>
        <v>90416.321589652158</v>
      </c>
      <c r="K6" s="225">
        <f t="shared" si="5"/>
        <v>155164.5427823409</v>
      </c>
      <c r="L6" s="225">
        <f>IF($A6="","",IFERROR(IF(COUNTIF(YearlyParamsA!A:A,$A6)&gt;0,_xlfn.XLOOKUP($A6,YearlyParamsA!A:A,YearlyParamsA!K:K,0),L5),L5))</f>
        <v>479744.9196576759</v>
      </c>
      <c r="M6" s="225">
        <f>IF($A6="","",IFERROR(_xlfn.XLOOKUP($A6,YearlyParamsB!A:A,YearlyParamsB!K:K,0),0))</f>
        <v>538646.79695723474</v>
      </c>
      <c r="N6" s="225">
        <f t="shared" si="6"/>
        <v>1018391.7166149106</v>
      </c>
      <c r="O6" s="225">
        <f>IF($A6="","",IFERROR(_xlfn.XLOOKUP($A6,Loan!R:R,Loan!X:X,,,-1),0))</f>
        <v>1736233.9491783269</v>
      </c>
      <c r="P6" s="225">
        <f>IF($A6="","",IFERROR(_xlfn.XLOOKUP($A6,Loan!AD:AD,Loan!AJ:AJ,,,-1),0))</f>
        <v>1688473.9926189194</v>
      </c>
      <c r="Q6" s="225">
        <f>IF($A6="","",IFERROR(_xlfn.XLOOKUP($A6,Loan!B:B,Loan!J:J,,,-1),0))</f>
        <v>1711572.1188825408</v>
      </c>
      <c r="R6" s="225">
        <f>IF($A6="","",IFERROR(SUMIF(Loan!B:B,$A6,Loan!K:K),0))</f>
        <v>1550.0023425859388</v>
      </c>
      <c r="S6" s="225">
        <f>IF($A6="","",IFERROR(_xlfn.XLOOKUP($A6,Loan!B:B,Loan!L:L,,,-1),0))</f>
        <v>18488.629379356778</v>
      </c>
      <c r="T6" s="225">
        <f>IF($A6="","",IFERROR(SUMIF(Offset!B:B,$A6,Offset!J:J),0))</f>
        <v>35769.284828906275</v>
      </c>
      <c r="U6" s="225">
        <f t="shared" si="7"/>
        <v>426660.67798515648</v>
      </c>
      <c r="V6" s="225">
        <f>IF($A6="","",IFERROR(_xlfn.MAXIFS(Offset!I:I,Offset!B:B,$A6),0))</f>
        <v>35769.284828906275</v>
      </c>
      <c r="W6" s="225">
        <f t="shared" si="1"/>
        <v>158949.05624999999</v>
      </c>
      <c r="X6" s="226">
        <f t="shared" si="8"/>
        <v>-0.8406507058334608</v>
      </c>
      <c r="Y6" s="225">
        <f>IF($A6="","",IFERROR(_xlfn.XLOOKUP($A6,YearlyParamsA!A:A,YearlyParamsA!M:M,0),0))</f>
        <v>0</v>
      </c>
      <c r="Z6" s="225">
        <f>IF($A6="","",IFERROR(_xlfn.XLOOKUP($A6,YearlyParamsB!A:A,YearlyParamsB!M:M,0),0))</f>
        <v>1055.2146328125025</v>
      </c>
      <c r="AA6" s="225">
        <f>IF($A6="","",IFERROR(_xlfn.XLOOKUP($A6,YearlyParamsA!A:A,YearlyParamsA!C:C,0),0))</f>
        <v>19206.344296874999</v>
      </c>
      <c r="AB6" s="225">
        <f>IF($A6="","",IFERROR(_xlfn.XLOOKUP($A6,YearlyParamsB!A:A,YearlyParamsB!C:C,0),0))</f>
        <v>30465.235781249983</v>
      </c>
      <c r="AC6" s="227">
        <f>IF($A6="","",IFERROR(_xlfn.XLOOKUP($A6,YearlyParamsA!A:A,YearlyParamsA!G:G,0),0))</f>
        <v>0</v>
      </c>
      <c r="AD6" s="227">
        <f>IF($A6="","",IFERROR(_xlfn.XLOOKUP($A6,YearlyParamsB!A:A,YearlyParamsB!G:G,0),0))</f>
        <v>0</v>
      </c>
      <c r="AE6" s="227">
        <f>IF($A6="","",IFERROR(_xlfn.XLOOKUP($A6,YearlyParamsA!A:A,YearlyParamsA!D:D,0),0))</f>
        <v>37500</v>
      </c>
      <c r="AF6" s="227">
        <f>IF($A6="","",IFERROR(_xlfn.XLOOKUP($A6,YearlyParamsA!A:A,YearlyParamsA!AA:AA,0),0))</f>
        <v>18293.655703125001</v>
      </c>
      <c r="AG6" s="227">
        <f>IF($A6="","",IFERROR(_xlfn.XLOOKUP($A6,YearlyParamsB!A:A,YearlyParamsB!AB:AB,0),0))</f>
        <v>7034.7642187500169</v>
      </c>
      <c r="AH6" s="226">
        <f t="shared" si="9"/>
        <v>6.5686863158278486E-2</v>
      </c>
    </row>
    <row r="7" spans="1:34" x14ac:dyDescent="0.35">
      <c r="A7" s="13">
        <f t="shared" si="0"/>
        <v>2032</v>
      </c>
      <c r="B7" s="13">
        <f t="shared" si="2"/>
        <v>6</v>
      </c>
      <c r="C7" s="166">
        <f>IF($A7="","",IFERROR(_xlfn.XLOOKUP($A7,PersonaA!B:B,PersonaA!Q:Q,,,-1),0))</f>
        <v>17813.497095703126</v>
      </c>
      <c r="D7" s="166">
        <f>IF($A7="","",IFERROR(_xlfn.XLOOKUP($A7,PersonaB!B:B,PersonaB!Q:Q,,,-1),0))</f>
        <v>6273.1333242187684</v>
      </c>
      <c r="E7" s="166">
        <f t="shared" si="3"/>
        <v>24086.630419921894</v>
      </c>
      <c r="F7" s="166">
        <f>IF($A7="","",IFERROR(SUMIF(PersonaA!B:B,$A7,PersonaA!P:P),0))</f>
        <v>6947.2638673242191</v>
      </c>
      <c r="G7" s="166">
        <f>IF($A7="","",IFERROR(SUMIF(PersonaB!B:B,$A7,PersonaB!P:P),0))</f>
        <v>2948.3726623828215</v>
      </c>
      <c r="H7" s="166">
        <f t="shared" si="4"/>
        <v>9895.6365297070406</v>
      </c>
      <c r="I7" s="166">
        <f>IF($A7="","",IFERROR(IF(COUNTIF(PersonaA!B:B,$A7)&gt;0,_xlfn.XLOOKUP($A7,PersonaA!B:B,PersonaA!S:S,,,-1),I6),I6))</f>
        <v>71695.485060012958</v>
      </c>
      <c r="J7" s="166">
        <f>IF($A7="","",IFERROR(_xlfn.XLOOKUP($A7,PersonaB!B:B,PersonaB!S:S,,,-1),0))</f>
        <v>93364.694252034984</v>
      </c>
      <c r="K7" s="166">
        <f t="shared" si="5"/>
        <v>165060.17931204796</v>
      </c>
      <c r="L7" s="166">
        <f>IF($A7="","",IFERROR(IF(COUNTIF(YearlyParamsA!A:A,$A7)&gt;0,_xlfn.XLOOKUP($A7,YearlyParamsA!A:A,YearlyParamsA!K:K,0),L6),L6))</f>
        <v>540164.74237730773</v>
      </c>
      <c r="M7" s="166">
        <f>IF($A7="","",IFERROR(_xlfn.XLOOKUP($A7,YearlyParamsB!A:A,YearlyParamsB!K:K,0),0))</f>
        <v>601630.31137755746</v>
      </c>
      <c r="N7" s="166">
        <f t="shared" si="6"/>
        <v>1141795.0537548652</v>
      </c>
      <c r="O7" s="166">
        <f>IF($A7="","",IFERROR(_xlfn.XLOOKUP($A7,Loan!R:R,Loan!X:X,,,-1),0))</f>
        <v>1543429.1460438163</v>
      </c>
      <c r="P7" s="166">
        <f>IF($A7="","",IFERROR(_xlfn.XLOOKUP($A7,Loan!AD:AD,Loan!AJ:AJ,,,-1),0))</f>
        <v>1483612.6847310977</v>
      </c>
      <c r="Q7" s="166">
        <f>IF($A7="","",IFERROR(_xlfn.XLOOKUP($A7,Loan!B:B,Loan!J:J,,,-1),0))</f>
        <v>1515211.2278669656</v>
      </c>
      <c r="R7" s="166">
        <f>IF($A7="","",IFERROR(SUMIF(Loan!B:B,$A7,Loan!K:K),0))</f>
        <v>1472.5649011505868</v>
      </c>
      <c r="S7" s="166">
        <f>IF($A7="","",IFERROR(_xlfn.XLOOKUP($A7,Loan!B:B,Loan!L:L,,,-1),0))</f>
        <v>19961.194280507363</v>
      </c>
      <c r="T7" s="166">
        <f>IF($A7="","",IFERROR(SUMIF(Offset!B:B,$A7,Offset!J:J),0))</f>
        <v>33982.266949628924</v>
      </c>
      <c r="U7" s="166">
        <f t="shared" si="7"/>
        <v>460642.94493478542</v>
      </c>
      <c r="V7" s="166">
        <f>IF($A7="","",IFERROR(_xlfn.MAXIFS(Offset!I:I,Offset!B:B,$A7),0))</f>
        <v>33982.266949628924</v>
      </c>
      <c r="W7" s="166">
        <f t="shared" si="1"/>
        <v>162922.78265624997</v>
      </c>
      <c r="X7" s="20">
        <f t="shared" si="8"/>
        <v>-0.8521592252033765</v>
      </c>
      <c r="Y7" s="166">
        <f>IF($A7="","",IFERROR(_xlfn.XLOOKUP($A7,YearlyParamsA!A:A,YearlyParamsA!M:M,0),0))</f>
        <v>0</v>
      </c>
      <c r="Z7" s="166">
        <f>IF($A7="","",IFERROR(_xlfn.XLOOKUP($A7,YearlyParamsB!A:A,YearlyParamsB!M:M,0),0))</f>
        <v>940.96999863281519</v>
      </c>
      <c r="AA7" s="166">
        <f>IF($A7="","",IFERROR(_xlfn.XLOOKUP($A7,YearlyParamsA!A:A,YearlyParamsA!C:C,0),0))</f>
        <v>19686.502904296874</v>
      </c>
      <c r="AB7" s="166">
        <f>IF($A7="","",IFERROR(_xlfn.XLOOKUP($A7,YearlyParamsB!A:A,YearlyParamsB!C:C,0),0))</f>
        <v>31226.866675781232</v>
      </c>
      <c r="AC7" s="19">
        <f>IF($A7="","",IFERROR(_xlfn.XLOOKUP($A7,YearlyParamsA!A:A,YearlyParamsA!G:G,0),0))</f>
        <v>0</v>
      </c>
      <c r="AD7" s="19">
        <f>IF($A7="","",IFERROR(_xlfn.XLOOKUP($A7,YearlyParamsB!A:A,YearlyParamsB!G:G,0),0))</f>
        <v>0</v>
      </c>
      <c r="AE7" s="19">
        <f>IF($A7="","",IFERROR(_xlfn.XLOOKUP($A7,YearlyParamsA!A:A,YearlyParamsA!D:D,0),0))</f>
        <v>37500</v>
      </c>
      <c r="AF7" s="19">
        <f>IF($A7="","",IFERROR(_xlfn.XLOOKUP($A7,YearlyParamsA!A:A,YearlyParamsA!AA:AA,0),0))</f>
        <v>17813.497095703126</v>
      </c>
      <c r="AG7" s="19">
        <f>IF($A7="","",IFERROR(_xlfn.XLOOKUP($A7,YearlyParamsB!A:A,YearlyParamsB!AB:AB,0),0))</f>
        <v>6273.1333242187684</v>
      </c>
      <c r="AH7" s="20">
        <f t="shared" si="9"/>
        <v>6.0738199829214794E-2</v>
      </c>
    </row>
    <row r="8" spans="1:34" x14ac:dyDescent="0.35">
      <c r="A8" s="224">
        <f t="shared" si="0"/>
        <v>2033</v>
      </c>
      <c r="B8" s="224">
        <f t="shared" si="2"/>
        <v>7</v>
      </c>
      <c r="C8" s="225">
        <f>IF($A8="","",IFERROR(_xlfn.XLOOKUP($A8,PersonaA!B:B,PersonaA!Q:Q,,,-1),0))</f>
        <v>19821.334523095706</v>
      </c>
      <c r="D8" s="225">
        <f>IF($A8="","",IFERROR(_xlfn.XLOOKUP($A8,PersonaB!B:B,PersonaB!Q:Q,,,-1),0))</f>
        <v>7992.4616573242383</v>
      </c>
      <c r="E8" s="225">
        <f t="shared" si="3"/>
        <v>27813.796180419944</v>
      </c>
      <c r="F8" s="225">
        <f>IF($A8="","",IFERROR(SUMIF(PersonaA!B:B,$A8,PersonaA!P:P),0))</f>
        <v>7730.3204640073254</v>
      </c>
      <c r="G8" s="225">
        <f>IF($A8="","",IFERROR(SUMIF(PersonaB!B:B,$A8,PersonaB!P:P),0))</f>
        <v>3756.4569789423922</v>
      </c>
      <c r="H8" s="225">
        <f t="shared" si="4"/>
        <v>11486.777442949719</v>
      </c>
      <c r="I8" s="225">
        <f>IF($A8="","",IFERROR(IF(COUNTIF(PersonaA!B:B,$A8)&gt;0,_xlfn.XLOOKUP($A8,PersonaA!B:B,PersonaA!S:S,,,-1),I7),I7))</f>
        <v>79425.805524020281</v>
      </c>
      <c r="J8" s="225">
        <f>IF($A8="","",IFERROR(_xlfn.XLOOKUP($A8,PersonaB!B:B,PersonaB!S:S,,,-1),0))</f>
        <v>97121.151230977383</v>
      </c>
      <c r="K8" s="225">
        <f t="shared" si="5"/>
        <v>176546.95675499766</v>
      </c>
      <c r="L8" s="225">
        <f>IF($A8="","",IFERROR(IF(COUNTIF(YearlyParamsA!A:A,$A8)&gt;0,_xlfn.XLOOKUP($A8,YearlyParamsA!A:A,YearlyParamsA!K:K,0),L7),L7))</f>
        <v>606304.54454875761</v>
      </c>
      <c r="M8" s="225">
        <f>IF($A8="","",IFERROR(_xlfn.XLOOKUP($A8,YearlyParamsB!A:A,YearlyParamsB!K:K,0),0))</f>
        <v>670228.44565592357</v>
      </c>
      <c r="N8" s="225">
        <f t="shared" si="6"/>
        <v>1276532.9902046812</v>
      </c>
      <c r="O8" s="225">
        <f>IF($A8="","",IFERROR(_xlfn.XLOOKUP($A8,Loan!R:R,Loan!X:X,,,-1),0))</f>
        <v>1334621.6393390223</v>
      </c>
      <c r="P8" s="225">
        <f>IF($A8="","",IFERROR(_xlfn.XLOOKUP($A8,Loan!AD:AD,Loan!AJ:AJ,,,-1),0))</f>
        <v>1261747.9893246449</v>
      </c>
      <c r="Q8" s="225">
        <f>IF($A8="","",IFERROR(_xlfn.XLOOKUP($A8,Loan!B:B,Loan!J:J,,,-1),0))</f>
        <v>1302316.2912914958</v>
      </c>
      <c r="R8" s="225">
        <f>IF($A8="","",IFERROR(SUMIF(Loan!B:B,$A8,Loan!K:K),0))</f>
        <v>1703.024857012686</v>
      </c>
      <c r="S8" s="225">
        <f>IF($A8="","",IFERROR(_xlfn.XLOOKUP($A8,Loan!B:B,Loan!L:L,,,-1),0))</f>
        <v>21664.219137520049</v>
      </c>
      <c r="T8" s="225">
        <f>IF($A8="","",IFERROR(SUMIF(Offset!B:B,$A8,Offset!J:J),0))</f>
        <v>39300.573623369666</v>
      </c>
      <c r="U8" s="225">
        <f t="shared" si="7"/>
        <v>499943.5185581551</v>
      </c>
      <c r="V8" s="225">
        <f>IF($A8="","",IFERROR(_xlfn.MAXIFS(Offset!I:I,Offset!B:B,$A8),0))</f>
        <v>39300.573623369666</v>
      </c>
      <c r="W8" s="225">
        <f t="shared" si="1"/>
        <v>166995.85222265619</v>
      </c>
      <c r="X8" s="226">
        <f t="shared" si="8"/>
        <v>-0.83344618557749739</v>
      </c>
      <c r="Y8" s="225">
        <f>IF($A8="","",IFERROR(_xlfn.XLOOKUP($A8,YearlyParamsA!A:A,YearlyParamsA!M:M,0),0))</f>
        <v>0</v>
      </c>
      <c r="Z8" s="225">
        <f>IF($A8="","",IFERROR(_xlfn.XLOOKUP($A8,YearlyParamsB!A:A,YearlyParamsB!M:M,0),0))</f>
        <v>1198.8692485986357</v>
      </c>
      <c r="AA8" s="225">
        <f>IF($A8="","",IFERROR(_xlfn.XLOOKUP($A8,YearlyParamsA!A:A,YearlyParamsA!C:C,0),0))</f>
        <v>20178.665476904294</v>
      </c>
      <c r="AB8" s="225">
        <f>IF($A8="","",IFERROR(_xlfn.XLOOKUP($A8,YearlyParamsB!A:A,YearlyParamsB!C:C,0),0))</f>
        <v>32007.538342675762</v>
      </c>
      <c r="AC8" s="227">
        <f>IF($A8="","",IFERROR(_xlfn.XLOOKUP($A8,YearlyParamsA!A:A,YearlyParamsA!G:G,0),0))</f>
        <v>0</v>
      </c>
      <c r="AD8" s="227">
        <f>IF($A8="","",IFERROR(_xlfn.XLOOKUP($A8,YearlyParamsB!A:A,YearlyParamsB!G:G,0),0))</f>
        <v>0</v>
      </c>
      <c r="AE8" s="227">
        <f>IF($A8="","",IFERROR(_xlfn.XLOOKUP($A8,YearlyParamsA!A:A,YearlyParamsA!D:D,0),0))</f>
        <v>40000</v>
      </c>
      <c r="AF8" s="227">
        <f>IF($A8="","",IFERROR(_xlfn.XLOOKUP($A8,YearlyParamsA!A:A,YearlyParamsA!AA:AA,0),0))</f>
        <v>19821.334523095706</v>
      </c>
      <c r="AG8" s="227">
        <f>IF($A8="","",IFERROR(_xlfn.XLOOKUP($A8,YearlyParamsB!A:A,YearlyParamsB!AB:AB,0),0))</f>
        <v>7992.4616573242383</v>
      </c>
      <c r="AH8" s="226">
        <f t="shared" si="9"/>
        <v>6.878480686834279E-2</v>
      </c>
    </row>
    <row r="9" spans="1:34" x14ac:dyDescent="0.35">
      <c r="A9" s="13">
        <f t="shared" si="0"/>
        <v>2034</v>
      </c>
      <c r="B9" s="13">
        <f t="shared" si="2"/>
        <v>8</v>
      </c>
      <c r="C9" s="166">
        <f>IF($A9="","",IFERROR(_xlfn.XLOOKUP($A9,PersonaA!B:B,PersonaA!Q:Q,,,-1),0))</f>
        <v>19316.867886173102</v>
      </c>
      <c r="D9" s="166">
        <f>IF($A9="","",IFERROR(_xlfn.XLOOKUP($A9,PersonaB!B:B,PersonaB!Q:Q,,,-1),0))</f>
        <v>7192.2731987573497</v>
      </c>
      <c r="E9" s="166">
        <f t="shared" si="3"/>
        <v>26509.141084930452</v>
      </c>
      <c r="F9" s="166">
        <f>IF($A9="","",IFERROR(SUMIF(PersonaA!B:B,$A9,PersonaA!P:P),0))</f>
        <v>7533.57847560751</v>
      </c>
      <c r="G9" s="166">
        <f>IF($A9="","",IFERROR(SUMIF(PersonaB!B:B,$A9,PersonaB!P:P),0))</f>
        <v>3380.3684034159546</v>
      </c>
      <c r="H9" s="166">
        <f t="shared" si="4"/>
        <v>10913.946879023464</v>
      </c>
      <c r="I9" s="166">
        <f>IF($A9="","",IFERROR(IF(COUNTIF(PersonaA!B:B,$A9)&gt;0,_xlfn.XLOOKUP($A9,PersonaA!B:B,PersonaA!S:S,,,-1),I8),I8))</f>
        <v>86959.383999627797</v>
      </c>
      <c r="J9" s="166">
        <f>IF($A9="","",IFERROR(_xlfn.XLOOKUP($A9,PersonaB!B:B,PersonaB!S:S,,,-1),0))</f>
        <v>100501.51963439333</v>
      </c>
      <c r="K9" s="166">
        <f t="shared" si="5"/>
        <v>187460.90363402112</v>
      </c>
      <c r="L9" s="166">
        <f>IF($A9="","",IFERROR(IF(COUNTIF(YearlyParamsA!A:A,$A9)&gt;0,_xlfn.XLOOKUP($A9,YearlyParamsA!A:A,YearlyParamsA!K:K,0),L8),L8))</f>
        <v>659960.32724616164</v>
      </c>
      <c r="M9" s="166">
        <f>IF($A9="","",IFERROR(_xlfn.XLOOKUP($A9,YearlyParamsB!A:A,YearlyParamsB!K:K,0),0))</f>
        <v>756550.00471295859</v>
      </c>
      <c r="N9" s="166">
        <f t="shared" si="6"/>
        <v>1416510.3319591202</v>
      </c>
      <c r="O9" s="166">
        <f>IF($A9="","",IFERROR(_xlfn.XLOOKUP($A9,Loan!R:R,Loan!X:X,,,-1),0))</f>
        <v>1108483.2125600243</v>
      </c>
      <c r="P9" s="166">
        <f>IF($A9="","",IFERROR(_xlfn.XLOOKUP($A9,Loan!AD:AD,Loan!AJ:AJ,,,-1),0))</f>
        <v>1021468.6336214583</v>
      </c>
      <c r="Q9" s="166">
        <f>IF($A9="","",IFERROR(_xlfn.XLOOKUP($A9,Loan!B:B,Loan!J:J,,,-1),0))</f>
        <v>1071834.5599814651</v>
      </c>
      <c r="R9" s="166">
        <f>IF($A9="","",IFERROR(SUMIF(Loan!B:B,$A9,Loan!K:K),0))</f>
        <v>1621.66714510467</v>
      </c>
      <c r="S9" s="166">
        <f>IF($A9="","",IFERROR(_xlfn.XLOOKUP($A9,Loan!B:B,Loan!L:L,,,-1),0))</f>
        <v>23285.88628262472</v>
      </c>
      <c r="T9" s="166">
        <f>IF($A9="","",IFERROR(SUMIF(Offset!B:B,$A9,Offset!J:J),0))</f>
        <v>37423.087963953927</v>
      </c>
      <c r="U9" s="166">
        <f t="shared" si="7"/>
        <v>537366.60652210901</v>
      </c>
      <c r="V9" s="166">
        <f>IF($A9="","",IFERROR(_xlfn.MAXIFS(Offset!I:I,Offset!B:B,$A9),0))</f>
        <v>37423.087963953927</v>
      </c>
      <c r="W9" s="166">
        <f t="shared" si="1"/>
        <v>171170.74852822258</v>
      </c>
      <c r="X9" s="20">
        <f t="shared" si="8"/>
        <v>-0.84513042495365598</v>
      </c>
      <c r="Y9" s="166">
        <f>IF($A9="","",IFERROR(_xlfn.XLOOKUP($A9,YearlyParamsA!A:A,YearlyParamsA!M:M,0),0))</f>
        <v>0</v>
      </c>
      <c r="Z9" s="166">
        <f>IF($A9="","",IFERROR(_xlfn.XLOOKUP($A9,YearlyParamsB!A:A,YearlyParamsB!M:M,0),0))</f>
        <v>3976.3711627395678</v>
      </c>
      <c r="AA9" s="166">
        <f>IF($A9="","",IFERROR(_xlfn.XLOOKUP($A9,YearlyParamsA!A:A,YearlyParamsA!C:C,0),0))</f>
        <v>20683.132113826898</v>
      </c>
      <c r="AB9" s="166">
        <f>IF($A9="","",IFERROR(_xlfn.XLOOKUP($A9,YearlyParamsB!A:A,YearlyParamsB!C:C,0),0))</f>
        <v>32807.72680124265</v>
      </c>
      <c r="AC9" s="19">
        <f>IF($A9="","",IFERROR(_xlfn.XLOOKUP($A9,YearlyParamsA!A:A,YearlyParamsA!G:G,0),0))</f>
        <v>19316.867886173102</v>
      </c>
      <c r="AD9" s="19">
        <f>IF($A9="","",IFERROR(_xlfn.XLOOKUP($A9,YearlyParamsB!A:A,YearlyParamsB!G:G,0),0))</f>
        <v>0</v>
      </c>
      <c r="AE9" s="19">
        <f>IF($A9="","",IFERROR(_xlfn.XLOOKUP($A9,YearlyParamsA!A:A,YearlyParamsA!D:D,0),0))</f>
        <v>40000</v>
      </c>
      <c r="AF9" s="19">
        <f>IF($A9="","",IFERROR(_xlfn.XLOOKUP($A9,YearlyParamsA!A:A,YearlyParamsA!AA:AA,0),0))</f>
        <v>0</v>
      </c>
      <c r="AG9" s="19">
        <f>IF($A9="","",IFERROR(_xlfn.XLOOKUP($A9,YearlyParamsB!A:A,YearlyParamsB!AB:AB,0),0))</f>
        <v>26509.141084930452</v>
      </c>
      <c r="AH9" s="20">
        <f t="shared" si="9"/>
        <v>6.3760583936594603E-2</v>
      </c>
    </row>
    <row r="10" spans="1:34" x14ac:dyDescent="0.35">
      <c r="A10" s="224">
        <f t="shared" si="0"/>
        <v>2035</v>
      </c>
      <c r="B10" s="224">
        <f t="shared" si="2"/>
        <v>9</v>
      </c>
      <c r="C10" s="225">
        <f>IF($A10="","",IFERROR(_xlfn.XLOOKUP($A10,PersonaA!B:B,PersonaA!Q:Q,,,-1),0))</f>
        <v>21299.789583327431</v>
      </c>
      <c r="D10" s="225">
        <f>IF($A10="","",IFERROR(_xlfn.XLOOKUP($A10,PersonaB!B:B,PersonaB!Q:Q,,,-1),0))</f>
        <v>8872.08002872629</v>
      </c>
      <c r="E10" s="225">
        <f t="shared" si="3"/>
        <v>30171.869612053721</v>
      </c>
      <c r="F10" s="225">
        <f>IF($A10="","",IFERROR(SUMIF(PersonaA!B:B,$A10,PersonaA!P:P),0))</f>
        <v>8306.9179374976975</v>
      </c>
      <c r="G10" s="225">
        <f>IF($A10="","",IFERROR(SUMIF(PersonaB!B:B,$A10,PersonaB!P:P),0))</f>
        <v>4169.8776135013568</v>
      </c>
      <c r="H10" s="225">
        <f t="shared" si="4"/>
        <v>12476.795550999053</v>
      </c>
      <c r="I10" s="225">
        <f>IF($A10="","",IFERROR(IF(COUNTIF(PersonaA!B:B,$A10)&gt;0,_xlfn.XLOOKUP($A10,PersonaA!B:B,PersonaA!S:S,,,-1),I9),I9))</f>
        <v>95266.301937125492</v>
      </c>
      <c r="J10" s="225">
        <f>IF($A10="","",IFERROR(_xlfn.XLOOKUP($A10,PersonaB!B:B,PersonaB!S:S,,,-1),0))</f>
        <v>104671.3972478947</v>
      </c>
      <c r="K10" s="225">
        <f t="shared" si="5"/>
        <v>199937.69918502017</v>
      </c>
      <c r="L10" s="225">
        <f>IF($A10="","",IFERROR(IF(COUNTIF(YearlyParamsA!A:A,$A10)&gt;0,_xlfn.XLOOKUP($A10,YearlyParamsA!A:A,YearlyParamsA!K:K,0),L9),L9))</f>
        <v>717248.14557148004</v>
      </c>
      <c r="M10" s="225">
        <f>IF($A10="","",IFERROR(_xlfn.XLOOKUP($A10,YearlyParamsB!A:A,YearlyParamsB!K:K,0),0))</f>
        <v>851268.77069739997</v>
      </c>
      <c r="N10" s="225">
        <f t="shared" si="6"/>
        <v>1568516.91626888</v>
      </c>
      <c r="O10" s="225">
        <f>IF($A10="","",IFERROR(_xlfn.XLOOKUP($A10,Loan!R:R,Loan!X:X,,,-1),0))</f>
        <v>863575.40788814321</v>
      </c>
      <c r="P10" s="225">
        <f>IF($A10="","",IFERROR(_xlfn.XLOOKUP($A10,Loan!AD:AD,Loan!AJ:AJ,,,-1),0))</f>
        <v>761246.20989888092</v>
      </c>
      <c r="Q10" s="225">
        <f>IF($A10="","",IFERROR(_xlfn.XLOOKUP($A10,Loan!B:B,Loan!J:J,,,-1),0))</f>
        <v>821990.88835392823</v>
      </c>
      <c r="R10" s="225">
        <f>IF($A10="","",IFERROR(SUMIF(Loan!B:B,$A10,Loan!K:K),0))</f>
        <v>1848.1088237322867</v>
      </c>
      <c r="S10" s="225">
        <f>IF($A10="","",IFERROR(_xlfn.XLOOKUP($A10,Loan!B:B,Loan!L:L,,,-1),0))</f>
        <v>25133.995106357008</v>
      </c>
      <c r="T10" s="225">
        <f>IF($A10="","",IFERROR(SUMIF(Offset!B:B,$A10,Offset!J:J),0))</f>
        <v>42648.66516305277</v>
      </c>
      <c r="U10" s="225">
        <f t="shared" si="7"/>
        <v>580015.27168516174</v>
      </c>
      <c r="V10" s="225">
        <f>IF($A10="","",IFERROR(_xlfn.MAXIFS(Offset!I:I,Offset!B:B,$A10),0))</f>
        <v>42648.66516305277</v>
      </c>
      <c r="W10" s="225">
        <f t="shared" si="1"/>
        <v>175450.01724142814</v>
      </c>
      <c r="X10" s="226">
        <f t="shared" si="8"/>
        <v>-0.82803153806171637</v>
      </c>
      <c r="Y10" s="225">
        <f>IF($A10="","",IFERROR(_xlfn.XLOOKUP($A10,YearlyParamsA!A:A,YearlyParamsA!M:M,0),0))</f>
        <v>0</v>
      </c>
      <c r="Z10" s="225">
        <f>IF($A10="","",IFERROR(_xlfn.XLOOKUP($A10,YearlyParamsB!A:A,YearlyParamsB!M:M,0),0))</f>
        <v>4525.7804418080577</v>
      </c>
      <c r="AA10" s="225">
        <f>IF($A10="","",IFERROR(_xlfn.XLOOKUP($A10,YearlyParamsA!A:A,YearlyParamsA!C:C,0),0))</f>
        <v>21200.210416672569</v>
      </c>
      <c r="AB10" s="225">
        <f>IF($A10="","",IFERROR(_xlfn.XLOOKUP($A10,YearlyParamsB!A:A,YearlyParamsB!C:C,0),0))</f>
        <v>33627.91997127371</v>
      </c>
      <c r="AC10" s="227">
        <f>IF($A10="","",IFERROR(_xlfn.XLOOKUP($A10,YearlyParamsA!A:A,YearlyParamsA!G:G,0),0))</f>
        <v>21299.789583327431</v>
      </c>
      <c r="AD10" s="227">
        <f>IF($A10="","",IFERROR(_xlfn.XLOOKUP($A10,YearlyParamsB!A:A,YearlyParamsB!G:G,0),0))</f>
        <v>0</v>
      </c>
      <c r="AE10" s="227">
        <f>IF($A10="","",IFERROR(_xlfn.XLOOKUP($A10,YearlyParamsA!A:A,YearlyParamsA!D:D,0),0))</f>
        <v>42500</v>
      </c>
      <c r="AF10" s="227">
        <f>IF($A10="","",IFERROR(_xlfn.XLOOKUP($A10,YearlyParamsA!A:A,YearlyParamsA!AA:AA,0),0))</f>
        <v>0</v>
      </c>
      <c r="AG10" s="227">
        <f>IF($A10="","",IFERROR(_xlfn.XLOOKUP($A10,YearlyParamsB!A:A,YearlyParamsB!AB:AB,0),0))</f>
        <v>30171.869612053721</v>
      </c>
      <c r="AH10" s="226">
        <f t="shared" si="9"/>
        <v>7.1113105300128571E-2</v>
      </c>
    </row>
    <row r="11" spans="1:34" x14ac:dyDescent="0.35">
      <c r="A11" s="13">
        <f t="shared" si="0"/>
        <v>2036</v>
      </c>
      <c r="B11" s="13">
        <f t="shared" si="2"/>
        <v>10</v>
      </c>
      <c r="C11" s="166">
        <f>IF($A11="","",IFERROR(_xlfn.XLOOKUP($A11,PersonaA!B:B,PersonaA!Q:Q,,,-1),0))</f>
        <v>20769.784322910618</v>
      </c>
      <c r="D11" s="166">
        <f>IF($A11="","",IFERROR(_xlfn.XLOOKUP($A11,PersonaB!B:B,PersonaB!Q:Q,,,-1),0))</f>
        <v>8031.3820294444522</v>
      </c>
      <c r="E11" s="166">
        <f t="shared" si="3"/>
        <v>28801.166352355071</v>
      </c>
      <c r="F11" s="166">
        <f>IF($A11="","",IFERROR(SUMIF(PersonaA!B:B,$A11,PersonaA!P:P),0))</f>
        <v>8100.2158859351412</v>
      </c>
      <c r="G11" s="166">
        <f>IF($A11="","",IFERROR(SUMIF(PersonaB!B:B,$A11,PersonaB!P:P),0))</f>
        <v>3774.7495538388926</v>
      </c>
      <c r="H11" s="166">
        <f t="shared" si="4"/>
        <v>11874.965439774034</v>
      </c>
      <c r="I11" s="166">
        <f>IF($A11="","",IFERROR(IF(COUNTIF(PersonaA!B:B,$A11)&gt;0,_xlfn.XLOOKUP($A11,PersonaA!B:B,PersonaA!S:S,,,-1),I10),I10))</f>
        <v>103366.51782306064</v>
      </c>
      <c r="J11" s="166">
        <f>IF($A11="","",IFERROR(_xlfn.XLOOKUP($A11,PersonaB!B:B,PersonaB!S:S,,,-1),0))</f>
        <v>108446.14680173359</v>
      </c>
      <c r="K11" s="166">
        <f t="shared" si="5"/>
        <v>211812.66462479421</v>
      </c>
      <c r="L11" s="166">
        <f>IF($A11="","",IFERROR(IF(COUNTIF(YearlyParamsA!A:A,$A11)&gt;0,_xlfn.XLOOKUP($A11,YearlyParamsA!A:A,YearlyParamsA!K:K,0),L10),L10))</f>
        <v>778395.09355850914</v>
      </c>
      <c r="M11" s="166">
        <f>IF($A11="","",IFERROR(_xlfn.XLOOKUP($A11,YearlyParamsB!A:A,YearlyParamsB!K:K,0),0))</f>
        <v>951378.40427551616</v>
      </c>
      <c r="N11" s="166">
        <f t="shared" si="6"/>
        <v>1729773.4978340254</v>
      </c>
      <c r="O11" s="166">
        <f>IF($A11="","",IFERROR(_xlfn.XLOOKUP($A11,Loan!R:R,Loan!X:X,,,-1),0))</f>
        <v>598340.37621518609</v>
      </c>
      <c r="P11" s="166">
        <f>IF($A11="","",IFERROR(_xlfn.XLOOKUP($A11,Loan!AD:AD,Loan!AJ:AJ,,,-1),0))</f>
        <v>479425.45334707428</v>
      </c>
      <c r="Q11" s="166">
        <f>IF($A11="","",IFERROR(_xlfn.XLOOKUP($A11,Loan!B:B,Loan!J:J,,,-1),0))</f>
        <v>551497.91631800041</v>
      </c>
      <c r="R11" s="166">
        <f>IF($A11="","",IFERROR(SUMIF(Loan!B:B,$A11,Loan!K:K),0))</f>
        <v>1762.6323776589279</v>
      </c>
      <c r="S11" s="166">
        <f>IF($A11="","",IFERROR(_xlfn.XLOOKUP($A11,Loan!B:B,Loan!L:L,,,-1),0))</f>
        <v>26896.627484015935</v>
      </c>
      <c r="T11" s="166">
        <f>IF($A11="","",IFERROR(SUMIF(Offset!B:B,$A11,Offset!J:J),0))</f>
        <v>40676.131792129105</v>
      </c>
      <c r="U11" s="166">
        <f t="shared" si="7"/>
        <v>620691.40347729088</v>
      </c>
      <c r="V11" s="166">
        <f>IF($A11="","",IFERROR(_xlfn.MAXIFS(Offset!I:I,Offset!B:B,$A11),0))</f>
        <v>40676.131792129105</v>
      </c>
      <c r="W11" s="166">
        <f t="shared" si="1"/>
        <v>179836.26767246381</v>
      </c>
      <c r="X11" s="20">
        <f t="shared" si="8"/>
        <v>-0.8398478420114307</v>
      </c>
      <c r="Y11" s="166">
        <f>IF($A11="","",IFERROR(_xlfn.XLOOKUP($A11,YearlyParamsA!A:A,YearlyParamsA!M:M,0),0))</f>
        <v>0</v>
      </c>
      <c r="Z11" s="166">
        <f>IF($A11="","",IFERROR(_xlfn.XLOOKUP($A11,YearlyParamsB!A:A,YearlyParamsB!M:M,0),0))</f>
        <v>4320.17495285326</v>
      </c>
      <c r="AA11" s="166">
        <f>IF($A11="","",IFERROR(_xlfn.XLOOKUP($A11,YearlyParamsA!A:A,YearlyParamsA!C:C,0),0))</f>
        <v>21730.215677089382</v>
      </c>
      <c r="AB11" s="166">
        <f>IF($A11="","",IFERROR(_xlfn.XLOOKUP($A11,YearlyParamsB!A:A,YearlyParamsB!C:C,0),0))</f>
        <v>34468.617970555548</v>
      </c>
      <c r="AC11" s="19">
        <f>IF($A11="","",IFERROR(_xlfn.XLOOKUP($A11,YearlyParamsA!A:A,YearlyParamsA!G:G,0),0))</f>
        <v>20769.784322910618</v>
      </c>
      <c r="AD11" s="19">
        <f>IF($A11="","",IFERROR(_xlfn.XLOOKUP($A11,YearlyParamsB!A:A,YearlyParamsB!G:G,0),0))</f>
        <v>0</v>
      </c>
      <c r="AE11" s="19">
        <f>IF($A11="","",IFERROR(_xlfn.XLOOKUP($A11,YearlyParamsA!A:A,YearlyParamsA!D:D,0),0))</f>
        <v>42500</v>
      </c>
      <c r="AF11" s="19">
        <f>IF($A11="","",IFERROR(_xlfn.XLOOKUP($A11,YearlyParamsA!A:A,YearlyParamsA!AA:AA,0),0))</f>
        <v>0</v>
      </c>
      <c r="AG11" s="19">
        <f>IF($A11="","",IFERROR(_xlfn.XLOOKUP($A11,YearlyParamsB!A:A,YearlyParamsB!AB:AB,0),0))</f>
        <v>28801.166352355071</v>
      </c>
      <c r="AH11" s="20">
        <f t="shared" si="9"/>
        <v>6.6032094601751495E-2</v>
      </c>
    </row>
    <row r="12" spans="1:34" x14ac:dyDescent="0.35">
      <c r="A12" s="224">
        <f t="shared" si="0"/>
        <v>2037</v>
      </c>
      <c r="B12" s="224">
        <f t="shared" si="2"/>
        <v>11</v>
      </c>
      <c r="C12" s="225">
        <f>IF($A12="","",IFERROR(_xlfn.XLOOKUP($A12,PersonaA!B:B,PersonaA!Q:Q,,,-1),0))</f>
        <v>22726.528930983386</v>
      </c>
      <c r="D12" s="225">
        <f>IF($A12="","",IFERROR(_xlfn.XLOOKUP($A12,PersonaB!B:B,PersonaB!Q:Q,,,-1),0))</f>
        <v>9669.6665801805648</v>
      </c>
      <c r="E12" s="225">
        <f t="shared" si="3"/>
        <v>32396.195511163951</v>
      </c>
      <c r="F12" s="225">
        <f>IF($A12="","",IFERROR(SUMIF(PersonaA!B:B,$A12,PersonaA!P:P),0))</f>
        <v>8863.3462830835197</v>
      </c>
      <c r="G12" s="225">
        <f>IF($A12="","",IFERROR(SUMIF(PersonaB!B:B,$A12,PersonaB!P:P),0))</f>
        <v>4544.7432926848651</v>
      </c>
      <c r="H12" s="225">
        <f t="shared" si="4"/>
        <v>13408.089575768385</v>
      </c>
      <c r="I12" s="225">
        <f>IF($A12="","",IFERROR(IF(COUNTIF(PersonaA!B:B,$A12)&gt;0,_xlfn.XLOOKUP($A12,PersonaA!B:B,PersonaA!S:S,,,-1),I11),I11))</f>
        <v>112229.86410614416</v>
      </c>
      <c r="J12" s="225">
        <f>IF($A12="","",IFERROR(_xlfn.XLOOKUP($A12,PersonaB!B:B,PersonaB!S:S,,,-1),0))</f>
        <v>112990.89009441846</v>
      </c>
      <c r="K12" s="225">
        <f t="shared" si="5"/>
        <v>225220.7542005626</v>
      </c>
      <c r="L12" s="225">
        <f>IF($A12="","",IFERROR(IF(COUNTIF(YearlyParamsA!A:A,$A12)&gt;0,_xlfn.XLOOKUP($A12,YearlyParamsA!A:A,YearlyParamsA!K:K,0),L11),L11))</f>
        <v>843642.05203390459</v>
      </c>
      <c r="M12" s="225">
        <f>IF($A12="","",IFERROR(_xlfn.XLOOKUP($A12,YearlyParamsB!A:A,YearlyParamsB!K:K,0),0))</f>
        <v>1060693.5395945706</v>
      </c>
      <c r="N12" s="225">
        <f t="shared" si="6"/>
        <v>1904335.5916284751</v>
      </c>
      <c r="O12" s="225">
        <f>IF($A12="","",IFERROR(_xlfn.XLOOKUP($A12,Loan!R:R,Loan!X:X,,,-1),0))</f>
        <v>311090.96772529872</v>
      </c>
      <c r="P12" s="225">
        <f>IF($A12="","",IFERROR(_xlfn.XLOOKUP($A12,Loan!AD:AD,Loan!AJ:AJ,,,-1),0))</f>
        <v>174213.71299334816</v>
      </c>
      <c r="Q12" s="225">
        <f>IF($A12="","",IFERROR(_xlfn.XLOOKUP($A12,Loan!B:B,Loan!J:J,,,-1),0))</f>
        <v>258326.41735802946</v>
      </c>
      <c r="R12" s="225">
        <f>IF($A12="","",IFERROR(SUMIF(Loan!B:B,$A12,Loan!K:K),0))</f>
        <v>1984.8523537670678</v>
      </c>
      <c r="S12" s="225">
        <f>IF($A12="","",IFERROR(_xlfn.XLOOKUP($A12,Loan!B:B,Loan!L:L,,,-1),0))</f>
        <v>28881.479837783001</v>
      </c>
      <c r="T12" s="225">
        <f>IF($A12="","",IFERROR(SUMIF(Offset!B:B,$A12,Offset!J:J),0))</f>
        <v>45804.285086932323</v>
      </c>
      <c r="U12" s="225">
        <f t="shared" si="7"/>
        <v>666495.68856422324</v>
      </c>
      <c r="V12" s="225">
        <f>IF($A12="","",IFERROR(_xlfn.MAXIFS(Offset!I:I,Offset!B:B,$A12),0))</f>
        <v>45804.285086932323</v>
      </c>
      <c r="W12" s="225">
        <f t="shared" si="1"/>
        <v>184332.17436427539</v>
      </c>
      <c r="X12" s="226">
        <f t="shared" si="8"/>
        <v>-0.82425099892142051</v>
      </c>
      <c r="Y12" s="225">
        <f>IF($A12="","",IFERROR(_xlfn.XLOOKUP($A12,YearlyParamsA!A:A,YearlyParamsA!M:M,0),0))</f>
        <v>0</v>
      </c>
      <c r="Z12" s="225">
        <f>IF($A12="","",IFERROR(_xlfn.XLOOKUP($A12,YearlyParamsB!A:A,YearlyParamsB!M:M,0),0))</f>
        <v>4859.4293266745926</v>
      </c>
      <c r="AA12" s="225">
        <f>IF($A12="","",IFERROR(_xlfn.XLOOKUP($A12,YearlyParamsA!A:A,YearlyParamsA!C:C,0),0))</f>
        <v>22273.471069016614</v>
      </c>
      <c r="AB12" s="225">
        <f>IF($A12="","",IFERROR(_xlfn.XLOOKUP($A12,YearlyParamsB!A:A,YearlyParamsB!C:C,0),0))</f>
        <v>35330.333419819435</v>
      </c>
      <c r="AC12" s="227">
        <f>IF($A12="","",IFERROR(_xlfn.XLOOKUP($A12,YearlyParamsA!A:A,YearlyParamsA!G:G,0),0))</f>
        <v>22726.528930983386</v>
      </c>
      <c r="AD12" s="227">
        <f>IF($A12="","",IFERROR(_xlfn.XLOOKUP($A12,YearlyParamsB!A:A,YearlyParamsB!G:G,0),0))</f>
        <v>0</v>
      </c>
      <c r="AE12" s="227">
        <f>IF($A12="","",IFERROR(_xlfn.XLOOKUP($A12,YearlyParamsA!A:A,YearlyParamsA!D:D,0),0))</f>
        <v>45000</v>
      </c>
      <c r="AF12" s="227">
        <f>IF($A12="","",IFERROR(_xlfn.XLOOKUP($A12,YearlyParamsA!A:A,YearlyParamsA!AA:AA,0),0))</f>
        <v>0</v>
      </c>
      <c r="AG12" s="227">
        <f>IF($A12="","",IFERROR(_xlfn.XLOOKUP($A12,YearlyParamsB!A:A,YearlyParamsB!AB:AB,0),0))</f>
        <v>32396.195511163951</v>
      </c>
      <c r="AH12" s="226">
        <f t="shared" si="9"/>
        <v>7.273873713045588E-2</v>
      </c>
    </row>
    <row r="13" spans="1:34" x14ac:dyDescent="0.35">
      <c r="A13" s="13">
        <f t="shared" si="0"/>
        <v>2038</v>
      </c>
      <c r="B13" s="13">
        <f t="shared" si="2"/>
        <v>12</v>
      </c>
      <c r="C13" s="166">
        <f>IF($A13="","",IFERROR(_xlfn.XLOOKUP($A13,PersonaA!B:B,PersonaA!Q:Q,,,-1),0))</f>
        <v>22169.692154257973</v>
      </c>
      <c r="D13" s="166">
        <f>IF($A13="","",IFERROR(_xlfn.XLOOKUP($A13,PersonaB!B:B,PersonaB!Q:Q,,,-1),0))</f>
        <v>8786.4082446850807</v>
      </c>
      <c r="E13" s="166">
        <f t="shared" si="3"/>
        <v>30956.100398943054</v>
      </c>
      <c r="F13" s="166">
        <f>IF($A13="","",IFERROR(SUMIF(PersonaA!B:B,$A13,PersonaA!P:P),0))</f>
        <v>10419.755312501249</v>
      </c>
      <c r="G13" s="166">
        <f>IF($A13="","",IFERROR(SUMIF(PersonaB!B:B,$A13,PersonaB!P:P),0))</f>
        <v>4129.6118750019878</v>
      </c>
      <c r="H13" s="166">
        <f t="shared" si="4"/>
        <v>14549.367187503238</v>
      </c>
      <c r="I13" s="166">
        <f>IF($A13="","",IFERROR(IF(COUNTIF(PersonaA!B:B,$A13)&gt;0,_xlfn.XLOOKUP($A13,PersonaA!B:B,PersonaA!S:S,,,-1),I12),I12))</f>
        <v>122649.61941864541</v>
      </c>
      <c r="J13" s="166">
        <f>IF($A13="","",IFERROR(_xlfn.XLOOKUP($A13,PersonaB!B:B,PersonaB!S:S,,,-1),0))</f>
        <v>117120.50196942044</v>
      </c>
      <c r="K13" s="166">
        <f t="shared" si="5"/>
        <v>239770.12138806586</v>
      </c>
      <c r="L13" s="166">
        <f>IF($A13="","",IFERROR(IF(COUNTIF(YearlyParamsA!A:A,$A13)&gt;0,_xlfn.XLOOKUP($A13,YearlyParamsA!A:A,YearlyParamsA!K:K,0),L12),L12))</f>
        <v>913244.51579880272</v>
      </c>
      <c r="M13" s="166">
        <f>IF($A13="","",IFERROR(_xlfn.XLOOKUP($A13,YearlyParamsB!A:A,YearlyParamsB!K:K,0),0))</f>
        <v>1176255.6284717256</v>
      </c>
      <c r="N13" s="166">
        <f t="shared" si="6"/>
        <v>2089500.1442705283</v>
      </c>
      <c r="O13" s="166">
        <f>IF($A13="","",IFERROR(_xlfn.XLOOKUP($A13,Loan!R:R,Loan!X:X,,,-1),0))</f>
        <v>1.4588295016437769E-9</v>
      </c>
      <c r="P13" s="166">
        <f>IF($A13="","",IFERROR(_xlfn.XLOOKUP($A13,Loan!AD:AD,Loan!AJ:AJ,,,-1),0))</f>
        <v>0</v>
      </c>
      <c r="Q13" s="166">
        <f>IF($A13="","",IFERROR(_xlfn.XLOOKUP($A13,Loan!B:B,Loan!J:J,,,-1),0))</f>
        <v>0</v>
      </c>
      <c r="R13" s="166">
        <f>IF($A13="","",IFERROR(SUMIF(Loan!B:B,$A13,Loan!K:K),0))</f>
        <v>1390.4448429191921</v>
      </c>
      <c r="S13" s="166">
        <f>IF($A13="","",IFERROR(_xlfn.XLOOKUP($A13,Loan!B:B,Loan!L:L,,,-1),0))</f>
        <v>30271.924680702195</v>
      </c>
      <c r="T13" s="166">
        <f>IF($A13="","",IFERROR(SUMIF(Offset!B:B,$A13,Offset!J:J),0))</f>
        <v>45505.467586446292</v>
      </c>
      <c r="U13" s="166">
        <f t="shared" si="7"/>
        <v>712001.15615066956</v>
      </c>
      <c r="V13" s="166">
        <f>IF($A13="","",IFERROR(_xlfn.MAXIFS(Offset!I:I,Offset!B:B,$A13),0))</f>
        <v>45505.467586446292</v>
      </c>
      <c r="W13" s="166">
        <f t="shared" si="1"/>
        <v>188940.47872338226</v>
      </c>
      <c r="X13" s="20">
        <f t="shared" si="8"/>
        <v>-0.83615951114284914</v>
      </c>
      <c r="Y13" s="166">
        <f>IF($A13="","",IFERROR(_xlfn.XLOOKUP($A13,YearlyParamsA!A:A,YearlyParamsA!M:M,0),0))</f>
        <v>0</v>
      </c>
      <c r="Z13" s="166">
        <f>IF($A13="","",IFERROR(_xlfn.XLOOKUP($A13,YearlyParamsB!A:A,YearlyParamsB!M:M,0),0))</f>
        <v>4643.4150598414581</v>
      </c>
      <c r="AA13" s="166">
        <f>IF($A13="","",IFERROR(_xlfn.XLOOKUP($A13,YearlyParamsA!A:A,YearlyParamsA!C:C,0),0))</f>
        <v>22830.307845742027</v>
      </c>
      <c r="AB13" s="166">
        <f>IF($A13="","",IFERROR(_xlfn.XLOOKUP($A13,YearlyParamsB!A:A,YearlyParamsB!C:C,0),0))</f>
        <v>36213.591755314919</v>
      </c>
      <c r="AC13" s="19">
        <f>IF($A13="","",IFERROR(_xlfn.XLOOKUP($A13,YearlyParamsA!A:A,YearlyParamsA!G:G,0),0))</f>
        <v>22169.692154257973</v>
      </c>
      <c r="AD13" s="19">
        <f>IF($A13="","",IFERROR(_xlfn.XLOOKUP($A13,YearlyParamsB!A:A,YearlyParamsB!G:G,0),0))</f>
        <v>0</v>
      </c>
      <c r="AE13" s="19">
        <f>IF($A13="","",IFERROR(_xlfn.XLOOKUP($A13,YearlyParamsA!A:A,YearlyParamsA!D:D,0),0))</f>
        <v>45000</v>
      </c>
      <c r="AF13" s="19">
        <f>IF($A13="","",IFERROR(_xlfn.XLOOKUP($A13,YearlyParamsA!A:A,YearlyParamsA!AA:AA,0),0))</f>
        <v>0</v>
      </c>
      <c r="AG13" s="19">
        <f>IF($A13="","",IFERROR(_xlfn.XLOOKUP($A13,YearlyParamsB!A:A,YearlyParamsB!AB:AB,0),0))</f>
        <v>30956.100398943054</v>
      </c>
      <c r="AH13" s="20">
        <f t="shared" si="9"/>
        <v>7.7005029762860902E-2</v>
      </c>
    </row>
    <row r="14" spans="1:34" x14ac:dyDescent="0.35">
      <c r="A14" s="224">
        <f t="shared" si="0"/>
        <v>2039</v>
      </c>
      <c r="B14" s="224">
        <f t="shared" si="2"/>
        <v>13</v>
      </c>
      <c r="C14" s="225">
        <f>IF($A14="","",IFERROR(_xlfn.XLOOKUP($A14,PersonaA!B:B,PersonaA!Q:Q,,,-1),0))</f>
        <v>0</v>
      </c>
      <c r="D14" s="225">
        <f>IF($A14="","",IFERROR(_xlfn.XLOOKUP($A14,PersonaB!B:B,PersonaB!Q:Q,,,-1),0))</f>
        <v>10381.068450802217</v>
      </c>
      <c r="E14" s="225">
        <f t="shared" si="3"/>
        <v>10381.068450802217</v>
      </c>
      <c r="F14" s="225">
        <f>IF($A14="","",IFERROR(SUMIF(PersonaA!B:B,$A14,PersonaA!P:P),0))</f>
        <v>0</v>
      </c>
      <c r="G14" s="225">
        <f>IF($A14="","",IFERROR(SUMIF(PersonaB!B:B,$A14,PersonaB!P:P),0))</f>
        <v>4879.1021718770417</v>
      </c>
      <c r="H14" s="225">
        <f t="shared" si="4"/>
        <v>4879.1021718770417</v>
      </c>
      <c r="I14" s="225">
        <f>IF($A14="","",IFERROR(IF(COUNTIF(PersonaA!B:B,$A14)&gt;0,_xlfn.XLOOKUP($A14,PersonaA!B:B,PersonaA!S:S,,,-1),I13),I13))</f>
        <v>122649.61941864541</v>
      </c>
      <c r="J14" s="225">
        <f>IF($A14="","",IFERROR(_xlfn.XLOOKUP($A14,PersonaB!B:B,PersonaB!S:S,,,-1),0))</f>
        <v>121999.60414129749</v>
      </c>
      <c r="K14" s="225">
        <f t="shared" si="5"/>
        <v>244649.22355994291</v>
      </c>
      <c r="L14" s="225">
        <f>IF($A14="","",IFERROR(IF(COUNTIF(YearlyParamsA!A:A,$A14)&gt;0,_xlfn.XLOOKUP($A14,YearlyParamsA!A:A,YearlyParamsA!K:K,0),L13),L13))</f>
        <v>913244.51579880272</v>
      </c>
      <c r="M14" s="225">
        <f>IF($A14="","",IFERROR(_xlfn.XLOOKUP($A14,YearlyParamsB!A:A,YearlyParamsB!K:K,0),0))</f>
        <v>1285060.6780981731</v>
      </c>
      <c r="N14" s="225">
        <f t="shared" si="6"/>
        <v>2198305.1938969758</v>
      </c>
      <c r="O14" s="225">
        <f>IF($A14="","",IFERROR(_xlfn.XLOOKUP($A14,Loan!R:R,Loan!X:X,,,-1),0))</f>
        <v>0</v>
      </c>
      <c r="P14" s="225">
        <f>IF($A14="","",IFERROR(_xlfn.XLOOKUP($A14,Loan!AD:AD,Loan!AJ:AJ,,,-1),0))</f>
        <v>0</v>
      </c>
      <c r="Q14" s="225">
        <f>IF($A14="","",IFERROR(_xlfn.XLOOKUP($A14,Loan!B:B,Loan!J:J,,,-1),0))</f>
        <v>0</v>
      </c>
      <c r="R14" s="225">
        <f>IF($A14="","",IFERROR(SUMIF(Loan!B:B,$A14,Loan!K:K),0))</f>
        <v>0</v>
      </c>
      <c r="S14" s="225">
        <f>IF($A14="","",IFERROR(_xlfn.XLOOKUP($A14,Loan!B:B,Loan!L:L,,,-1),0))</f>
        <v>30271.924680702195</v>
      </c>
      <c r="T14" s="225">
        <f>IF($A14="","",IFERROR(SUMIF(Offset!B:B,$A14,Offset!J:J),0))</f>
        <v>15260.170622679259</v>
      </c>
      <c r="U14" s="225">
        <f t="shared" si="7"/>
        <v>727261.32677334885</v>
      </c>
      <c r="V14" s="225">
        <f>IF($A14="","",IFERROR(_xlfn.MAXIFS(Offset!I:I,Offset!B:B,$A14),0))</f>
        <v>15260.170622679259</v>
      </c>
      <c r="W14" s="225">
        <f t="shared" si="1"/>
        <v>193663.99069146681</v>
      </c>
      <c r="X14" s="226">
        <f t="shared" si="8"/>
        <v>-0.94639649625241551</v>
      </c>
      <c r="Y14" s="225">
        <f>IF($A14="","",IFERROR(_xlfn.XLOOKUP($A14,YearlyParamsA!A:A,YearlyParamsA!M:M,0),0))</f>
        <v>0</v>
      </c>
      <c r="Z14" s="225">
        <f>IF($A14="","",IFERROR(_xlfn.XLOOKUP($A14,YearlyParamsB!A:A,YearlyParamsB!M:M,0),0))</f>
        <v>1557.1602676203324</v>
      </c>
      <c r="AA14" s="225">
        <f>IF($A14="","",IFERROR(_xlfn.XLOOKUP($A14,YearlyParamsA!A:A,YearlyParamsA!C:C,0),0))</f>
        <v>0</v>
      </c>
      <c r="AB14" s="225">
        <f>IF($A14="","",IFERROR(_xlfn.XLOOKUP($A14,YearlyParamsB!A:A,YearlyParamsB!C:C,0),0))</f>
        <v>37118.931549197783</v>
      </c>
      <c r="AC14" s="227">
        <f>IF($A14="","",IFERROR(_xlfn.XLOOKUP($A14,YearlyParamsA!A:A,YearlyParamsA!G:G,0),0))</f>
        <v>0</v>
      </c>
      <c r="AD14" s="227">
        <f>IF($A14="","",IFERROR(_xlfn.XLOOKUP($A14,YearlyParamsB!A:A,YearlyParamsB!G:G,0),0))</f>
        <v>0</v>
      </c>
      <c r="AE14" s="227">
        <f>IF($A14="","",IFERROR(_xlfn.XLOOKUP($A14,YearlyParamsA!A:A,YearlyParamsA!D:D,0),0))</f>
        <v>0</v>
      </c>
      <c r="AF14" s="227">
        <f>IF($A14="","",IFERROR(_xlfn.XLOOKUP($A14,YearlyParamsA!A:A,YearlyParamsA!AA:AA,0),0))</f>
        <v>0</v>
      </c>
      <c r="AG14" s="227">
        <f>IF($A14="","",IFERROR(_xlfn.XLOOKUP($A14,YearlyParamsB!A:A,YearlyParamsB!AB:AB,0),0))</f>
        <v>10381.068450802217</v>
      </c>
      <c r="AH14" s="226">
        <f t="shared" si="9"/>
        <v>2.5193646761364728E-2</v>
      </c>
    </row>
    <row r="15" spans="1:34" x14ac:dyDescent="0.35">
      <c r="A15" s="13">
        <f t="shared" si="0"/>
        <v>2040</v>
      </c>
      <c r="B15" s="13">
        <f t="shared" si="2"/>
        <v>14</v>
      </c>
      <c r="C15" s="166">
        <f>IF($A15="","",IFERROR(_xlfn.XLOOKUP($A15,PersonaA!B:B,PersonaA!Q:Q,,,-1),0))</f>
        <v>0</v>
      </c>
      <c r="D15" s="166">
        <f>IF($A15="","",IFERROR(_xlfn.XLOOKUP($A15,PersonaB!B:B,PersonaB!Q:Q,,,-1),0))</f>
        <v>9453.0951620722772</v>
      </c>
      <c r="E15" s="166">
        <f t="shared" ref="E15:E16" si="10">IF($A15="","",C15+D15)</f>
        <v>9453.0951620722772</v>
      </c>
      <c r="F15" s="166">
        <f>IF($A15="","",IFERROR(SUMIF(PersonaA!B:B,$A15,PersonaA!P:P),0))</f>
        <v>0</v>
      </c>
      <c r="G15" s="166">
        <f>IF($A15="","",IFERROR(SUMIF(PersonaB!B:B,$A15,PersonaB!P:P),0))</f>
        <v>4442.9547261739699</v>
      </c>
      <c r="H15" s="166">
        <f t="shared" ref="H15:H16" si="11">IF($A15="","",F15+G15)</f>
        <v>4442.9547261739699</v>
      </c>
      <c r="I15" s="166">
        <f>IF($A15="","",IFERROR(IF(COUNTIF(PersonaA!B:B,$A15)&gt;0,_xlfn.XLOOKUP($A15,PersonaA!B:B,PersonaA!S:S,,,-1),I14),I14))</f>
        <v>122649.61941864541</v>
      </c>
      <c r="J15" s="166">
        <f>IF($A15="","",IFERROR(_xlfn.XLOOKUP($A15,PersonaB!B:B,PersonaB!S:S,,,-1),0))</f>
        <v>126442.55886747147</v>
      </c>
      <c r="K15" s="166">
        <f t="shared" ref="K15:K16" si="12">IF($A15="","",I15+J15)</f>
        <v>249092.17828611686</v>
      </c>
      <c r="L15" s="166">
        <f>IF($A15="","",IFERROR(IF(COUNTIF(YearlyParamsA!A:A,$A15)&gt;0,_xlfn.XLOOKUP($A15,YearlyParamsA!A:A,YearlyParamsA!K:K,0),L14),L14))</f>
        <v>913244.51579880272</v>
      </c>
      <c r="M15" s="166">
        <f>IF($A15="","",IFERROR(_xlfn.XLOOKUP($A15,YearlyParamsB!A:A,YearlyParamsB!K:K,0),0))</f>
        <v>1400478.8241707038</v>
      </c>
      <c r="N15" s="166">
        <f t="shared" ref="N15:N16" si="13">IF($A15="","",L15+M15)</f>
        <v>2313723.3399695065</v>
      </c>
      <c r="O15" s="166">
        <f>IF($A15="","",IFERROR(_xlfn.XLOOKUP($A15,Loan!R:R,Loan!X:X,,,-1),0))</f>
        <v>0</v>
      </c>
      <c r="P15" s="166">
        <f>IF($A15="","",IFERROR(_xlfn.XLOOKUP($A15,Loan!AD:AD,Loan!AJ:AJ,,,-1),0))</f>
        <v>0</v>
      </c>
      <c r="Q15" s="166">
        <f>IF($A15="","",IFERROR(_xlfn.XLOOKUP($A15,Loan!B:B,Loan!J:J,,,-1),0))</f>
        <v>0</v>
      </c>
      <c r="R15" s="166">
        <f>IF($A15="","",IFERROR(SUMIF(Loan!B:B,$A15,Loan!K:K),0))</f>
        <v>0</v>
      </c>
      <c r="S15" s="166">
        <f>IF($A15="","",IFERROR(_xlfn.XLOOKUP($A15,Loan!B:B,Loan!L:L,,,-1),0))</f>
        <v>30271.924680702195</v>
      </c>
      <c r="T15" s="166">
        <f>IF($A15="","",IFERROR(SUMIF(Offset!B:B,$A15,Offset!J:J),0))</f>
        <v>13896.049888246249</v>
      </c>
      <c r="U15" s="166">
        <f t="shared" ref="U15:U16" si="14">IF($A15="","",U14+T15)</f>
        <v>741157.37666159507</v>
      </c>
      <c r="V15" s="166">
        <f>IF($A15="","",IFERROR(_xlfn.MAXIFS(Offset!I:I,Offset!B:B,$A15),0))</f>
        <v>13896.049888246249</v>
      </c>
      <c r="W15" s="166">
        <f t="shared" ref="W15:W16" si="15">IF($A15="","",W14*(1+Inflation))</f>
        <v>198505.59045875346</v>
      </c>
      <c r="X15" s="20">
        <f t="shared" ref="X15:X16" si="16">IF($A15="","",IF(W15=0,0,(E15-W15)/W15))</f>
        <v>-0.95237869553081178</v>
      </c>
      <c r="Y15" s="166">
        <f>IF($A15="","",IFERROR(_xlfn.XLOOKUP($A15,YearlyParamsA!A:A,YearlyParamsA!M:M,0),0))</f>
        <v>0</v>
      </c>
      <c r="Z15" s="166">
        <f>IF($A15="","",IFERROR(_xlfn.XLOOKUP($A15,YearlyParamsB!A:A,YearlyParamsB!M:M,0),0))</f>
        <v>1417.9642743108416</v>
      </c>
      <c r="AA15" s="166">
        <f>IF($A15="","",IFERROR(_xlfn.XLOOKUP($A15,YearlyParamsA!A:A,YearlyParamsA!C:C,0),0))</f>
        <v>0</v>
      </c>
      <c r="AB15" s="166">
        <f>IF($A15="","",IFERROR(_xlfn.XLOOKUP($A15,YearlyParamsB!A:A,YearlyParamsB!C:C,0),0))</f>
        <v>38046.904837927723</v>
      </c>
      <c r="AC15" s="19">
        <f>IF($A15="","",IFERROR(_xlfn.XLOOKUP($A15,YearlyParamsA!A:A,YearlyParamsA!G:G,0),0))</f>
        <v>0</v>
      </c>
      <c r="AD15" s="19">
        <f>IF($A15="","",IFERROR(_xlfn.XLOOKUP($A15,YearlyParamsB!A:A,YearlyParamsB!G:G,0),0))</f>
        <v>0</v>
      </c>
      <c r="AE15" s="19">
        <f>IF($A15="","",IFERROR(_xlfn.XLOOKUP($A15,YearlyParamsA!A:A,YearlyParamsA!D:D,0),0))</f>
        <v>0</v>
      </c>
      <c r="AF15" s="19">
        <f>IF($A15="","",IFERROR(_xlfn.XLOOKUP($A15,YearlyParamsA!A:A,YearlyParamsA!AA:AA,0),0))</f>
        <v>0</v>
      </c>
      <c r="AG15" s="19">
        <f>IF($A15="","",IFERROR(_xlfn.XLOOKUP($A15,YearlyParamsB!A:A,YearlyParamsB!AB:AB,0),0))</f>
        <v>9453.0951620722772</v>
      </c>
      <c r="AH15" s="20">
        <f t="shared" ref="AH15:AH16" si="17">IF($A15="","",IF(W15=0,0,(H15)/W15))</f>
        <v>2.2382013100518447E-2</v>
      </c>
    </row>
    <row r="16" spans="1:34" x14ac:dyDescent="0.35">
      <c r="A16" s="224">
        <f t="shared" si="0"/>
        <v>2041</v>
      </c>
      <c r="B16" s="224">
        <f t="shared" si="2"/>
        <v>15</v>
      </c>
      <c r="C16" s="225">
        <f>IF($A16="","",IFERROR(_xlfn.XLOOKUP($A16,PersonaA!B:B,PersonaA!Q:Q,,,-1),0))</f>
        <v>0</v>
      </c>
      <c r="D16" s="225">
        <f>IF($A16="","",IFERROR(_xlfn.XLOOKUP($A16,PersonaB!B:B,PersonaB!Q:Q,,,-1),0))</f>
        <v>11001.922541124091</v>
      </c>
      <c r="E16" s="225">
        <f t="shared" si="10"/>
        <v>11001.922541124091</v>
      </c>
      <c r="F16" s="225">
        <f>IF($A16="","",IFERROR(SUMIF(PersonaA!B:B,$A16,PersonaA!P:P),0))</f>
        <v>0</v>
      </c>
      <c r="G16" s="225">
        <f>IF($A16="","",IFERROR(SUMIF(PersonaB!B:B,$A16,PersonaB!P:P),0))</f>
        <v>5170.9035943283225</v>
      </c>
      <c r="H16" s="225">
        <f t="shared" si="11"/>
        <v>5170.9035943283225</v>
      </c>
      <c r="I16" s="225">
        <f>IF($A16="","",IFERROR(IF(COUNTIF(PersonaA!B:B,$A16)&gt;0,_xlfn.XLOOKUP($A16,PersonaA!B:B,PersonaA!S:S,,,-1),I15),I15))</f>
        <v>122649.61941864541</v>
      </c>
      <c r="J16" s="225">
        <f>IF($A16="","",IFERROR(_xlfn.XLOOKUP($A16,PersonaB!B:B,PersonaB!S:S,,,-1),0))</f>
        <v>131613.46246179979</v>
      </c>
      <c r="K16" s="225">
        <f t="shared" si="12"/>
        <v>254263.08188044518</v>
      </c>
      <c r="L16" s="225">
        <f>IF($A16="","",IFERROR(IF(COUNTIF(YearlyParamsA!A:A,$A16)&gt;0,_xlfn.XLOOKUP($A16,YearlyParamsA!A:A,YearlyParamsA!K:K,0),L15),L15))</f>
        <v>913244.51579880272</v>
      </c>
      <c r="M16" s="225">
        <f>IF($A16="","",IFERROR(_xlfn.XLOOKUP($A16,YearlyParamsB!A:A,YearlyParamsB!K:K,0),0))</f>
        <v>1524657.0258276921</v>
      </c>
      <c r="N16" s="225">
        <f t="shared" si="13"/>
        <v>2437901.5416264948</v>
      </c>
      <c r="O16" s="225">
        <f>IF($A16="","",IFERROR(_xlfn.XLOOKUP($A16,Loan!R:R,Loan!X:X,,,-1),0))</f>
        <v>0</v>
      </c>
      <c r="P16" s="225">
        <f>IF($A16="","",IFERROR(_xlfn.XLOOKUP($A16,Loan!AD:AD,Loan!AJ:AJ,,,-1),0))</f>
        <v>0</v>
      </c>
      <c r="Q16" s="225">
        <f>IF($A16="","",IFERROR(_xlfn.XLOOKUP($A16,Loan!B:B,Loan!J:J,,,-1),0))</f>
        <v>0</v>
      </c>
      <c r="R16" s="225">
        <f>IF($A16="","",IFERROR(SUMIF(Loan!B:B,$A16,Loan!K:K),0))</f>
        <v>0</v>
      </c>
      <c r="S16" s="225">
        <f>IF($A16="","",IFERROR(_xlfn.XLOOKUP($A16,Loan!B:B,Loan!L:L,,,-1),0))</f>
        <v>30271.924680702195</v>
      </c>
      <c r="T16" s="225">
        <f>IF($A16="","",IFERROR(SUMIF(Offset!B:B,$A16,Offset!J:J),0))</f>
        <v>16172.826135452415</v>
      </c>
      <c r="U16" s="225">
        <f t="shared" si="14"/>
        <v>757330.20279704744</v>
      </c>
      <c r="V16" s="225">
        <f>IF($A16="","",IFERROR(_xlfn.MAXIFS(Offset!I:I,Offset!B:B,$A16),0))</f>
        <v>16172.826135452415</v>
      </c>
      <c r="W16" s="225">
        <f t="shared" si="15"/>
        <v>203468.23022022229</v>
      </c>
      <c r="X16" s="226">
        <f t="shared" si="16"/>
        <v>-0.94592805702779137</v>
      </c>
      <c r="Y16" s="225">
        <f>IF($A16="","",IFERROR(_xlfn.XLOOKUP($A16,YearlyParamsA!A:A,YearlyParamsA!M:M,0),0))</f>
        <v>0</v>
      </c>
      <c r="Z16" s="225">
        <f>IF($A16="","",IFERROR(_xlfn.XLOOKUP($A16,YearlyParamsB!A:A,YearlyParamsB!M:M,0),0))</f>
        <v>1650.2883811686136</v>
      </c>
      <c r="AA16" s="225">
        <f>IF($A16="","",IFERROR(_xlfn.XLOOKUP($A16,YearlyParamsA!A:A,YearlyParamsA!C:C,0),0))</f>
        <v>0</v>
      </c>
      <c r="AB16" s="225">
        <f>IF($A16="","",IFERROR(_xlfn.XLOOKUP($A16,YearlyParamsB!A:A,YearlyParamsB!C:C,0),0))</f>
        <v>38998.077458875909</v>
      </c>
      <c r="AC16" s="227">
        <f>IF($A16="","",IFERROR(_xlfn.XLOOKUP($A16,YearlyParamsA!A:A,YearlyParamsA!G:G,0),0))</f>
        <v>0</v>
      </c>
      <c r="AD16" s="227">
        <f>IF($A16="","",IFERROR(_xlfn.XLOOKUP($A16,YearlyParamsB!A:A,YearlyParamsB!G:G,0),0))</f>
        <v>0</v>
      </c>
      <c r="AE16" s="227">
        <f>IF($A16="","",IFERROR(_xlfn.XLOOKUP($A16,YearlyParamsA!A:A,YearlyParamsA!D:D,0),0))</f>
        <v>0</v>
      </c>
      <c r="AF16" s="227">
        <f>IF($A16="","",IFERROR(_xlfn.XLOOKUP($A16,YearlyParamsA!A:A,YearlyParamsA!AA:AA,0),0))</f>
        <v>0</v>
      </c>
      <c r="AG16" s="227">
        <f>IF($A16="","",IFERROR(_xlfn.XLOOKUP($A16,YearlyParamsB!A:A,YearlyParamsB!AB:AB,0),0))</f>
        <v>11001.922541124091</v>
      </c>
      <c r="AH16" s="226">
        <f t="shared" si="17"/>
        <v>2.5413813196938088E-2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</sheetData>
  <conditionalFormatting sqref="H2:H16">
    <cfRule type="dataBar" priority="21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{C3AABD40-2C78-4E18-AC56-450ECE107A68}</x14:id>
        </ext>
      </extLst>
    </cfRule>
    <cfRule type="dataBar" priority="22">
      <dataBar>
        <cfvo type="min"/>
        <cfvo type="max"/>
        <color rgb="FF00B894"/>
      </dataBar>
      <extLst>
        <ext xmlns:x14="http://schemas.microsoft.com/office/spreadsheetml/2009/9/main" uri="{B025F937-C7B1-47D3-B67F-A62EFF666E3E}">
          <x14:id>{72398F85-FB10-429D-957B-46DE7CAF554D}</x14:id>
        </ext>
      </extLst>
    </cfRule>
    <cfRule type="colorScale" priority="28">
      <colorScale>
        <cfvo type="min"/>
        <cfvo type="percentile" val="50"/>
        <cfvo type="max"/>
        <color rgb="FFF0FDF4"/>
        <color rgb="FF6EE7B7"/>
        <color rgb="FF059669"/>
      </colorScale>
    </cfRule>
  </conditionalFormatting>
  <conditionalFormatting sqref="K2:K16">
    <cfRule type="dataBar" priority="23">
      <dataBar>
        <cfvo type="min"/>
        <cfvo type="max"/>
        <color rgb="FF1E8449"/>
      </dataBar>
      <extLst>
        <ext xmlns:x14="http://schemas.microsoft.com/office/spreadsheetml/2009/9/main" uri="{B025F937-C7B1-47D3-B67F-A62EFF666E3E}">
          <x14:id>{D75780DC-B0AF-440C-A000-E871546865FB}</x14:id>
        </ext>
      </extLst>
    </cfRule>
    <cfRule type="colorScale" priority="31">
      <colorScale>
        <cfvo type="min"/>
        <cfvo type="percentile" val="50"/>
        <cfvo type="max"/>
        <color rgb="FFF0F9FF"/>
        <color rgb="FF67E8F9"/>
        <color rgb="FF0077B6"/>
      </colorScale>
    </cfRule>
  </conditionalFormatting>
  <conditionalFormatting sqref="N2:N16">
    <cfRule type="dataBar" priority="24">
      <dataBar>
        <cfvo type="min"/>
        <cfvo type="max"/>
        <color rgb="FF2E86C1"/>
      </dataBar>
      <extLst>
        <ext xmlns:x14="http://schemas.microsoft.com/office/spreadsheetml/2009/9/main" uri="{B025F937-C7B1-47D3-B67F-A62EFF666E3E}">
          <x14:id>{25DFA02A-ED04-4D5A-B33E-ED90EEA438D7}</x14:id>
        </ext>
      </extLst>
    </cfRule>
    <cfRule type="colorScale" priority="30">
      <colorScale>
        <cfvo type="min"/>
        <cfvo type="percentile" val="50"/>
        <cfvo type="max"/>
        <color rgb="FFF5F3FF"/>
        <color rgb="FFC4B5FD"/>
        <color rgb="FF7C3AED"/>
      </colorScale>
    </cfRule>
  </conditionalFormatting>
  <conditionalFormatting sqref="Q2:Q16">
    <cfRule type="colorScale" priority="25">
      <colorScale>
        <cfvo type="min"/>
        <cfvo type="max"/>
        <color rgb="FFFF7128"/>
        <color rgb="FFFFEF9C"/>
      </colorScale>
    </cfRule>
    <cfRule type="colorScale" priority="29">
      <colorScale>
        <cfvo type="min"/>
        <cfvo type="percentile" val="50"/>
        <cfvo type="max"/>
        <color rgb="FFECFDF5"/>
        <color rgb="FFFDE68A"/>
        <color rgb="FFFCA5A5"/>
      </colorScale>
    </cfRule>
  </conditionalFormatting>
  <conditionalFormatting sqref="R2:R16">
    <cfRule type="dataBar" priority="32">
      <dataBar>
        <cfvo type="min"/>
        <cfvo type="max"/>
        <color rgb="FF10B981"/>
      </dataBar>
      <extLst>
        <ext xmlns:x14="http://schemas.microsoft.com/office/spreadsheetml/2009/9/main" uri="{B025F937-C7B1-47D3-B67F-A62EFF666E3E}">
          <x14:id>{FA0C4509-2880-4A07-9BA4-F9BEFEBDAA56}</x14:id>
        </ext>
      </extLst>
    </cfRule>
  </conditionalFormatting>
  <conditionalFormatting sqref="S2:S16">
    <cfRule type="dataBar" priority="26">
      <dataBar>
        <cfvo type="min"/>
        <cfvo type="max"/>
        <color rgb="FFF39C12"/>
      </dataBar>
      <extLst>
        <ext xmlns:x14="http://schemas.microsoft.com/office/spreadsheetml/2009/9/main" uri="{B025F937-C7B1-47D3-B67F-A62EFF666E3E}">
          <x14:id>{66E03905-1F5B-4B9B-A661-B7779545EAC0}</x14:id>
        </ext>
      </extLst>
    </cfRule>
  </conditionalFormatting>
  <conditionalFormatting sqref="T2:T16">
    <cfRule type="dataBar" priority="27">
      <dataBar>
        <cfvo type="min"/>
        <cfvo type="max"/>
        <color rgb="FF8E44AD"/>
      </dataBar>
      <extLst>
        <ext xmlns:x14="http://schemas.microsoft.com/office/spreadsheetml/2009/9/main" uri="{B025F937-C7B1-47D3-B67F-A62EFF666E3E}">
          <x14:id>{6F4804A4-980E-4AF2-8111-57EC1BB6AADB}</x14:id>
        </ext>
      </extLst>
    </cfRule>
    <cfRule type="dataBar" priority="33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{E9793916-C72D-4DCE-8B63-5AF4C6F5199A}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AABD40-2C78-4E18-AC56-450ECE107A68}">
            <x14:dataBar minLength="0" maxLength="100" border="1" direction="leftToRight" negativeBarColorSameAsPositive="1" axisPosition="none">
              <x14:cfvo type="min"/>
              <x14:cfvo type="max"/>
              <x14:borderColor rgb="FF00B894"/>
            </x14:dataBar>
          </x14:cfRule>
          <x14:cfRule type="dataBar" id="{72398F85-FB10-429D-957B-46DE7CAF554D}">
            <x14:dataBar minLength="0" maxLength="100" border="1" direction="leftToRight" negativeBarColorSameAsPositive="1" axisPosition="none">
              <x14:cfvo type="min"/>
              <x14:cfvo type="max"/>
              <x14:borderColor rgb="FF00B894"/>
            </x14:dataBar>
          </x14:cfRule>
          <xm:sqref>H2:H16</xm:sqref>
        </x14:conditionalFormatting>
        <x14:conditionalFormatting xmlns:xm="http://schemas.microsoft.com/office/excel/2006/main">
          <x14:cfRule type="dataBar" id="{D75780DC-B0AF-440C-A000-E871546865FB}">
            <x14:dataBar minLength="0" maxLength="100" border="1" direction="leftToRight" negativeBarColorSameAsPositive="1" axisPosition="none">
              <x14:cfvo type="min"/>
              <x14:cfvo type="max"/>
              <x14:borderColor rgb="FF1E8449"/>
            </x14:dataBar>
          </x14:cfRule>
          <xm:sqref>K2:K16</xm:sqref>
        </x14:conditionalFormatting>
        <x14:conditionalFormatting xmlns:xm="http://schemas.microsoft.com/office/excel/2006/main">
          <x14:cfRule type="dataBar" id="{25DFA02A-ED04-4D5A-B33E-ED90EEA438D7}">
            <x14:dataBar minLength="0" maxLength="100" border="1" direction="leftToRight" negativeBarColorSameAsPositive="1" axisPosition="none">
              <x14:cfvo type="min"/>
              <x14:cfvo type="max"/>
              <x14:borderColor rgb="FF2E86C1"/>
            </x14:dataBar>
          </x14:cfRule>
          <xm:sqref>N2:N16</xm:sqref>
        </x14:conditionalFormatting>
        <x14:conditionalFormatting xmlns:xm="http://schemas.microsoft.com/office/excel/2006/main">
          <x14:cfRule type="dataBar" id="{FA0C4509-2880-4A07-9BA4-F9BEFEBDAA56}">
            <x14:dataBar minLength="0" maxLength="100" border="1" direction="leftToRight" negativeBarColorSameAsPositive="1" axisPosition="none">
              <x14:cfvo type="min"/>
              <x14:cfvo type="max"/>
              <x14:borderColor rgb="FF059669"/>
            </x14:dataBar>
          </x14:cfRule>
          <xm:sqref>R2:R16</xm:sqref>
        </x14:conditionalFormatting>
        <x14:conditionalFormatting xmlns:xm="http://schemas.microsoft.com/office/excel/2006/main">
          <x14:cfRule type="dataBar" id="{66E03905-1F5B-4B9B-A661-B7779545EAC0}">
            <x14:dataBar minLength="0" maxLength="100" border="1" direction="leftToRight" negativeBarColorSameAsPositive="1" axisPosition="none">
              <x14:cfvo type="min"/>
              <x14:cfvo type="max"/>
              <x14:borderColor rgb="FFF39C12"/>
            </x14:dataBar>
          </x14:cfRule>
          <xm:sqref>S2:S16</xm:sqref>
        </x14:conditionalFormatting>
        <x14:conditionalFormatting xmlns:xm="http://schemas.microsoft.com/office/excel/2006/main">
          <x14:cfRule type="dataBar" id="{6F4804A4-980E-4AF2-8111-57EC1BB6AADB}">
            <x14:dataBar minLength="0" maxLength="100" border="1" direction="leftToRight" negativeBarColorSameAsPositive="1" axisPosition="none">
              <x14:cfvo type="min"/>
              <x14:cfvo type="max"/>
              <x14:borderColor rgb="FF8E44AD"/>
            </x14:dataBar>
          </x14:cfRule>
          <x14:cfRule type="dataBar" id="{E9793916-C72D-4DCE-8B63-5AF4C6F5199A}">
            <x14:dataBar minLength="0" maxLength="100" border="1" direction="leftToRight" negativeBarColorSameAsPositive="1" axisPosition="none">
              <x14:cfvo type="min"/>
              <x14:cfvo type="max"/>
              <x14:borderColor rgb="FFD97706"/>
            </x14:dataBar>
          </x14:cfRule>
          <xm:sqref>T2:T16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52</vt:i4>
      </vt:variant>
    </vt:vector>
  </HeadingPairs>
  <TitlesOfParts>
    <vt:vector size="62" baseType="lpstr">
      <vt:lpstr>README</vt:lpstr>
      <vt:lpstr>Input</vt:lpstr>
      <vt:lpstr>Tax Helper</vt:lpstr>
      <vt:lpstr>PersonaA</vt:lpstr>
      <vt:lpstr>PersonaB</vt:lpstr>
      <vt:lpstr>Loan</vt:lpstr>
      <vt:lpstr>Offset</vt:lpstr>
      <vt:lpstr>YearlyParamsA</vt:lpstr>
      <vt:lpstr>YearlyParamsB</vt:lpstr>
      <vt:lpstr>YearlySummary</vt:lpstr>
      <vt:lpstr>AfterTaxA</vt:lpstr>
      <vt:lpstr>AfterTaxB</vt:lpstr>
      <vt:lpstr>BaseRepayment</vt:lpstr>
      <vt:lpstr>CapIncrement</vt:lpstr>
      <vt:lpstr>CapIndexYears</vt:lpstr>
      <vt:lpstr>CarryFwdStartA</vt:lpstr>
      <vt:lpstr>CarryFwdStartB</vt:lpstr>
      <vt:lpstr>ConcessCap</vt:lpstr>
      <vt:lpstr>CurrentAgeA</vt:lpstr>
      <vt:lpstr>CurrentAgeB</vt:lpstr>
      <vt:lpstr>Div293Thresh</vt:lpstr>
      <vt:lpstr>ExtraRepay</vt:lpstr>
      <vt:lpstr>FreqA</vt:lpstr>
      <vt:lpstr>FreqB</vt:lpstr>
      <vt:lpstr>IncA</vt:lpstr>
      <vt:lpstr>IncB</vt:lpstr>
      <vt:lpstr>Inflation</vt:lpstr>
      <vt:lpstr>LoanAmount</vt:lpstr>
      <vt:lpstr>LoanRate</vt:lpstr>
      <vt:lpstr>LoanStart</vt:lpstr>
      <vt:lpstr>LoanTerm</vt:lpstr>
      <vt:lpstr>MedicareRate</vt:lpstr>
      <vt:lpstr>NetInvLoss</vt:lpstr>
      <vt:lpstr>OffsetStart</vt:lpstr>
      <vt:lpstr>PersonATaxPayable</vt:lpstr>
      <vt:lpstr>PersonBTaxPayable</vt:lpstr>
      <vt:lpstr>PPY</vt:lpstr>
      <vt:lpstr>PPY_Loan</vt:lpstr>
      <vt:lpstr>PPYA</vt:lpstr>
      <vt:lpstr>PPYB</vt:lpstr>
      <vt:lpstr>ProjYears</vt:lpstr>
      <vt:lpstr>ProjYearsA</vt:lpstr>
      <vt:lpstr>ProjYearsB</vt:lpstr>
      <vt:lpstr>RetirementAgeA</vt:lpstr>
      <vt:lpstr>RetirementAgeB</vt:lpstr>
      <vt:lpstr>SGRate</vt:lpstr>
      <vt:lpstr>SpousalTransfer</vt:lpstr>
      <vt:lpstr>StartYear</vt:lpstr>
      <vt:lpstr>StdPayment</vt:lpstr>
      <vt:lpstr>SuperBalStartA</vt:lpstr>
      <vt:lpstr>SuperBalStartB</vt:lpstr>
      <vt:lpstr>SuperReturn</vt:lpstr>
      <vt:lpstr>SuperTaxRate</vt:lpstr>
      <vt:lpstr>PersonaB!TaxBracket</vt:lpstr>
      <vt:lpstr>YearlyParamsB!TaxBracket</vt:lpstr>
      <vt:lpstr>TaxBracket</vt:lpstr>
      <vt:lpstr>TotalPeriods_Loan</vt:lpstr>
      <vt:lpstr>TotalPeriodsA</vt:lpstr>
      <vt:lpstr>PersonaB!TotalPeriodsB</vt:lpstr>
      <vt:lpstr>TotalPeriodsB</vt:lpstr>
      <vt:lpstr>TotalPeriodsOffset</vt:lpstr>
      <vt:lpstr>TransferDir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alven yuka</dc:creator>
  <cp:lastModifiedBy>alven yuka</cp:lastModifiedBy>
  <dcterms:created xsi:type="dcterms:W3CDTF">2026-02-21T09:40:00Z</dcterms:created>
  <dcterms:modified xsi:type="dcterms:W3CDTF">2026-03-24T21:02:35Z</dcterms:modified>
</cp:coreProperties>
</file>